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Centro de Custo" sheetId="3" state="visible" r:id="rId5"/>
    <sheet name="Notas Fiscais" sheetId="4" state="visible" r:id="rId6"/>
    <sheet name="Consulta por NF" sheetId="5" state="visible" r:id="rId7"/>
    <sheet name="NF x Centro de Custo" sheetId="6" state="visible" r:id="rId8"/>
    <sheet name="NF x Grupo" sheetId="7" state="visible" r:id="rId9"/>
    <sheet name="Rubricas" sheetId="8" state="visible" r:id="rId10"/>
    <sheet name="dRubricas" sheetId="9" state="visible" r:id="rId11"/>
    <sheet name="dCentroCusto" sheetId="10" state="visible" r:id="rId12"/>
  </sheets>
  <definedNames>
    <definedName function="false" hidden="true" localSheetId="9" name="_xlnm._FilterDatabase" vbProcedure="false">dCentroCusto!$A$4:$F$98</definedName>
    <definedName function="false" hidden="true" localSheetId="8" name="_xlnm._FilterDatabase" vbProcedure="false">dRubricas!$A$4:$F$98</definedName>
    <definedName function="false" hidden="true" localSheetId="5" name="_xlnm._FilterDatabase" vbProcedure="false">'NF x Centro de Custo'!$A$4:$J$1270</definedName>
    <definedName function="false" hidden="true" localSheetId="6" name="_xlnm._FilterDatabase" vbProcedure="false">'NF x Grupo'!$A$4:$D$2198</definedName>
    <definedName function="false" hidden="true" localSheetId="3" name="_xlnm._FilterDatabase" vbProcedure="false">'Notas Fiscais'!$A$4:$K$628</definedName>
    <definedName function="false" hidden="true" localSheetId="7" name="_xlnm._FilterDatabase" vbProcedure="false">Rubricas!$A$4:$L$98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<sst xmlns="http://schemas.openxmlformats.org/spreadsheetml/2006/main" count="11954" uniqueCount="2508">
  <si>
    <t xml:space="preserve">Rateios FTD — consolidado 2026</t>
  </si>
  <si>
    <t xml:space="preserve">VERSÃO DO CLIENTE — sem a aba Rateios (detalhe por colaborador). Todos os quadros continuam completos; o detalhe fica na versão interna.</t>
  </si>
  <si>
    <t xml:space="preserve">Faturamento de mão de obra por nota fiscal, centro de custo e rubrica de folha.</t>
  </si>
  <si>
    <t xml:space="preserve">As abas</t>
  </si>
  <si>
    <t xml:space="preserve">Resumo</t>
  </si>
  <si>
    <t xml:space="preserve">Visão do período: total faturado, quebra por grupo de rubrica e por mês, e o resultado da conferência.</t>
  </si>
  <si>
    <t xml:space="preserve">Centro de Custo</t>
  </si>
  <si>
    <t xml:space="preserve">Cada centro de custo mês a mês. É a base do rateio que o cliente distribui internamente.</t>
  </si>
  <si>
    <t xml:space="preserve">Notas Fiscais</t>
  </si>
  <si>
    <t xml:space="preserve">Uma linha por NF: folha, taxa e tributos, total, e a comparação com o Total Geral informado na origem.</t>
  </si>
  <si>
    <t xml:space="preserve">Consulta por NF</t>
  </si>
  <si>
    <t xml:space="preserve">Escolha uma nota e veja a distribuição dela por centro de custo e por grupo de rubrica, com a conferência contra o Total Geral.</t>
  </si>
  <si>
    <t xml:space="preserve">NF x Centro de Custo</t>
  </si>
  <si>
    <t xml:space="preserve">Como cada nota se reparte entre centros de custo. 1.266 combinações no período.</t>
  </si>
  <si>
    <t xml:space="preserve">Rubricas</t>
  </si>
  <si>
    <t xml:space="preserve">Todas as verbas de folha mês a mês, agrupadas.</t>
  </si>
  <si>
    <t xml:space="preserve">NF x Grupo</t>
  </si>
  <si>
    <t xml:space="preserve">Cada nota repartida por grupo de rubrica. Alimenta o segundo quadro da Consulta por NF.</t>
  </si>
  <si>
    <t xml:space="preserve">Rateios</t>
  </si>
  <si>
    <t xml:space="preserve">O detalhe linha a linha — colaborador, centro de custo, rubrica e valor. Só existe na versão interna: é 96% do peso do arquivo e a única aba com CPF, nome e salário.</t>
  </si>
  <si>
    <t xml:space="preserve">dRubricas / dCentroCusto</t>
  </si>
  <si>
    <t xml:space="preserve">Tabelas de apoio. São as únicas abas que você edita à mão (células em azul).</t>
  </si>
  <si>
    <t xml:space="preserve">Atualização mensal</t>
  </si>
  <si>
    <t xml:space="preserve">1.</t>
  </si>
  <si>
    <t xml:space="preserve">Salve os rateios do mês na pasta de origem, no mesmo formato dos anteriores.</t>
  </si>
  <si>
    <t xml:space="preserve">2.</t>
  </si>
  <si>
    <t xml:space="preserve">Nesta pasta: Dados &gt; Atualizar Tudo. As abas Rateios, NF x Centro de Custo e Rubricas vêm das consultas e se atualizam sozinhas, inclusive com centros e rubricas novos.</t>
  </si>
  <si>
    <t xml:space="preserve">3.</t>
  </si>
  <si>
    <t xml:space="preserve">Confira a aba Notas Fiscais: a coluna Situação tem que estar "OK" em todas as linhas. "Verificar" significa que a nota não fecha contra o Total Geral do arquivo de origem.</t>
  </si>
  <si>
    <t xml:space="preserve">4.</t>
  </si>
  <si>
    <t xml:space="preserve">Confira a linha "Não listado" no fim das abas Centro de Custo e Rubricas. Se vier diferente de zero, apareceu um centro ou uma rubrica que ainda não está na lista — acrescente a linha e copie a fórmula ao lado.</t>
  </si>
  <si>
    <t xml:space="preserve">5.</t>
  </si>
  <si>
    <t xml:space="preserve">Salve e envie ao cliente.</t>
  </si>
  <si>
    <t xml:space="preserve">As cinco dinâmicas sugeridas</t>
  </si>
  <si>
    <t xml:space="preserve">① Composição</t>
  </si>
  <si>
    <t xml:space="preserve">Linhas: Grupo · Colunas: Competência · Valores: Soma de Valor. É a leitura por natureza de gasto.</t>
  </si>
  <si>
    <t xml:space="preserve">② Centro de custo</t>
  </si>
  <si>
    <t xml:space="preserve">Linhas: Centro de Custo · Colunas: Competência · Valores: Soma de Valor. Filtro de valor nos 12 maiores para o gráfico.</t>
  </si>
  <si>
    <t xml:space="preserve">③ Rubricas</t>
  </si>
  <si>
    <t xml:space="preserve">Linhas: Grupo › Código › Rubrica · Colunas: Competência · Valores: Soma de Valor. Layout Tabular, com Repetir Rótulos de Item.</t>
  </si>
  <si>
    <t xml:space="preserve">④ Conferência</t>
  </si>
  <si>
    <t xml:space="preserve">Linhas: Competência › NF · Valores: Soma de Valor. É a que você cruza com o Total Geral.</t>
  </si>
  <si>
    <t xml:space="preserve">⑤ Quadro</t>
  </si>
  <si>
    <t xml:space="preserve">Linhas: Competência · Valores: Contagem Distinta de CPF e Soma de Valor. Exige a base no Modelo de Dados.</t>
  </si>
  <si>
    <t xml:space="preserve">Segmentações</t>
  </si>
  <si>
    <t xml:space="preserve">Competência (Linha do Tempo), Emp, Centro de Custo, Grupo e Tipo — criadas uma vez e ligadas a todas por Segmentação &gt; Conexões de Relatório.</t>
  </si>
  <si>
    <t xml:space="preserve">Atenção</t>
  </si>
  <si>
    <t xml:space="preserve">Nunca arraste Salário (R$) para Valores: ele se repete em cada rubrica do mesmo colaborador e a soma não significa nada. Use Média, numa dinâmica só de cadastro.</t>
  </si>
  <si>
    <t xml:space="preserve">Legenda</t>
  </si>
  <si>
    <t xml:space="preserve">Azul</t>
  </si>
  <si>
    <t xml:space="preserve">Valor digitado à mão — é onde você edita.</t>
  </si>
  <si>
    <t xml:space="preserve">Preto</t>
  </si>
  <si>
    <t xml:space="preserve">Fórmula. Não sobrescreva.</t>
  </si>
  <si>
    <t xml:space="preserve">Fundo amarelo</t>
  </si>
  <si>
    <t xml:space="preserve">Campo que precisa da sua conferência.</t>
  </si>
  <si>
    <t xml:space="preserve">Fundo vermelho</t>
  </si>
  <si>
    <t xml:space="preserve">Divergência encontrada.</t>
  </si>
  <si>
    <t xml:space="preserve">Pontos que pedem sua conferência</t>
  </si>
  <si>
    <t xml:space="preserve">2 notas</t>
  </si>
  <si>
    <t xml:space="preserve">NF_027199 e NF_027200 não fecham contra o Total Geral informado na origem: −R$ 462.395,54 e −R$ 542,00. Estão marcadas como "Verificar" na aba Notas Fiscais e não foram corrigidas aqui.</t>
  </si>
  <si>
    <t xml:space="preserve">11 centros sem código</t>
  </si>
  <si>
    <t xml:space="preserve">Onze descrições chegaram sem o código na frente, somando R$ 503.929,82 (1,5% do período). Três delas — ROTATIVA NOITE, ROTATIVA DIA e ACABAMENTO NOITE — já existem com código (650 e 660) e estão virando linha duplicada na distribuição. As outras oito (PRÉ IMPRESSÃO, FILIAL RECIFE, SOROCABA, FTD MACEIO, FILIAL - SAO JOSE DOS CAMPOS, EXPEDICAO, RIBEIRAO PRETO e uma que veio só como ".") não têm par codificado. Estão em vermelho na aba dCentroCusto — nada foi unificado por conta própria.</t>
  </si>
  <si>
    <t xml:space="preserve">O que mudou em relação ao modelo anterior</t>
  </si>
  <si>
    <t xml:space="preserve">Total Geral</t>
  </si>
  <si>
    <t xml:space="preserve">Saiu da base. Ele é a soma das rubricas mais taxa e tributo, e ao entrar no unpivot dobrava o faturamento: a soma da coluna Valor dava R$ 66.663.524 em vez de R$ 33.092.189. Agora ele fica só na aba Notas Fiscais, como conferência.</t>
  </si>
  <si>
    <t xml:space="preserve">Rubricas novas</t>
  </si>
  <si>
    <t xml:space="preserve">A consulta não tem mais a lista fixa de 135 colunas. Rubrica nova entra sozinha; o que não for reconhecido aparece na consulta de auditoria em vez de sumir.</t>
  </si>
  <si>
    <t xml:space="preserve">Linhas zeradas</t>
  </si>
  <si>
    <t xml:space="preserve">102.324 das 196.071 linhas eram zero. Foram descartadas na consulta: a base caiu para 80.546 linhas.</t>
  </si>
  <si>
    <t xml:space="preserve">Centro de custo</t>
  </si>
  <si>
    <t xml:space="preserve">Padronizado na consulta: 95 grafias viraram 88 centros ("532- LOGITICA FILIAIS" e "532 - LOGISTICA FILIAIS" eram o mesmo).</t>
  </si>
  <si>
    <t xml:space="preserve">Salário e datas</t>
  </si>
  <si>
    <t xml:space="preserve">Salário virou número (era o texto "1.707,00 / M"). Admissão e demissão viraram datas; quem vinha como "Avulso" está marcado na coluna Vínculo.</t>
  </si>
  <si>
    <t xml:space="preserve">Consulta do Power Query</t>
  </si>
  <si>
    <t xml:space="preserve">O código M completo está no arquivo powerquery-rateios.pq, que acompanha esta pasta. Cole em Dados &gt; Obter Dados &gt; Consulta em Branco &gt; Editor Avançado e ajuste a primeira linha (PastaOrigem) para o caminho do SharePoint em vez de C:\Users\...</t>
  </si>
  <si>
    <t xml:space="preserve">Gerado em</t>
  </si>
  <si>
    <t xml:space="preserve">Período nesta versão</t>
  </si>
  <si>
    <t xml:space="preserve">janeiro a julho de 2026 · 624 notas · 80.546 linhas de detalhe</t>
  </si>
  <si>
    <t xml:space="preserve">Resumo do período</t>
  </si>
  <si>
    <t xml:space="preserve">Janeiro a julho de 2026 · todos os números vêm das demais abas, nada é digitado aqui.</t>
  </si>
  <si>
    <t xml:space="preserve">Total faturado no período</t>
  </si>
  <si>
    <t xml:space="preserve">Custo de folha</t>
  </si>
  <si>
    <t xml:space="preserve">Taxa e tributos</t>
  </si>
  <si>
    <t xml:space="preserve">Notas fiscais</t>
  </si>
  <si>
    <t xml:space="preserve">Centros de custo</t>
  </si>
  <si>
    <t xml:space="preserve">Notas a verificar</t>
  </si>
  <si>
    <t xml:space="preserve">Valor não listado</t>
  </si>
  <si>
    <t xml:space="preserve">Composição por grupo de rubrica</t>
  </si>
  <si>
    <t xml:space="preserve">Grupo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</si>
  <si>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</si>
  <si>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</si>
  <si>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</si>
  <si>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</si>
  <si>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</si>
  <si>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</si>
  <si>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</si>
  <si>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Total (R$)</t>
  </si>
  <si>
    <t xml:space="preserve">% do total</t>
  </si>
  <si>
    <t xml:space="preserve">Salário e horas normais</t>
  </si>
  <si>
    <t xml:space="preserve">Horas extras e adicionais</t>
  </si>
  <si>
    <t xml:space="preserve">Encargos e provisões</t>
  </si>
  <si>
    <t xml:space="preserve">Benefícios</t>
  </si>
  <si>
    <t xml:space="preserve">EPI, exames e diversos</t>
  </si>
  <si>
    <t xml:space="preserve">Descontos</t>
  </si>
  <si>
    <t xml:space="preserve">Total faturado</t>
  </si>
  <si>
    <t xml:space="preserve">Descontos entram com sinal negativo — o total da coluna já é o valor líquido faturado.</t>
  </si>
  <si>
    <t xml:space="preserve">Valor faturado por centro de custo e competência. Calculado sobre a aba NF x Centro de Custo.</t>
  </si>
  <si>
    <t xml:space="preserve">chave do mês →</t>
  </si>
  <si>
    <t xml:space="preserve">691 - EMBALAGEM DIA</t>
  </si>
  <si>
    <t xml:space="preserve">188 - VENDAS PNLD</t>
  </si>
  <si>
    <t xml:space="preserve">691 - EMBALAGEM TARDE</t>
  </si>
  <si>
    <t xml:space="preserve">721 - ARMAZENAGEM E EXPEDIÇÃO NOITE</t>
  </si>
  <si>
    <t xml:space="preserve">532 - LOGISTICA FILIAIS</t>
  </si>
  <si>
    <t xml:space="preserve">721 - ARMAZENAGEM E EXPEDIÇÃO DIA</t>
  </si>
  <si>
    <t xml:space="preserve">721 - ARMAZENAGEM E EXPEDIÇÃO TARDE</t>
  </si>
  <si>
    <t xml:space="preserve">660 - ACABAMENTO NOITE</t>
  </si>
  <si>
    <t xml:space="preserve">660 - ACABAMENTO DIA</t>
  </si>
  <si>
    <t xml:space="preserve">660 - ACABAMENTO TARDE</t>
  </si>
  <si>
    <t xml:space="preserve">720 - LOGISTICA TRANSPORTE</t>
  </si>
  <si>
    <t xml:space="preserve">432 - CENTRAL DE RELACIONAMENTO AO CLIENTE</t>
  </si>
  <si>
    <t xml:space="preserve">721 - ARMAZENAGEM E EXPEDIÇÃO</t>
  </si>
  <si>
    <t xml:space="preserve">731 - ALMOXARIFADO GERAL</t>
  </si>
  <si>
    <t xml:space="preserve">1487 - FILIAL CURITIBA</t>
  </si>
  <si>
    <t xml:space="preserve">630 - OP IND PROD</t>
  </si>
  <si>
    <t xml:space="preserve">605 - ADM. MANUTENÇÃO DE SERV. PREDIAIS P. GRAF</t>
  </si>
  <si>
    <t xml:space="preserve">610 - CONTROLE DE QUALIDADE - PQ. GRÁFICO</t>
  </si>
  <si>
    <t xml:space="preserve">724 - E- COMMERCE</t>
  </si>
  <si>
    <t xml:space="preserve">650 - ROTATIVA NOITE</t>
  </si>
  <si>
    <t xml:space="preserve">188 - PNLD</t>
  </si>
  <si>
    <t xml:space="preserve">650 - ROTATIVA TARDE</t>
  </si>
  <si>
    <t xml:space="preserve">439 - CONSULTORIA REDES PÚBLICAS</t>
  </si>
  <si>
    <t xml:space="preserve">650 - ROTATIVA DIA</t>
  </si>
  <si>
    <t xml:space="preserve">PRÉ IMPRESSÃO</t>
  </si>
  <si>
    <t xml:space="preserve">188 - VENDAS PNLD (PIAUI)</t>
  </si>
  <si>
    <t xml:space="preserve">1485 - FILIAL SALVADOR</t>
  </si>
  <si>
    <t xml:space="preserve">310 - DESENVOLVIMENTO HUMANO</t>
  </si>
  <si>
    <t xml:space="preserve">1486 - FILIAL GOIÂNIA</t>
  </si>
  <si>
    <t xml:space="preserve">477 - FILIAL SAO LUIS</t>
  </si>
  <si>
    <t xml:space="preserve">FILIAL - SAO JOSE DOS CAMPOS</t>
  </si>
  <si>
    <t xml:space="preserve">726 - LOGÍSTICA TRANSPORTES</t>
  </si>
  <si>
    <t xml:space="preserve">343 - SEGURANÇA NO TRABALHO</t>
  </si>
  <si>
    <t xml:space="preserve">FILIAL RECIFE</t>
  </si>
  <si>
    <t xml:space="preserve">434 - AVALIAÇÃO E FORMAÇÃO DE EDUCADORES</t>
  </si>
  <si>
    <t xml:space="preserve">532 - DEPOSITO BRASILIA</t>
  </si>
  <si>
    <t xml:space="preserve">220 - CP E TESOUR</t>
  </si>
  <si>
    <t xml:space="preserve">481 - FILIAL RIO DE JANEIRO</t>
  </si>
  <si>
    <t xml:space="preserve">425 - FTD BELEM</t>
  </si>
  <si>
    <t xml:space="preserve">220 - CP E TESOURARIA</t>
  </si>
  <si>
    <t xml:space="preserve">193 - CONTROLADORIA -FTD</t>
  </si>
  <si>
    <t xml:space="preserve">182 - COMERCIAL MERCADO PÚBLICO</t>
  </si>
  <si>
    <t xml:space="preserve">680 - H.HOMEM-PROD. HP DIGITAL</t>
  </si>
  <si>
    <t xml:space="preserve">723 - RECEBIMENTO/ FATURAMENTO</t>
  </si>
  <si>
    <t xml:space="preserve">496 - ESCRITORIO BRASILIA</t>
  </si>
  <si>
    <t xml:space="preserve">1489 - FILIAL PORTO ALEGRE</t>
  </si>
  <si>
    <t xml:space="preserve">480 - FILIAL SÃO PAULO</t>
  </si>
  <si>
    <t xml:space="preserve">1483 - FILIAL FORTALEZA</t>
  </si>
  <si>
    <t xml:space="preserve">455 - PLANEJAMENTO ADM VENDAS</t>
  </si>
  <si>
    <t xml:space="preserve">532 - LOGISTICA FILIAIS (CUIABA)</t>
  </si>
  <si>
    <t xml:space="preserve">725 - DEMANDA</t>
  </si>
  <si>
    <t xml:space="preserve">525 - HUB RIO JANEIRO</t>
  </si>
  <si>
    <t xml:space="preserve">340 - MEDICINA E ERGONOMIA - PG</t>
  </si>
  <si>
    <t xml:space="preserve">498 - NATAL - RN</t>
  </si>
  <si>
    <t xml:space="preserve">532 - LOGISTICA FILIAIS (PALMAS)</t>
  </si>
  <si>
    <t xml:space="preserve">SOROCABA</t>
  </si>
  <si>
    <t xml:space="preserve">532 - LOGISTICA FILIAIS (CAMPO GRANDE)</t>
  </si>
  <si>
    <t xml:space="preserve">482 - FILIAL BELO HORIZONTE</t>
  </si>
  <si>
    <t xml:space="preserve">FTD MACEIO</t>
  </si>
  <si>
    <t xml:space="preserve">585 - FILIAL MANAUS</t>
  </si>
  <si>
    <t xml:space="preserve">499 - FILIAL JOÃO PESSOA</t>
  </si>
  <si>
    <t xml:space="preserve">428 - CAMPO GRANDE</t>
  </si>
  <si>
    <t xml:space="preserve">691 - EMBALAGEM NOITE</t>
  </si>
  <si>
    <t xml:space="preserve">479 - ARACAJU</t>
  </si>
  <si>
    <t xml:space="preserve">532 - LOGISTICA FILIAIS (PORTO VELHO)</t>
  </si>
  <si>
    <t xml:space="preserve">401 - GESTÃO MERCADO PRIVADO</t>
  </si>
  <si>
    <t xml:space="preserve">426 - FILIAL PORTO VELHO</t>
  </si>
  <si>
    <t xml:space="preserve">440 - FILIAL VITORIA (SÃO MATHEUS)</t>
  </si>
  <si>
    <t xml:space="preserve">362 - RECRUTAMENTO E SELEÇÃO</t>
  </si>
  <si>
    <t xml:space="preserve">961 - OPERAÇÕES FINANCEIRAS</t>
  </si>
  <si>
    <t xml:space="preserve">419 - INDIOMAS BRASILIA</t>
  </si>
  <si>
    <t xml:space="preserve">EXPEDICAO</t>
  </si>
  <si>
    <t xml:space="preserve">497 - GOIANIA/PALMAS</t>
  </si>
  <si>
    <t xml:space="preserve">1491 - FILIAL CAMPINAS</t>
  </si>
  <si>
    <t xml:space="preserve">427 - CUIABÁ</t>
  </si>
  <si>
    <t xml:space="preserve">210 - CONTROLADORIA</t>
  </si>
  <si>
    <t xml:space="preserve">ROTATIVA NOITE</t>
  </si>
  <si>
    <t xml:space="preserve">525 - HUB RIO JANEIRIO</t>
  </si>
  <si>
    <t xml:space="preserve">.</t>
  </si>
  <si>
    <t xml:space="preserve">540 - GERÊNCIA DE EXPERIÊNCIA AO CLIENTE</t>
  </si>
  <si>
    <t xml:space="preserve">480 - FILIAL CAMPINAS</t>
  </si>
  <si>
    <t xml:space="preserve">1481 - FILIAL RIO DE JANEIRO</t>
  </si>
  <si>
    <t xml:space="preserve">440 - FILIAL VITORIA</t>
  </si>
  <si>
    <t xml:space="preserve">1605 - ADM E MANUTENÇÃO PREDIAL</t>
  </si>
  <si>
    <t xml:space="preserve">RIBEIRAO PRETO</t>
  </si>
  <si>
    <t xml:space="preserve">ROTATIVA DIA</t>
  </si>
  <si>
    <t xml:space="preserve">ACABAMENTO NOITE</t>
  </si>
  <si>
    <t xml:space="preserve">720 - LOGISTICA</t>
  </si>
  <si>
    <t xml:space="preserve">Não listado (verificar)</t>
  </si>
  <si>
    <t xml:space="preserve">Total geral</t>
  </si>
  <si>
    <t xml:space="preserve">A linha "Não listado" compara o total da aba NF x Centro de Custo com a soma dos centros acima. Diferente de zero = centro novo que ainda não está na lista.</t>
  </si>
  <si>
    <t xml:space="preserve">Uma linha por nota. As colunas em azul vêm do Total Geral informado nos arquivos de origem — é a conferência do mês.</t>
  </si>
  <si>
    <t xml:space="preserve">Mês</t>
  </si>
  <si>
    <t xml:space="preserve">Competência</t>
  </si>
  <si>
    <t xml:space="preserve">NF</t>
  </si>
  <si>
    <t xml:space="preserve">Empresa</t>
  </si>
  <si>
    <t xml:space="preserve">Centros</t>
  </si>
  <si>
    <t xml:space="preserve">Folha (R$)</t>
  </si>
  <si>
    <t xml:space="preserve">Taxa e tributos (R$)</t>
  </si>
  <si>
    <t xml:space="preserve">Total calculado (R$)</t>
  </si>
  <si>
    <t xml:space="preserve">Total Geral informado (R$)</t>
  </si>
  <si>
    <t xml:space="preserve">Diferença (R$)</t>
  </si>
  <si>
    <t xml:space="preserve">Situação</t>
  </si>
  <si>
    <t xml:space="preserve">NDB_205429</t>
  </si>
  <si>
    <t xml:space="preserve">445</t>
  </si>
  <si>
    <t xml:space="preserve">NDB_205430</t>
  </si>
  <si>
    <t xml:space="preserve">451</t>
  </si>
  <si>
    <t xml:space="preserve">NDB_205431</t>
  </si>
  <si>
    <t xml:space="preserve">NDB_205432</t>
  </si>
  <si>
    <t xml:space="preserve">464</t>
  </si>
  <si>
    <t xml:space="preserve">NDB_205433</t>
  </si>
  <si>
    <t xml:space="preserve">468</t>
  </si>
  <si>
    <t xml:space="preserve">NDB_205434</t>
  </si>
  <si>
    <t xml:space="preserve">NDB_205463</t>
  </si>
  <si>
    <t xml:space="preserve">448</t>
  </si>
  <si>
    <t xml:space="preserve">NDB_205469</t>
  </si>
  <si>
    <t xml:space="preserve">1420</t>
  </si>
  <si>
    <t xml:space="preserve">NF_026598</t>
  </si>
  <si>
    <t xml:space="preserve">476</t>
  </si>
  <si>
    <t xml:space="preserve">NF_205435</t>
  </si>
  <si>
    <t xml:space="preserve">470</t>
  </si>
  <si>
    <t xml:space="preserve">NF_205436</t>
  </si>
  <si>
    <t xml:space="preserve">NF_205437</t>
  </si>
  <si>
    <t xml:space="preserve">471</t>
  </si>
  <si>
    <t xml:space="preserve">NF_205438</t>
  </si>
  <si>
    <t xml:space="preserve">NF_205439</t>
  </si>
  <si>
    <t xml:space="preserve">472</t>
  </si>
  <si>
    <t xml:space="preserve">NF_205440</t>
  </si>
  <si>
    <t xml:space="preserve">NF_205441</t>
  </si>
  <si>
    <t xml:space="preserve">473</t>
  </si>
  <si>
    <t xml:space="preserve">NF_205442</t>
  </si>
  <si>
    <t xml:space="preserve">NF_205443</t>
  </si>
  <si>
    <t xml:space="preserve">NF_205444</t>
  </si>
  <si>
    <t xml:space="preserve">NF_205445</t>
  </si>
  <si>
    <t xml:space="preserve">NF_205446</t>
  </si>
  <si>
    <t xml:space="preserve">1537</t>
  </si>
  <si>
    <t xml:space="preserve">NF_205447</t>
  </si>
  <si>
    <t xml:space="preserve">NF_205448</t>
  </si>
  <si>
    <t xml:space="preserve">1564</t>
  </si>
  <si>
    <t xml:space="preserve">NF_205449</t>
  </si>
  <si>
    <t xml:space="preserve">NF_205450</t>
  </si>
  <si>
    <t xml:space="preserve">1851</t>
  </si>
  <si>
    <t xml:space="preserve">NF_205451</t>
  </si>
  <si>
    <t xml:space="preserve">NF_205452</t>
  </si>
  <si>
    <t xml:space="preserve">1878</t>
  </si>
  <si>
    <t xml:space="preserve">NF_205453</t>
  </si>
  <si>
    <t xml:space="preserve">NF_205454</t>
  </si>
  <si>
    <t xml:space="preserve">1949</t>
  </si>
  <si>
    <t xml:space="preserve">NF_205455</t>
  </si>
  <si>
    <t xml:space="preserve">NF_205456</t>
  </si>
  <si>
    <t xml:space="preserve">2017</t>
  </si>
  <si>
    <t xml:space="preserve">NF_205457</t>
  </si>
  <si>
    <t xml:space="preserve">NF_205458</t>
  </si>
  <si>
    <t xml:space="preserve">3378</t>
  </si>
  <si>
    <t xml:space="preserve">NF_205459</t>
  </si>
  <si>
    <t xml:space="preserve">NF_205460</t>
  </si>
  <si>
    <t xml:space="preserve">NF_205461</t>
  </si>
  <si>
    <t xml:space="preserve">NF_205462</t>
  </si>
  <si>
    <t xml:space="preserve">NF_205464</t>
  </si>
  <si>
    <t xml:space="preserve">NF_205465</t>
  </si>
  <si>
    <t xml:space="preserve">NF_205466</t>
  </si>
  <si>
    <t xml:space="preserve">474</t>
  </si>
  <si>
    <t xml:space="preserve">NF_205467</t>
  </si>
  <si>
    <t xml:space="preserve">NF_205468</t>
  </si>
  <si>
    <t xml:space="preserve">NF_205479</t>
  </si>
  <si>
    <t xml:space="preserve">NF_25659</t>
  </si>
  <si>
    <t xml:space="preserve">NF_25660</t>
  </si>
  <si>
    <t xml:space="preserve">NF_25661</t>
  </si>
  <si>
    <t xml:space="preserve">NF_25662</t>
  </si>
  <si>
    <t xml:space="preserve">NF_25663</t>
  </si>
  <si>
    <t xml:space="preserve">NF_25664</t>
  </si>
  <si>
    <t xml:space="preserve">NF_25665</t>
  </si>
  <si>
    <t xml:space="preserve">NF_25666</t>
  </si>
  <si>
    <t xml:space="preserve">NF_25667</t>
  </si>
  <si>
    <t xml:space="preserve">NF_25668</t>
  </si>
  <si>
    <t xml:space="preserve">NF_25669</t>
  </si>
  <si>
    <t xml:space="preserve">NF_25670</t>
  </si>
  <si>
    <t xml:space="preserve">NF_25674</t>
  </si>
  <si>
    <t xml:space="preserve">NF_25675</t>
  </si>
  <si>
    <t xml:space="preserve">NF_25676</t>
  </si>
  <si>
    <t xml:space="preserve">NF_25677</t>
  </si>
  <si>
    <t xml:space="preserve">NF_25678</t>
  </si>
  <si>
    <t xml:space="preserve">NF_25679</t>
  </si>
  <si>
    <t xml:space="preserve">NF_25680</t>
  </si>
  <si>
    <t xml:space="preserve">NF_25681</t>
  </si>
  <si>
    <t xml:space="preserve">NF_25682</t>
  </si>
  <si>
    <t xml:space="preserve">NF_25683</t>
  </si>
  <si>
    <t xml:space="preserve">NF_25684</t>
  </si>
  <si>
    <t xml:space="preserve">NF_25685</t>
  </si>
  <si>
    <t xml:space="preserve">NF_25686</t>
  </si>
  <si>
    <t xml:space="preserve">NF_25687</t>
  </si>
  <si>
    <t xml:space="preserve">NF_25688</t>
  </si>
  <si>
    <t xml:space="preserve">NF_25689</t>
  </si>
  <si>
    <t xml:space="preserve">NF_25690</t>
  </si>
  <si>
    <t xml:space="preserve">NF_25691</t>
  </si>
  <si>
    <t xml:space="preserve">NF_25692</t>
  </si>
  <si>
    <t xml:space="preserve">NF_25697</t>
  </si>
  <si>
    <t xml:space="preserve">NF_25698</t>
  </si>
  <si>
    <t xml:space="preserve">NF_25699</t>
  </si>
  <si>
    <t xml:space="preserve">NF_25701</t>
  </si>
  <si>
    <t xml:space="preserve">NF_25702</t>
  </si>
  <si>
    <t xml:space="preserve">NF_25705</t>
  </si>
  <si>
    <t xml:space="preserve">NF_25706</t>
  </si>
  <si>
    <t xml:space="preserve">NF_25707</t>
  </si>
  <si>
    <t xml:space="preserve">NF_025498</t>
  </si>
  <si>
    <t xml:space="preserve">NF_025867</t>
  </si>
  <si>
    <t xml:space="preserve">NF_025868</t>
  </si>
  <si>
    <t xml:space="preserve">NF_025869</t>
  </si>
  <si>
    <t xml:space="preserve">NF_025900</t>
  </si>
  <si>
    <t xml:space="preserve">NF_025901</t>
  </si>
  <si>
    <t xml:space="preserve">NF_025902</t>
  </si>
  <si>
    <t xml:space="preserve">NF_025903</t>
  </si>
  <si>
    <t xml:space="preserve">NF_025904</t>
  </si>
  <si>
    <t xml:space="preserve">461</t>
  </si>
  <si>
    <t xml:space="preserve">NF_025905</t>
  </si>
  <si>
    <t xml:space="preserve">NF_025906</t>
  </si>
  <si>
    <t xml:space="preserve">NF_025907</t>
  </si>
  <si>
    <t xml:space="preserve">NF_025908</t>
  </si>
  <si>
    <t xml:space="preserve">NF_025909</t>
  </si>
  <si>
    <t xml:space="preserve">NF_025910</t>
  </si>
  <si>
    <t xml:space="preserve">NF_025911</t>
  </si>
  <si>
    <t xml:space="preserve">NF_025912</t>
  </si>
  <si>
    <t xml:space="preserve">NF_025913</t>
  </si>
  <si>
    <t xml:space="preserve">NF_025914</t>
  </si>
  <si>
    <t xml:space="preserve">NF_025915</t>
  </si>
  <si>
    <t xml:space="preserve">NF_025916</t>
  </si>
  <si>
    <t xml:space="preserve">NF_025917</t>
  </si>
  <si>
    <t xml:space="preserve">NF_025918</t>
  </si>
  <si>
    <t xml:space="preserve">NF_025919</t>
  </si>
  <si>
    <t xml:space="preserve">NF_025920</t>
  </si>
  <si>
    <t xml:space="preserve">NF_025921</t>
  </si>
  <si>
    <t xml:space="preserve">NF_025922</t>
  </si>
  <si>
    <t xml:space="preserve">NF_025923</t>
  </si>
  <si>
    <t xml:space="preserve">NF_025924</t>
  </si>
  <si>
    <t xml:space="preserve">NF_025925</t>
  </si>
  <si>
    <t xml:space="preserve">NF_025926</t>
  </si>
  <si>
    <t xml:space="preserve">3397</t>
  </si>
  <si>
    <t xml:space="preserve">NF_025927</t>
  </si>
  <si>
    <t xml:space="preserve">NF_025928</t>
  </si>
  <si>
    <t xml:space="preserve">NF_025929</t>
  </si>
  <si>
    <t xml:space="preserve">NF_025930</t>
  </si>
  <si>
    <t xml:space="preserve">NF_025931</t>
  </si>
  <si>
    <t xml:space="preserve">NF_025932</t>
  </si>
  <si>
    <t xml:space="preserve">NF_025934</t>
  </si>
  <si>
    <t xml:space="preserve">NF_025935</t>
  </si>
  <si>
    <t xml:space="preserve">NF_025936</t>
  </si>
  <si>
    <t xml:space="preserve">NF_025951</t>
  </si>
  <si>
    <t xml:space="preserve">NF_025952</t>
  </si>
  <si>
    <t xml:space="preserve">NF_025953</t>
  </si>
  <si>
    <t xml:space="preserve">NF_025954</t>
  </si>
  <si>
    <t xml:space="preserve">NF_025955</t>
  </si>
  <si>
    <t xml:space="preserve">NF_025956</t>
  </si>
  <si>
    <t xml:space="preserve">NF_025957</t>
  </si>
  <si>
    <t xml:space="preserve">NF_025969</t>
  </si>
  <si>
    <t xml:space="preserve">NF_025970</t>
  </si>
  <si>
    <t xml:space="preserve">NF_025971</t>
  </si>
  <si>
    <t xml:space="preserve">NF_026599</t>
  </si>
  <si>
    <t xml:space="preserve">NF_205470</t>
  </si>
  <si>
    <t xml:space="preserve">NF_205471</t>
  </si>
  <si>
    <t xml:space="preserve">NF_205472</t>
  </si>
  <si>
    <t xml:space="preserve">NF_205473</t>
  </si>
  <si>
    <t xml:space="preserve">NF_205474</t>
  </si>
  <si>
    <t xml:space="preserve">NF_205475</t>
  </si>
  <si>
    <t xml:space="preserve">NF_205476</t>
  </si>
  <si>
    <t xml:space="preserve">NF_205477</t>
  </si>
  <si>
    <t xml:space="preserve">NF_205478</t>
  </si>
  <si>
    <t xml:space="preserve">NF_205480</t>
  </si>
  <si>
    <t xml:space="preserve">NF_205481</t>
  </si>
  <si>
    <t xml:space="preserve">NF_205482</t>
  </si>
  <si>
    <t xml:space="preserve">NF_205483</t>
  </si>
  <si>
    <t xml:space="preserve">NF_205484</t>
  </si>
  <si>
    <t xml:space="preserve">NF_205485</t>
  </si>
  <si>
    <t xml:space="preserve">NF_205486</t>
  </si>
  <si>
    <t xml:space="preserve">NF_205487</t>
  </si>
  <si>
    <t xml:space="preserve">NF_205488</t>
  </si>
  <si>
    <t xml:space="preserve">NF_205489</t>
  </si>
  <si>
    <t xml:space="preserve">NF_205490</t>
  </si>
  <si>
    <t xml:space="preserve">NF_205491</t>
  </si>
  <si>
    <t xml:space="preserve">NF_205492</t>
  </si>
  <si>
    <t xml:space="preserve">NF_205493</t>
  </si>
  <si>
    <t xml:space="preserve">NF_205494</t>
  </si>
  <si>
    <t xml:space="preserve">NF_205495</t>
  </si>
  <si>
    <t xml:space="preserve">NF_205496</t>
  </si>
  <si>
    <t xml:space="preserve">NF_205497</t>
  </si>
  <si>
    <t xml:space="preserve">NF_205499</t>
  </si>
  <si>
    <t xml:space="preserve">NF_205500</t>
  </si>
  <si>
    <t xml:space="preserve">NF_205501</t>
  </si>
  <si>
    <t xml:space="preserve">NF_205502</t>
  </si>
  <si>
    <t xml:space="preserve">NF_205503</t>
  </si>
  <si>
    <t xml:space="preserve">NF_205504</t>
  </si>
  <si>
    <t xml:space="preserve">NF_205505</t>
  </si>
  <si>
    <t xml:space="preserve">NF_205506</t>
  </si>
  <si>
    <t xml:space="preserve">NF_205507</t>
  </si>
  <si>
    <t xml:space="preserve">NF_205508</t>
  </si>
  <si>
    <t xml:space="preserve">NF_205509</t>
  </si>
  <si>
    <t xml:space="preserve">NF_205510</t>
  </si>
  <si>
    <t xml:space="preserve">NF_205511</t>
  </si>
  <si>
    <t xml:space="preserve">NF_205512</t>
  </si>
  <si>
    <t xml:space="preserve">NF_205513</t>
  </si>
  <si>
    <t xml:space="preserve">NF_205514</t>
  </si>
  <si>
    <t xml:space="preserve">NF_205515</t>
  </si>
  <si>
    <t xml:space="preserve">NF_205516</t>
  </si>
  <si>
    <t xml:space="preserve">NF_205517</t>
  </si>
  <si>
    <t xml:space="preserve">NF_205518</t>
  </si>
  <si>
    <t xml:space="preserve">NF_205519</t>
  </si>
  <si>
    <t xml:space="preserve">NF_205520</t>
  </si>
  <si>
    <t xml:space="preserve">NF_205578</t>
  </si>
  <si>
    <t xml:space="preserve">NF_25954</t>
  </si>
  <si>
    <t xml:space="preserve">NF_25955</t>
  </si>
  <si>
    <t xml:space="preserve">NF_25956</t>
  </si>
  <si>
    <t xml:space="preserve">NF_25957</t>
  </si>
  <si>
    <t xml:space="preserve">NF_25968</t>
  </si>
  <si>
    <t xml:space="preserve">NF_026172</t>
  </si>
  <si>
    <t xml:space="preserve">NF_026173</t>
  </si>
  <si>
    <t xml:space="preserve">NF_026174</t>
  </si>
  <si>
    <t xml:space="preserve">NF_026182</t>
  </si>
  <si>
    <t xml:space="preserve">NF_026183</t>
  </si>
  <si>
    <t xml:space="preserve">NF_026184</t>
  </si>
  <si>
    <t xml:space="preserve">NF_026185</t>
  </si>
  <si>
    <t xml:space="preserve">NF_026186</t>
  </si>
  <si>
    <t xml:space="preserve">NF_026187</t>
  </si>
  <si>
    <t xml:space="preserve">NF_026188</t>
  </si>
  <si>
    <t xml:space="preserve">NF_026189</t>
  </si>
  <si>
    <t xml:space="preserve">NF_026190</t>
  </si>
  <si>
    <t xml:space="preserve">NF_026191</t>
  </si>
  <si>
    <t xml:space="preserve">NF_026192</t>
  </si>
  <si>
    <t xml:space="preserve">NF_026193</t>
  </si>
  <si>
    <t xml:space="preserve">NF_026194</t>
  </si>
  <si>
    <t xml:space="preserve">NF_026195</t>
  </si>
  <si>
    <t xml:space="preserve">NF_026200</t>
  </si>
  <si>
    <t xml:space="preserve">NF_026201</t>
  </si>
  <si>
    <t xml:space="preserve">NF_026202</t>
  </si>
  <si>
    <t xml:space="preserve">1</t>
  </si>
  <si>
    <t xml:space="preserve">NF_026203</t>
  </si>
  <si>
    <t xml:space="preserve">NF_026204</t>
  </si>
  <si>
    <t xml:space="preserve">NF_026205</t>
  </si>
  <si>
    <t xml:space="preserve">NF_026206</t>
  </si>
  <si>
    <t xml:space="preserve">NF_026207</t>
  </si>
  <si>
    <t xml:space="preserve">NF_026208</t>
  </si>
  <si>
    <t xml:space="preserve">NF_026209</t>
  </si>
  <si>
    <t xml:space="preserve">NF_026210</t>
  </si>
  <si>
    <t xml:space="preserve">NF_026211</t>
  </si>
  <si>
    <t xml:space="preserve">NF_026212</t>
  </si>
  <si>
    <t xml:space="preserve">NF_026213</t>
  </si>
  <si>
    <t xml:space="preserve">NF_026214</t>
  </si>
  <si>
    <t xml:space="preserve">NF_026215</t>
  </si>
  <si>
    <t xml:space="preserve">NF_026216</t>
  </si>
  <si>
    <t xml:space="preserve">NF_026217</t>
  </si>
  <si>
    <t xml:space="preserve">NF_026218</t>
  </si>
  <si>
    <t xml:space="preserve">NF_026219</t>
  </si>
  <si>
    <t xml:space="preserve">NF_026220</t>
  </si>
  <si>
    <t xml:space="preserve">NF_026221</t>
  </si>
  <si>
    <t xml:space="preserve">NF_026222</t>
  </si>
  <si>
    <t xml:space="preserve">NF_026223</t>
  </si>
  <si>
    <t xml:space="preserve">NF_026224</t>
  </si>
  <si>
    <t xml:space="preserve">NF_026225</t>
  </si>
  <si>
    <t xml:space="preserve">NF_026226</t>
  </si>
  <si>
    <t xml:space="preserve">NF_026227</t>
  </si>
  <si>
    <t xml:space="preserve">NF_026228</t>
  </si>
  <si>
    <t xml:space="preserve">NF_026229</t>
  </si>
  <si>
    <t xml:space="preserve">NF_026230</t>
  </si>
  <si>
    <t xml:space="preserve">NF_026231</t>
  </si>
  <si>
    <t xml:space="preserve">NF_026233</t>
  </si>
  <si>
    <t xml:space="preserve">8</t>
  </si>
  <si>
    <t xml:space="preserve">NF_026600</t>
  </si>
  <si>
    <t xml:space="preserve">NF_205521</t>
  </si>
  <si>
    <t xml:space="preserve">NF_205522</t>
  </si>
  <si>
    <t xml:space="preserve">NF_205523</t>
  </si>
  <si>
    <t xml:space="preserve">NF_205524</t>
  </si>
  <si>
    <t xml:space="preserve">NF_205525</t>
  </si>
  <si>
    <t xml:space="preserve">NF_205526</t>
  </si>
  <si>
    <t xml:space="preserve">NF_205527</t>
  </si>
  <si>
    <t xml:space="preserve">NF_205528</t>
  </si>
  <si>
    <t xml:space="preserve">NF_205529</t>
  </si>
  <si>
    <t xml:space="preserve">NF_205530</t>
  </si>
  <si>
    <t xml:space="preserve">NF_205531</t>
  </si>
  <si>
    <t xml:space="preserve">NF_205532</t>
  </si>
  <si>
    <t xml:space="preserve">NF_205533</t>
  </si>
  <si>
    <t xml:space="preserve">NF_205534</t>
  </si>
  <si>
    <t xml:space="preserve">NF_205535</t>
  </si>
  <si>
    <t xml:space="preserve">NF_205536</t>
  </si>
  <si>
    <t xml:space="preserve">NF_205537</t>
  </si>
  <si>
    <t xml:space="preserve">NF_205538</t>
  </si>
  <si>
    <t xml:space="preserve">NF_205539</t>
  </si>
  <si>
    <t xml:space="preserve">NF_205540</t>
  </si>
  <si>
    <t xml:space="preserve">NF_205541</t>
  </si>
  <si>
    <t xml:space="preserve">NF_205542</t>
  </si>
  <si>
    <t xml:space="preserve">NF_205543</t>
  </si>
  <si>
    <t xml:space="preserve">NF_205544</t>
  </si>
  <si>
    <t xml:space="preserve">NF_205545</t>
  </si>
  <si>
    <t xml:space="preserve">NF_205546</t>
  </si>
  <si>
    <t xml:space="preserve">NF_205547</t>
  </si>
  <si>
    <t xml:space="preserve">NF_205548</t>
  </si>
  <si>
    <t xml:space="preserve">NF_205549</t>
  </si>
  <si>
    <t xml:space="preserve">NF_205550</t>
  </si>
  <si>
    <t xml:space="preserve">NF_205551</t>
  </si>
  <si>
    <t xml:space="preserve">NF_205552</t>
  </si>
  <si>
    <t xml:space="preserve">NF_205553</t>
  </si>
  <si>
    <t xml:space="preserve">NF_205554</t>
  </si>
  <si>
    <t xml:space="preserve">NF_205555</t>
  </si>
  <si>
    <t xml:space="preserve">NF_205556</t>
  </si>
  <si>
    <t xml:space="preserve">NF_205557</t>
  </si>
  <si>
    <t xml:space="preserve">NF_205558</t>
  </si>
  <si>
    <t xml:space="preserve">NF_205559</t>
  </si>
  <si>
    <t xml:space="preserve">NF_205560</t>
  </si>
  <si>
    <t xml:space="preserve">NF_205561</t>
  </si>
  <si>
    <t xml:space="preserve">NF_205562</t>
  </si>
  <si>
    <t xml:space="preserve">NF_205563</t>
  </si>
  <si>
    <t xml:space="preserve">NF_205564</t>
  </si>
  <si>
    <t xml:space="preserve">NF_205565</t>
  </si>
  <si>
    <t xml:space="preserve">NF_205566</t>
  </si>
  <si>
    <t xml:space="preserve">NF_205567</t>
  </si>
  <si>
    <t xml:space="preserve">NF_205568</t>
  </si>
  <si>
    <t xml:space="preserve">NF_205569</t>
  </si>
  <si>
    <t xml:space="preserve">NF_205570</t>
  </si>
  <si>
    <t xml:space="preserve">NF_205571</t>
  </si>
  <si>
    <t xml:space="preserve">NF_205572</t>
  </si>
  <si>
    <t xml:space="preserve">NF_205573</t>
  </si>
  <si>
    <t xml:space="preserve">NF_205574</t>
  </si>
  <si>
    <t xml:space="preserve">NF_026428</t>
  </si>
  <si>
    <t xml:space="preserve">NF_026429</t>
  </si>
  <si>
    <t xml:space="preserve">NF_026430</t>
  </si>
  <si>
    <t xml:space="preserve">NF_026432</t>
  </si>
  <si>
    <t xml:space="preserve">NF_026433</t>
  </si>
  <si>
    <t xml:space="preserve">NF_026434</t>
  </si>
  <si>
    <t xml:space="preserve">NF_026435</t>
  </si>
  <si>
    <t xml:space="preserve">NF_026436</t>
  </si>
  <si>
    <t xml:space="preserve">NF_026437</t>
  </si>
  <si>
    <t xml:space="preserve">NF_026438</t>
  </si>
  <si>
    <t xml:space="preserve">NF_026439</t>
  </si>
  <si>
    <t xml:space="preserve">NF_026440</t>
  </si>
  <si>
    <t xml:space="preserve">NF_026441</t>
  </si>
  <si>
    <t xml:space="preserve">NF_026442</t>
  </si>
  <si>
    <t xml:space="preserve">NF_026443</t>
  </si>
  <si>
    <t xml:space="preserve">NF_026444</t>
  </si>
  <si>
    <t xml:space="preserve">NF_026445</t>
  </si>
  <si>
    <t xml:space="preserve">NF_026446</t>
  </si>
  <si>
    <t xml:space="preserve">NF_026447</t>
  </si>
  <si>
    <t xml:space="preserve">NF_026448</t>
  </si>
  <si>
    <t xml:space="preserve">NF_026453</t>
  </si>
  <si>
    <t xml:space="preserve">NF_026454</t>
  </si>
  <si>
    <t xml:space="preserve">NF_026455</t>
  </si>
  <si>
    <t xml:space="preserve">NF_026456</t>
  </si>
  <si>
    <t xml:space="preserve">NF_026457</t>
  </si>
  <si>
    <t xml:space="preserve">NF_026458</t>
  </si>
  <si>
    <t xml:space="preserve">NF_026459</t>
  </si>
  <si>
    <t xml:space="preserve">NF_026460</t>
  </si>
  <si>
    <t xml:space="preserve">NF_026461</t>
  </si>
  <si>
    <t xml:space="preserve">NF_026462</t>
  </si>
  <si>
    <t xml:space="preserve">NF_026463</t>
  </si>
  <si>
    <t xml:space="preserve">NF_026464</t>
  </si>
  <si>
    <t xml:space="preserve">NF_026465</t>
  </si>
  <si>
    <t xml:space="preserve">NF_026466</t>
  </si>
  <si>
    <t xml:space="preserve">NF_026467</t>
  </si>
  <si>
    <t xml:space="preserve">NF_026469</t>
  </si>
  <si>
    <t xml:space="preserve">NF_026470</t>
  </si>
  <si>
    <t xml:space="preserve">NF_026471</t>
  </si>
  <si>
    <t xml:space="preserve">NF_026472</t>
  </si>
  <si>
    <t xml:space="preserve">NF_026473</t>
  </si>
  <si>
    <t xml:space="preserve">NF_026474</t>
  </si>
  <si>
    <t xml:space="preserve">NF_026475</t>
  </si>
  <si>
    <t xml:space="preserve">NF_026476</t>
  </si>
  <si>
    <t xml:space="preserve">NF_026477</t>
  </si>
  <si>
    <t xml:space="preserve">NF_026478</t>
  </si>
  <si>
    <t xml:space="preserve">NF_026526</t>
  </si>
  <si>
    <t xml:space="preserve">NF_026527</t>
  </si>
  <si>
    <t xml:space="preserve">NF_026530</t>
  </si>
  <si>
    <t xml:space="preserve">NF_026531</t>
  </si>
  <si>
    <t xml:space="preserve">NF_026601</t>
  </si>
  <si>
    <t xml:space="preserve">NF_205575</t>
  </si>
  <si>
    <t xml:space="preserve">NF_205576</t>
  </si>
  <si>
    <t xml:space="preserve">NF_205577</t>
  </si>
  <si>
    <t xml:space="preserve">NF_205579</t>
  </si>
  <si>
    <t xml:space="preserve">NF_205580</t>
  </si>
  <si>
    <t xml:space="preserve">NF_205581</t>
  </si>
  <si>
    <t xml:space="preserve">NF_205582</t>
  </si>
  <si>
    <t xml:space="preserve">NF_205583</t>
  </si>
  <si>
    <t xml:space="preserve">NF_205584</t>
  </si>
  <si>
    <t xml:space="preserve">NF_205585</t>
  </si>
  <si>
    <t xml:space="preserve">NF_205586</t>
  </si>
  <si>
    <t xml:space="preserve">NF_205587</t>
  </si>
  <si>
    <t xml:space="preserve">NF_205588</t>
  </si>
  <si>
    <t xml:space="preserve">NF_205589</t>
  </si>
  <si>
    <t xml:space="preserve">NF_205590</t>
  </si>
  <si>
    <t xml:space="preserve">NF_205591</t>
  </si>
  <si>
    <t xml:space="preserve">NF_205592</t>
  </si>
  <si>
    <t xml:space="preserve">NF_205593</t>
  </si>
  <si>
    <t xml:space="preserve">NF_205594</t>
  </si>
  <si>
    <t xml:space="preserve">NF_205595</t>
  </si>
  <si>
    <t xml:space="preserve">NF_205596</t>
  </si>
  <si>
    <t xml:space="preserve">NF_205598</t>
  </si>
  <si>
    <t xml:space="preserve">NF_205599</t>
  </si>
  <si>
    <t xml:space="preserve">NF_205600</t>
  </si>
  <si>
    <t xml:space="preserve">NF_205602</t>
  </si>
  <si>
    <t xml:space="preserve">NF_205603</t>
  </si>
  <si>
    <t xml:space="preserve">NF_205604</t>
  </si>
  <si>
    <t xml:space="preserve">NF_205605</t>
  </si>
  <si>
    <t xml:space="preserve">NF_205606</t>
  </si>
  <si>
    <t xml:space="preserve">NF_205607</t>
  </si>
  <si>
    <t xml:space="preserve">NF_205608</t>
  </si>
  <si>
    <t xml:space="preserve">NF_205609</t>
  </si>
  <si>
    <t xml:space="preserve">NF_205610</t>
  </si>
  <si>
    <t xml:space="preserve">NF_205611</t>
  </si>
  <si>
    <t xml:space="preserve">NF_205612</t>
  </si>
  <si>
    <t xml:space="preserve">NF_205613</t>
  </si>
  <si>
    <t xml:space="preserve">NF_205614</t>
  </si>
  <si>
    <t xml:space="preserve">NF_205615</t>
  </si>
  <si>
    <t xml:space="preserve">NF_205616</t>
  </si>
  <si>
    <t xml:space="preserve">NF_205617</t>
  </si>
  <si>
    <t xml:space="preserve">NF_205618</t>
  </si>
  <si>
    <t xml:space="preserve">NF_205619</t>
  </si>
  <si>
    <t xml:space="preserve">NF_205620</t>
  </si>
  <si>
    <t xml:space="preserve">NF_205621</t>
  </si>
  <si>
    <t xml:space="preserve">NF_205622</t>
  </si>
  <si>
    <t xml:space="preserve">NF_205623</t>
  </si>
  <si>
    <t xml:space="preserve">NF_205624</t>
  </si>
  <si>
    <t xml:space="preserve">NF_205625</t>
  </si>
  <si>
    <t xml:space="preserve">NF_205626</t>
  </si>
  <si>
    <t xml:space="preserve">NF_205627</t>
  </si>
  <si>
    <t xml:space="preserve">NF_205628</t>
  </si>
  <si>
    <t xml:space="preserve">NF_205629</t>
  </si>
  <si>
    <t xml:space="preserve">NF_205630</t>
  </si>
  <si>
    <t xml:space="preserve">NF_026697</t>
  </si>
  <si>
    <t xml:space="preserve">NF_026698</t>
  </si>
  <si>
    <t xml:space="preserve">NF_026700</t>
  </si>
  <si>
    <t xml:space="preserve">NF_026701</t>
  </si>
  <si>
    <t xml:space="preserve">NF_026702</t>
  </si>
  <si>
    <t xml:space="preserve">NF_026703</t>
  </si>
  <si>
    <t xml:space="preserve">NF_026704</t>
  </si>
  <si>
    <t xml:space="preserve">NF_026705</t>
  </si>
  <si>
    <t xml:space="preserve">NF_026706</t>
  </si>
  <si>
    <t xml:space="preserve">NF_026707</t>
  </si>
  <si>
    <t xml:space="preserve">NF_026708</t>
  </si>
  <si>
    <t xml:space="preserve">NF_026709</t>
  </si>
  <si>
    <t xml:space="preserve">NF_026710</t>
  </si>
  <si>
    <t xml:space="preserve">NF_026711</t>
  </si>
  <si>
    <t xml:space="preserve">NF_026712</t>
  </si>
  <si>
    <t xml:space="preserve">NF_026713</t>
  </si>
  <si>
    <t xml:space="preserve">NF_026714</t>
  </si>
  <si>
    <t xml:space="preserve">NF_026715</t>
  </si>
  <si>
    <t xml:space="preserve">NF_026716</t>
  </si>
  <si>
    <t xml:space="preserve">NF_026717</t>
  </si>
  <si>
    <t xml:space="preserve">NF_026718</t>
  </si>
  <si>
    <t xml:space="preserve">NF_026719</t>
  </si>
  <si>
    <t xml:space="preserve">NF_026720</t>
  </si>
  <si>
    <t xml:space="preserve">NF_026721</t>
  </si>
  <si>
    <t xml:space="preserve">NF_026722</t>
  </si>
  <si>
    <t xml:space="preserve">NF_026731</t>
  </si>
  <si>
    <t xml:space="preserve">NF_026745</t>
  </si>
  <si>
    <t xml:space="preserve">NF_026746</t>
  </si>
  <si>
    <t xml:space="preserve">NF_026747</t>
  </si>
  <si>
    <t xml:space="preserve">NF_026748</t>
  </si>
  <si>
    <t xml:space="preserve">NF_026749</t>
  </si>
  <si>
    <t xml:space="preserve">NF_026750</t>
  </si>
  <si>
    <t xml:space="preserve">NF_026751</t>
  </si>
  <si>
    <t xml:space="preserve">NF_026752</t>
  </si>
  <si>
    <t xml:space="preserve">NF_026753</t>
  </si>
  <si>
    <t xml:space="preserve">NF_026754</t>
  </si>
  <si>
    <t xml:space="preserve">NF_026755</t>
  </si>
  <si>
    <t xml:space="preserve">NF_026756</t>
  </si>
  <si>
    <t xml:space="preserve">NF_026757</t>
  </si>
  <si>
    <t xml:space="preserve">NF_026758</t>
  </si>
  <si>
    <t xml:space="preserve">NF_026759</t>
  </si>
  <si>
    <t xml:space="preserve">NF_026760</t>
  </si>
  <si>
    <t xml:space="preserve">NF_026761</t>
  </si>
  <si>
    <t xml:space="preserve">NF_026762</t>
  </si>
  <si>
    <t xml:space="preserve">NF_026810</t>
  </si>
  <si>
    <t xml:space="preserve">NF_026811</t>
  </si>
  <si>
    <t xml:space="preserve">NF_026917</t>
  </si>
  <si>
    <t xml:space="preserve">NF_205631</t>
  </si>
  <si>
    <t xml:space="preserve">NF_205632</t>
  </si>
  <si>
    <t xml:space="preserve">NF_205633</t>
  </si>
  <si>
    <t xml:space="preserve">NF_205634</t>
  </si>
  <si>
    <t xml:space="preserve">NF_205635</t>
  </si>
  <si>
    <t xml:space="preserve">NF_205636</t>
  </si>
  <si>
    <t xml:space="preserve">NF_205637</t>
  </si>
  <si>
    <t xml:space="preserve">NF_205638</t>
  </si>
  <si>
    <t xml:space="preserve">NF_205639</t>
  </si>
  <si>
    <t xml:space="preserve">NF_205640</t>
  </si>
  <si>
    <t xml:space="preserve">NF_205641</t>
  </si>
  <si>
    <t xml:space="preserve">NF_205642</t>
  </si>
  <si>
    <t xml:space="preserve">NF_205643</t>
  </si>
  <si>
    <t xml:space="preserve">NF_205644</t>
  </si>
  <si>
    <t xml:space="preserve">NF_205645</t>
  </si>
  <si>
    <t xml:space="preserve">NF_205646</t>
  </si>
  <si>
    <t xml:space="preserve">NF_205647</t>
  </si>
  <si>
    <t xml:space="preserve">NF_205648</t>
  </si>
  <si>
    <t xml:space="preserve">NF_205649</t>
  </si>
  <si>
    <t xml:space="preserve">NF_205650</t>
  </si>
  <si>
    <t xml:space="preserve">NF_205651</t>
  </si>
  <si>
    <t xml:space="preserve">NF_205652</t>
  </si>
  <si>
    <t xml:space="preserve">NF_205653</t>
  </si>
  <si>
    <t xml:space="preserve">NF_205654</t>
  </si>
  <si>
    <t xml:space="preserve">NF_205655</t>
  </si>
  <si>
    <t xml:space="preserve">NF_205656</t>
  </si>
  <si>
    <t xml:space="preserve">NF_205657</t>
  </si>
  <si>
    <t xml:space="preserve">NF_205658</t>
  </si>
  <si>
    <t xml:space="preserve">NF_205659</t>
  </si>
  <si>
    <t xml:space="preserve">NF_205660</t>
  </si>
  <si>
    <t xml:space="preserve">NF_205661</t>
  </si>
  <si>
    <t xml:space="preserve">NF_205662</t>
  </si>
  <si>
    <t xml:space="preserve">NF_205663</t>
  </si>
  <si>
    <t xml:space="preserve">NF_205664</t>
  </si>
  <si>
    <t xml:space="preserve">NF_205665</t>
  </si>
  <si>
    <t xml:space="preserve">NF_205666</t>
  </si>
  <si>
    <t xml:space="preserve">NF_205667</t>
  </si>
  <si>
    <t xml:space="preserve">NF_205668</t>
  </si>
  <si>
    <t xml:space="preserve">NF_205669</t>
  </si>
  <si>
    <t xml:space="preserve">NF_205670</t>
  </si>
  <si>
    <t xml:space="preserve">NF_205671</t>
  </si>
  <si>
    <t xml:space="preserve">NF_205672</t>
  </si>
  <si>
    <t xml:space="preserve">NF_205673</t>
  </si>
  <si>
    <t xml:space="preserve">NF_205674</t>
  </si>
  <si>
    <t xml:space="preserve">NF_205675</t>
  </si>
  <si>
    <t xml:space="preserve">NF_205676</t>
  </si>
  <si>
    <t xml:space="preserve">NF_205677</t>
  </si>
  <si>
    <t xml:space="preserve">NF_205678</t>
  </si>
  <si>
    <t xml:space="preserve">NF_205679</t>
  </si>
  <si>
    <t xml:space="preserve">NF_205680</t>
  </si>
  <si>
    <t xml:space="preserve">NF_205681</t>
  </si>
  <si>
    <t xml:space="preserve">NF_026918</t>
  </si>
  <si>
    <t xml:space="preserve">NF_026922</t>
  </si>
  <si>
    <t xml:space="preserve">NF_026923</t>
  </si>
  <si>
    <t xml:space="preserve">NF_026924</t>
  </si>
  <si>
    <t xml:space="preserve">46</t>
  </si>
  <si>
    <t xml:space="preserve">NF_026925</t>
  </si>
  <si>
    <t xml:space="preserve">NF_026926</t>
  </si>
  <si>
    <t xml:space="preserve">NF_026927</t>
  </si>
  <si>
    <t xml:space="preserve">NF_026928</t>
  </si>
  <si>
    <t xml:space="preserve">NF_026929</t>
  </si>
  <si>
    <t xml:space="preserve">NF_026930</t>
  </si>
  <si>
    <t xml:space="preserve">467</t>
  </si>
  <si>
    <t xml:space="preserve">NF_026931</t>
  </si>
  <si>
    <t xml:space="preserve">NF_026932</t>
  </si>
  <si>
    <t xml:space="preserve">NF_026933</t>
  </si>
  <si>
    <t xml:space="preserve">NF_026934</t>
  </si>
  <si>
    <t xml:space="preserve">NF_026946</t>
  </si>
  <si>
    <t xml:space="preserve">NF_026947</t>
  </si>
  <si>
    <t xml:space="preserve">NF_026948</t>
  </si>
  <si>
    <t xml:space="preserve">NF_026949</t>
  </si>
  <si>
    <t xml:space="preserve">NF_026950</t>
  </si>
  <si>
    <t xml:space="preserve">NF_026951</t>
  </si>
  <si>
    <t xml:space="preserve">NF_0269522</t>
  </si>
  <si>
    <t xml:space="preserve">NF_026953</t>
  </si>
  <si>
    <t xml:space="preserve">NF_026958</t>
  </si>
  <si>
    <t xml:space="preserve">NF_026960</t>
  </si>
  <si>
    <t xml:space="preserve">NF_026962</t>
  </si>
  <si>
    <t xml:space="preserve">NF_026963</t>
  </si>
  <si>
    <t xml:space="preserve">NF_026964</t>
  </si>
  <si>
    <t xml:space="preserve">NF_026965</t>
  </si>
  <si>
    <t xml:space="preserve">NF_026966</t>
  </si>
  <si>
    <t xml:space="preserve">NF_026967</t>
  </si>
  <si>
    <t xml:space="preserve">NF_026968</t>
  </si>
  <si>
    <t xml:space="preserve">NF_026969</t>
  </si>
  <si>
    <t xml:space="preserve">NF_026973</t>
  </si>
  <si>
    <t xml:space="preserve">NF_027013</t>
  </si>
  <si>
    <t xml:space="preserve">NF_205684</t>
  </si>
  <si>
    <t xml:space="preserve">NF_205685</t>
  </si>
  <si>
    <t xml:space="preserve">NF_205686</t>
  </si>
  <si>
    <t xml:space="preserve">NF_205687</t>
  </si>
  <si>
    <t xml:space="preserve">NF_205688</t>
  </si>
  <si>
    <t xml:space="preserve">NF_205689</t>
  </si>
  <si>
    <t xml:space="preserve">NF_205690</t>
  </si>
  <si>
    <t xml:space="preserve">NF_205691</t>
  </si>
  <si>
    <t xml:space="preserve">NF_205692</t>
  </si>
  <si>
    <t xml:space="preserve">NF_205693</t>
  </si>
  <si>
    <t xml:space="preserve">NF_205694</t>
  </si>
  <si>
    <t xml:space="preserve">NF_205695</t>
  </si>
  <si>
    <t xml:space="preserve">NF_205696</t>
  </si>
  <si>
    <t xml:space="preserve">NF_205697</t>
  </si>
  <si>
    <t xml:space="preserve">NF_205698</t>
  </si>
  <si>
    <t xml:space="preserve">NF_205699</t>
  </si>
  <si>
    <t xml:space="preserve">NF_205700</t>
  </si>
  <si>
    <t xml:space="preserve">NF_205701</t>
  </si>
  <si>
    <t xml:space="preserve">NF_205702</t>
  </si>
  <si>
    <t xml:space="preserve">NF_205703</t>
  </si>
  <si>
    <t xml:space="preserve">NF_205704</t>
  </si>
  <si>
    <t xml:space="preserve">NF_205705</t>
  </si>
  <si>
    <t xml:space="preserve">NF_205706</t>
  </si>
  <si>
    <t xml:space="preserve">NF_205707</t>
  </si>
  <si>
    <t xml:space="preserve">NF_205708</t>
  </si>
  <si>
    <t xml:space="preserve">NF_205709</t>
  </si>
  <si>
    <t xml:space="preserve">NF_205710</t>
  </si>
  <si>
    <t xml:space="preserve">NF_205711</t>
  </si>
  <si>
    <t xml:space="preserve">NF_205712</t>
  </si>
  <si>
    <t xml:space="preserve">NF_205713</t>
  </si>
  <si>
    <t xml:space="preserve">NF_205714</t>
  </si>
  <si>
    <t xml:space="preserve">NF_205715</t>
  </si>
  <si>
    <t xml:space="preserve">NF_205716</t>
  </si>
  <si>
    <t xml:space="preserve">NF_205717</t>
  </si>
  <si>
    <t xml:space="preserve">NF_205719</t>
  </si>
  <si>
    <t xml:space="preserve">NF_205720</t>
  </si>
  <si>
    <t xml:space="preserve">NF_205722</t>
  </si>
  <si>
    <t xml:space="preserve">NF_26959</t>
  </si>
  <si>
    <t xml:space="preserve">NF_26971</t>
  </si>
  <si>
    <t xml:space="preserve">NF_26972</t>
  </si>
  <si>
    <t xml:space="preserve">nf_205721</t>
  </si>
  <si>
    <t xml:space="preserve">nf_270121</t>
  </si>
  <si>
    <t xml:space="preserve">NF_027136</t>
  </si>
  <si>
    <t xml:space="preserve">7</t>
  </si>
  <si>
    <t xml:space="preserve">NF_027137</t>
  </si>
  <si>
    <t xml:space="preserve">NF_027138</t>
  </si>
  <si>
    <t xml:space="preserve">NF_027139</t>
  </si>
  <si>
    <t xml:space="preserve">NF_027140</t>
  </si>
  <si>
    <t xml:space="preserve">NF_027142</t>
  </si>
  <si>
    <t xml:space="preserve">NF_027143</t>
  </si>
  <si>
    <t xml:space="preserve">NF_027144</t>
  </si>
  <si>
    <t xml:space="preserve">NF_027145</t>
  </si>
  <si>
    <t xml:space="preserve">NF_027147</t>
  </si>
  <si>
    <t xml:space="preserve">NF_027148</t>
  </si>
  <si>
    <t xml:space="preserve">NF_027149</t>
  </si>
  <si>
    <t xml:space="preserve">NF_027150</t>
  </si>
  <si>
    <t xml:space="preserve">NF_027151</t>
  </si>
  <si>
    <t xml:space="preserve">NF_027152</t>
  </si>
  <si>
    <t xml:space="preserve">NF_027153</t>
  </si>
  <si>
    <t xml:space="preserve">NF_027156</t>
  </si>
  <si>
    <t xml:space="preserve">NF_027157</t>
  </si>
  <si>
    <t xml:space="preserve">NF_027158</t>
  </si>
  <si>
    <t xml:space="preserve">NF_027159</t>
  </si>
  <si>
    <t xml:space="preserve">NF_027160</t>
  </si>
  <si>
    <t xml:space="preserve">NF_027161</t>
  </si>
  <si>
    <t xml:space="preserve">NF_027163</t>
  </si>
  <si>
    <t xml:space="preserve">NF_027164</t>
  </si>
  <si>
    <t xml:space="preserve">NF_027193</t>
  </si>
  <si>
    <t xml:space="preserve">NF_027199</t>
  </si>
  <si>
    <t xml:space="preserve">NF_027200</t>
  </si>
  <si>
    <t xml:space="preserve">NF_027209</t>
  </si>
  <si>
    <t xml:space="preserve">NF_027210</t>
  </si>
  <si>
    <t xml:space="preserve">3440</t>
  </si>
  <si>
    <t xml:space="preserve">NF_205724</t>
  </si>
  <si>
    <t xml:space="preserve">NF_205725</t>
  </si>
  <si>
    <t xml:space="preserve">NF_205726</t>
  </si>
  <si>
    <t xml:space="preserve">NF_205727</t>
  </si>
  <si>
    <t xml:space="preserve">NF_205728</t>
  </si>
  <si>
    <t xml:space="preserve">NF_205729</t>
  </si>
  <si>
    <t xml:space="preserve">NF_205730</t>
  </si>
  <si>
    <t xml:space="preserve">NF_205731</t>
  </si>
  <si>
    <t xml:space="preserve">NF_205732</t>
  </si>
  <si>
    <t xml:space="preserve">NF_205733</t>
  </si>
  <si>
    <t xml:space="preserve">NF_205734</t>
  </si>
  <si>
    <t xml:space="preserve">NF_205735</t>
  </si>
  <si>
    <t xml:space="preserve">NF_205736</t>
  </si>
  <si>
    <t xml:space="preserve">NF_205738</t>
  </si>
  <si>
    <t xml:space="preserve">NF_205739</t>
  </si>
  <si>
    <t xml:space="preserve">NF_205740</t>
  </si>
  <si>
    <t xml:space="preserve">NF_205741</t>
  </si>
  <si>
    <t xml:space="preserve">NF_205742</t>
  </si>
  <si>
    <t xml:space="preserve">NF_205743</t>
  </si>
  <si>
    <t xml:space="preserve">NF_205744</t>
  </si>
  <si>
    <t xml:space="preserve">NF_205745</t>
  </si>
  <si>
    <t xml:space="preserve">NF_205746</t>
  </si>
  <si>
    <t xml:space="preserve">NF_205747</t>
  </si>
  <si>
    <t xml:space="preserve">NF_205748</t>
  </si>
  <si>
    <t xml:space="preserve">NF_205749</t>
  </si>
  <si>
    <t xml:space="preserve">Total calculado = folha + taxa + tributo somados a partir do detalhe. Total Geral informado = o que veio na planilha de rateio. Os dois têm que bater.</t>
  </si>
  <si>
    <t xml:space="preserve">A linha "Não listado" compara o total da aba NF x Centro de Custo com a soma das notas acima. Diferente de zero = nota nova que ainda não está nesta lista.</t>
  </si>
  <si>
    <t xml:space="preserve">Escolha a nota na célula amarela e a distribuição dela aparece abaixo, por centro de custo e por grupo de rubrica.</t>
  </si>
  <si>
    <t xml:space="preserve">Nota fiscal</t>
  </si>
  <si>
    <t xml:space="preserve">← clique na seta para escolher, ou digite o número</t>
  </si>
  <si>
    <t xml:space="preserve">Total calculado</t>
  </si>
  <si>
    <t xml:space="preserve">Total Geral informado</t>
  </si>
  <si>
    <t xml:space="preserve">Diferença</t>
  </si>
  <si>
    <t xml:space="preserve">Folha</t>
  </si>
  <si>
    <t xml:space="preserve">Distribuição por centro de custo</t>
  </si>
  <si>
    <t xml:space="preserve">#</t>
  </si>
  <si>
    <t xml:space="preserve">% da nota</t>
  </si>
  <si>
    <t xml:space="preserve">Total da nota</t>
  </si>
  <si>
    <t xml:space="preserve">Valor (R$)</t>
  </si>
  <si>
    <t xml:space="preserve">Os três totais desta página — a soma dos centros, a soma dos grupos e o Total calculado do quadro acima — têm que dar o mesmo valor. O detalhe por colaborador está na aba Rateios da versão completa, filtrando pela NF.</t>
  </si>
  <si>
    <t xml:space="preserve">Como cada nota fiscal se reparte entre os centros de custo. Saída da consulta — atualiza com Dados &gt; Atualizar Tudo.</t>
  </si>
  <si>
    <t xml:space="preserve">Ordem na nota</t>
  </si>
  <si>
    <t xml:space="preserve">Chave</t>
  </si>
  <si>
    <t xml:space="preserve">NDB_205429|1</t>
  </si>
  <si>
    <t xml:space="preserve">NDB_205429|2</t>
  </si>
  <si>
    <t xml:space="preserve">NDB_205429|3</t>
  </si>
  <si>
    <t xml:space="preserve">NDB_205429|4</t>
  </si>
  <si>
    <t xml:space="preserve">NDB_205429|5</t>
  </si>
  <si>
    <t xml:space="preserve">NDB_205429|6</t>
  </si>
  <si>
    <t xml:space="preserve">NDB_205429|7</t>
  </si>
  <si>
    <t xml:space="preserve">NDB_205429|8</t>
  </si>
  <si>
    <t xml:space="preserve">NDB_205430|1</t>
  </si>
  <si>
    <t xml:space="preserve">NDB_205431|1</t>
  </si>
  <si>
    <t xml:space="preserve">NDB_205432|1</t>
  </si>
  <si>
    <t xml:space="preserve">NDB_205432|2</t>
  </si>
  <si>
    <t xml:space="preserve">NDB_205433|1</t>
  </si>
  <si>
    <t xml:space="preserve">NDB_205434|1</t>
  </si>
  <si>
    <t xml:space="preserve">NDB_205463|1</t>
  </si>
  <si>
    <t xml:space="preserve">NDB_205463|2</t>
  </si>
  <si>
    <t xml:space="preserve">NDB_205469|1</t>
  </si>
  <si>
    <t xml:space="preserve">NF_026598|1</t>
  </si>
  <si>
    <t xml:space="preserve">NF_026598|2</t>
  </si>
  <si>
    <t xml:space="preserve">NF_205435|1</t>
  </si>
  <si>
    <t xml:space="preserve">NF_205436|1</t>
  </si>
  <si>
    <t xml:space="preserve">NF_205437|1</t>
  </si>
  <si>
    <t xml:space="preserve">NF_205438|1</t>
  </si>
  <si>
    <t xml:space="preserve">NF_205439|1</t>
  </si>
  <si>
    <t xml:space="preserve">NF_205440|1</t>
  </si>
  <si>
    <t xml:space="preserve">NF_205441|1</t>
  </si>
  <si>
    <t xml:space="preserve">NF_205442|1</t>
  </si>
  <si>
    <t xml:space="preserve">NF_205443|1</t>
  </si>
  <si>
    <t xml:space="preserve">NF_205444|1</t>
  </si>
  <si>
    <t xml:space="preserve">NF_205445|1</t>
  </si>
  <si>
    <t xml:space="preserve">NF_205445|2</t>
  </si>
  <si>
    <t xml:space="preserve">NF_205445|3</t>
  </si>
  <si>
    <t xml:space="preserve">NF_205446|1</t>
  </si>
  <si>
    <t xml:space="preserve">NF_205447|1</t>
  </si>
  <si>
    <t xml:space="preserve">NF_205448|1</t>
  </si>
  <si>
    <t xml:space="preserve">NF_205449|1</t>
  </si>
  <si>
    <t xml:space="preserve">NF_205450|1</t>
  </si>
  <si>
    <t xml:space="preserve">NF_205450|2</t>
  </si>
  <si>
    <t xml:space="preserve">NF_205451|1</t>
  </si>
  <si>
    <t xml:space="preserve">NF_205452|1</t>
  </si>
  <si>
    <t xml:space="preserve">NF_205453|1</t>
  </si>
  <si>
    <t xml:space="preserve">NF_205454|1</t>
  </si>
  <si>
    <t xml:space="preserve">NF_205455|1</t>
  </si>
  <si>
    <t xml:space="preserve">NF_205456|1</t>
  </si>
  <si>
    <t xml:space="preserve">NF_205457|1</t>
  </si>
  <si>
    <t xml:space="preserve">NF_205458|1</t>
  </si>
  <si>
    <t xml:space="preserve">NF_205459|1</t>
  </si>
  <si>
    <t xml:space="preserve">NF_205459|2</t>
  </si>
  <si>
    <t xml:space="preserve">NF_205459|3</t>
  </si>
  <si>
    <t xml:space="preserve">NF_205459|4</t>
  </si>
  <si>
    <t xml:space="preserve">NF_205459|5</t>
  </si>
  <si>
    <t xml:space="preserve">NF_205460|1</t>
  </si>
  <si>
    <t xml:space="preserve">NF_205460|2</t>
  </si>
  <si>
    <t xml:space="preserve">NF_205460|3</t>
  </si>
  <si>
    <t xml:space="preserve">NF_205460|4</t>
  </si>
  <si>
    <t xml:space="preserve">NF_205460|5</t>
  </si>
  <si>
    <t xml:space="preserve">NF_205460|6</t>
  </si>
  <si>
    <t xml:space="preserve">NF_205460|7</t>
  </si>
  <si>
    <t xml:space="preserve">NF_205460|8</t>
  </si>
  <si>
    <t xml:space="preserve">NF_205460|9</t>
  </si>
  <si>
    <t xml:space="preserve">NF_205460|10</t>
  </si>
  <si>
    <t xml:space="preserve">NF_205460|11</t>
  </si>
  <si>
    <t xml:space="preserve">NF_205460|12</t>
  </si>
  <si>
    <t xml:space="preserve">NF_205460|13</t>
  </si>
  <si>
    <t xml:space="preserve">NF_205460|14</t>
  </si>
  <si>
    <t xml:space="preserve">NF_205461|1</t>
  </si>
  <si>
    <t xml:space="preserve">NF_205461|2</t>
  </si>
  <si>
    <t xml:space="preserve">NF_205461|3</t>
  </si>
  <si>
    <t xml:space="preserve">NF_205461|4</t>
  </si>
  <si>
    <t xml:space="preserve">NF_205462|1</t>
  </si>
  <si>
    <t xml:space="preserve">NF_205462|2</t>
  </si>
  <si>
    <t xml:space="preserve">NF_205462|3</t>
  </si>
  <si>
    <t xml:space="preserve">NF_205462|4</t>
  </si>
  <si>
    <t xml:space="preserve">NF_205462|5</t>
  </si>
  <si>
    <t xml:space="preserve">NF_205462|6</t>
  </si>
  <si>
    <t xml:space="preserve">NF_205462|7</t>
  </si>
  <si>
    <t xml:space="preserve">NF_205462|8</t>
  </si>
  <si>
    <t xml:space="preserve">NF_205462|9</t>
  </si>
  <si>
    <t xml:space="preserve">NF_205462|10</t>
  </si>
  <si>
    <t xml:space="preserve">NF_205462|11</t>
  </si>
  <si>
    <t xml:space="preserve">NF_205462|12</t>
  </si>
  <si>
    <t xml:space="preserve">NF_205462|13</t>
  </si>
  <si>
    <t xml:space="preserve">NF_205462|14</t>
  </si>
  <si>
    <t xml:space="preserve">NF_205464|1</t>
  </si>
  <si>
    <t xml:space="preserve">NF_205465|1</t>
  </si>
  <si>
    <t xml:space="preserve">NF_205465|2</t>
  </si>
  <si>
    <t xml:space="preserve">NF_205466|1</t>
  </si>
  <si>
    <t xml:space="preserve">NF_205466|2</t>
  </si>
  <si>
    <t xml:space="preserve">NF_205466|3</t>
  </si>
  <si>
    <t xml:space="preserve">NF_205466|4</t>
  </si>
  <si>
    <t xml:space="preserve">NF_205466|5</t>
  </si>
  <si>
    <t xml:space="preserve">NF_205467|1</t>
  </si>
  <si>
    <t xml:space="preserve">NF_205467|2</t>
  </si>
  <si>
    <t xml:space="preserve">NF_205467|3</t>
  </si>
  <si>
    <t xml:space="preserve">NF_205467|4</t>
  </si>
  <si>
    <t xml:space="preserve">NF_205467|5</t>
  </si>
  <si>
    <t xml:space="preserve">NF_205468|1</t>
  </si>
  <si>
    <t xml:space="preserve">NF_205479|1</t>
  </si>
  <si>
    <t xml:space="preserve">NF_205479|2</t>
  </si>
  <si>
    <t xml:space="preserve">NF_25659|1</t>
  </si>
  <si>
    <t xml:space="preserve">NF_25659|2</t>
  </si>
  <si>
    <t xml:space="preserve">NF_25659|3</t>
  </si>
  <si>
    <t xml:space="preserve">NF_25659|4</t>
  </si>
  <si>
    <t xml:space="preserve">NF_25659|5</t>
  </si>
  <si>
    <t xml:space="preserve">NF_25659|6</t>
  </si>
  <si>
    <t xml:space="preserve">NF_25659|7</t>
  </si>
  <si>
    <t xml:space="preserve">NF_25660|1</t>
  </si>
  <si>
    <t xml:space="preserve">NF_25661|1</t>
  </si>
  <si>
    <t xml:space="preserve">NF_25662|1</t>
  </si>
  <si>
    <t xml:space="preserve">NF_25662|2</t>
  </si>
  <si>
    <t xml:space="preserve">NF_25662|3</t>
  </si>
  <si>
    <t xml:space="preserve">NF_25663|1</t>
  </si>
  <si>
    <t xml:space="preserve">NF_25664|1</t>
  </si>
  <si>
    <t xml:space="preserve">NF_25665|1</t>
  </si>
  <si>
    <t xml:space="preserve">NF_25666|1</t>
  </si>
  <si>
    <t xml:space="preserve">NF_25667|1</t>
  </si>
  <si>
    <t xml:space="preserve">NF_25668|1</t>
  </si>
  <si>
    <t xml:space="preserve">NF_25669|1</t>
  </si>
  <si>
    <t xml:space="preserve">NF_25670|1</t>
  </si>
  <si>
    <t xml:space="preserve">NF_25674|1</t>
  </si>
  <si>
    <t xml:space="preserve">NF_25675|1</t>
  </si>
  <si>
    <t xml:space="preserve">NF_25675|2</t>
  </si>
  <si>
    <t xml:space="preserve">NF_25676|1</t>
  </si>
  <si>
    <t xml:space="preserve">NF_25677|1</t>
  </si>
  <si>
    <t xml:space="preserve">NF_25678|1</t>
  </si>
  <si>
    <t xml:space="preserve">NF_25679|1</t>
  </si>
  <si>
    <t xml:space="preserve">NF_25680|1</t>
  </si>
  <si>
    <t xml:space="preserve">NF_25680|2</t>
  </si>
  <si>
    <t xml:space="preserve">NF_25680|3</t>
  </si>
  <si>
    <t xml:space="preserve">NF_25680|4</t>
  </si>
  <si>
    <t xml:space="preserve">NF_25680|5</t>
  </si>
  <si>
    <t xml:space="preserve">NF_25681|1</t>
  </si>
  <si>
    <t xml:space="preserve">NF_25681|2</t>
  </si>
  <si>
    <t xml:space="preserve">NF_25681|3</t>
  </si>
  <si>
    <t xml:space="preserve">NF_25681|4</t>
  </si>
  <si>
    <t xml:space="preserve">NF_25681|5</t>
  </si>
  <si>
    <t xml:space="preserve">NF_25681|6</t>
  </si>
  <si>
    <t xml:space="preserve">NF_25681|7</t>
  </si>
  <si>
    <t xml:space="preserve">NF_25681|8</t>
  </si>
  <si>
    <t xml:space="preserve">NF_25681|9</t>
  </si>
  <si>
    <t xml:space="preserve">NF_25681|10</t>
  </si>
  <si>
    <t xml:space="preserve">NF_25681|11</t>
  </si>
  <si>
    <t xml:space="preserve">NF_25681|12</t>
  </si>
  <si>
    <t xml:space="preserve">NF_25681|13</t>
  </si>
  <si>
    <t xml:space="preserve">NF_25681|14</t>
  </si>
  <si>
    <t xml:space="preserve">NF_25681|15</t>
  </si>
  <si>
    <t xml:space="preserve">NF_25682|1</t>
  </si>
  <si>
    <t xml:space="preserve">NF_25682|2</t>
  </si>
  <si>
    <t xml:space="preserve">NF_25683|1</t>
  </si>
  <si>
    <t xml:space="preserve">NF_25684|1</t>
  </si>
  <si>
    <t xml:space="preserve">NF_25685|1</t>
  </si>
  <si>
    <t xml:space="preserve">NF_25686|1</t>
  </si>
  <si>
    <t xml:space="preserve">NF_25687|1</t>
  </si>
  <si>
    <t xml:space="preserve">NF_25688|1</t>
  </si>
  <si>
    <t xml:space="preserve">NF_25689|1</t>
  </si>
  <si>
    <t xml:space="preserve">NF_25690|1</t>
  </si>
  <si>
    <t xml:space="preserve">NF_25691|1</t>
  </si>
  <si>
    <t xml:space="preserve">NF_25692|1</t>
  </si>
  <si>
    <t xml:space="preserve">NF_25692|2</t>
  </si>
  <si>
    <t xml:space="preserve">NF_25697|1</t>
  </si>
  <si>
    <t xml:space="preserve">NF_25698|1</t>
  </si>
  <si>
    <t xml:space="preserve">NF_25699|1</t>
  </si>
  <si>
    <t xml:space="preserve">NF_25699|2</t>
  </si>
  <si>
    <t xml:space="preserve">NF_25701|1</t>
  </si>
  <si>
    <t xml:space="preserve">NF_25701|2</t>
  </si>
  <si>
    <t xml:space="preserve">NF_25701|3</t>
  </si>
  <si>
    <t xml:space="preserve">NF_25701|4</t>
  </si>
  <si>
    <t xml:space="preserve">NF_25701|5</t>
  </si>
  <si>
    <t xml:space="preserve">NF_25702|1</t>
  </si>
  <si>
    <t xml:space="preserve">NF_25702|2</t>
  </si>
  <si>
    <t xml:space="preserve">NF_25702|3</t>
  </si>
  <si>
    <t xml:space="preserve">NF_25702|4</t>
  </si>
  <si>
    <t xml:space="preserve">NF_25702|5</t>
  </si>
  <si>
    <t xml:space="preserve">NF_25705|1</t>
  </si>
  <si>
    <t xml:space="preserve">NF_25706|1</t>
  </si>
  <si>
    <t xml:space="preserve">NF_25707|1</t>
  </si>
  <si>
    <t xml:space="preserve">NF_025498|1</t>
  </si>
  <si>
    <t xml:space="preserve">NF_025867|1</t>
  </si>
  <si>
    <t xml:space="preserve">NF_025867|2</t>
  </si>
  <si>
    <t xml:space="preserve">NF_025867|3</t>
  </si>
  <si>
    <t xml:space="preserve">NF_025867|4</t>
  </si>
  <si>
    <t xml:space="preserve">NF_025868|1</t>
  </si>
  <si>
    <t xml:space="preserve">NF_025868|2</t>
  </si>
  <si>
    <t xml:space="preserve">NF_025868|3</t>
  </si>
  <si>
    <t xml:space="preserve">NF_025868|4</t>
  </si>
  <si>
    <t xml:space="preserve">NF_025868|5</t>
  </si>
  <si>
    <t xml:space="preserve">NF_025868|6</t>
  </si>
  <si>
    <t xml:space="preserve">NF_025868|7</t>
  </si>
  <si>
    <t xml:space="preserve">NF_025868|8</t>
  </si>
  <si>
    <t xml:space="preserve">NF_025868|9</t>
  </si>
  <si>
    <t xml:space="preserve">NF_025868|10</t>
  </si>
  <si>
    <t xml:space="preserve">NF_025868|11</t>
  </si>
  <si>
    <t xml:space="preserve">NF_025868|12</t>
  </si>
  <si>
    <t xml:space="preserve">NF_025868|13</t>
  </si>
  <si>
    <t xml:space="preserve">NF_025868|14</t>
  </si>
  <si>
    <t xml:space="preserve">NF_025869|1</t>
  </si>
  <si>
    <t xml:space="preserve">NF_025869|2</t>
  </si>
  <si>
    <t xml:space="preserve">NF_025900|1</t>
  </si>
  <si>
    <t xml:space="preserve">NF_025900|2</t>
  </si>
  <si>
    <t xml:space="preserve">NF_025900|3</t>
  </si>
  <si>
    <t xml:space="preserve">NF_025900|4</t>
  </si>
  <si>
    <t xml:space="preserve">NF_025900|5</t>
  </si>
  <si>
    <t xml:space="preserve">NF_025900|6</t>
  </si>
  <si>
    <t xml:space="preserve">NF_025900|7</t>
  </si>
  <si>
    <t xml:space="preserve">NF_025900|8</t>
  </si>
  <si>
    <t xml:space="preserve">NF_025901|1</t>
  </si>
  <si>
    <t xml:space="preserve">NF_025901|2</t>
  </si>
  <si>
    <t xml:space="preserve">NF_025901|3</t>
  </si>
  <si>
    <t xml:space="preserve">NF_025901|4</t>
  </si>
  <si>
    <t xml:space="preserve">NF_025902|1</t>
  </si>
  <si>
    <t xml:space="preserve">NF_025903|1</t>
  </si>
  <si>
    <t xml:space="preserve">NF_025904|1</t>
  </si>
  <si>
    <t xml:space="preserve">NF_025904|2</t>
  </si>
  <si>
    <t xml:space="preserve">NF_025904|3</t>
  </si>
  <si>
    <t xml:space="preserve">NF_025905|1</t>
  </si>
  <si>
    <t xml:space="preserve">NF_025906|1</t>
  </si>
  <si>
    <t xml:space="preserve">NF_025907|1</t>
  </si>
  <si>
    <t xml:space="preserve">NF_025908|1</t>
  </si>
  <si>
    <t xml:space="preserve">NF_025909|1</t>
  </si>
  <si>
    <t xml:space="preserve">NF_025910|1</t>
  </si>
  <si>
    <t xml:space="preserve">NF_025911|1</t>
  </si>
  <si>
    <t xml:space="preserve">NF_025911|2</t>
  </si>
  <si>
    <t xml:space="preserve">NF_025911|3</t>
  </si>
  <si>
    <t xml:space="preserve">NF_025912|1</t>
  </si>
  <si>
    <t xml:space="preserve">NF_025912|2</t>
  </si>
  <si>
    <t xml:space="preserve">NF_025912|3</t>
  </si>
  <si>
    <t xml:space="preserve">NF_025912|4</t>
  </si>
  <si>
    <t xml:space="preserve">NF_025912|5</t>
  </si>
  <si>
    <t xml:space="preserve">NF_025913|1</t>
  </si>
  <si>
    <t xml:space="preserve">NF_025914|1</t>
  </si>
  <si>
    <t xml:space="preserve">NF_025915|1</t>
  </si>
  <si>
    <t xml:space="preserve">NF_025916|1</t>
  </si>
  <si>
    <t xml:space="preserve">NF_025917|1</t>
  </si>
  <si>
    <t xml:space="preserve">NF_025918|1</t>
  </si>
  <si>
    <t xml:space="preserve">NF_025919|1</t>
  </si>
  <si>
    <t xml:space="preserve">NF_025920|1</t>
  </si>
  <si>
    <t xml:space="preserve">NF_025921|1</t>
  </si>
  <si>
    <t xml:space="preserve">NF_025922|1</t>
  </si>
  <si>
    <t xml:space="preserve">NF_025923|1</t>
  </si>
  <si>
    <t xml:space="preserve">NF_025924|1</t>
  </si>
  <si>
    <t xml:space="preserve">NF_025925|1</t>
  </si>
  <si>
    <t xml:space="preserve">NF_025926|1</t>
  </si>
  <si>
    <t xml:space="preserve">NF_025927|1</t>
  </si>
  <si>
    <t xml:space="preserve">NF_025928|1</t>
  </si>
  <si>
    <t xml:space="preserve">NF_025929|1</t>
  </si>
  <si>
    <t xml:space="preserve">NF_025929|2</t>
  </si>
  <si>
    <t xml:space="preserve">NF_025930|1</t>
  </si>
  <si>
    <t xml:space="preserve">NF_025931|1</t>
  </si>
  <si>
    <t xml:space="preserve">NF_025932|1</t>
  </si>
  <si>
    <t xml:space="preserve">NF_025934|1</t>
  </si>
  <si>
    <t xml:space="preserve">NF_025935|1</t>
  </si>
  <si>
    <t xml:space="preserve">NF_025935|2</t>
  </si>
  <si>
    <t xml:space="preserve">NF_025936|1</t>
  </si>
  <si>
    <t xml:space="preserve">NF_025951|1</t>
  </si>
  <si>
    <t xml:space="preserve">NF_025952|1</t>
  </si>
  <si>
    <t xml:space="preserve">NF_025952|2</t>
  </si>
  <si>
    <t xml:space="preserve">NF_025952|3</t>
  </si>
  <si>
    <t xml:space="preserve">NF_025952|4</t>
  </si>
  <si>
    <t xml:space="preserve">NF_025952|5</t>
  </si>
  <si>
    <t xml:space="preserve">NF_025953|1</t>
  </si>
  <si>
    <t xml:space="preserve">NF_025953|2</t>
  </si>
  <si>
    <t xml:space="preserve">NF_025953|3</t>
  </si>
  <si>
    <t xml:space="preserve">NF_025953|4</t>
  </si>
  <si>
    <t xml:space="preserve">NF_025953|5</t>
  </si>
  <si>
    <t xml:space="preserve">NF_025954|1</t>
  </si>
  <si>
    <t xml:space="preserve">NF_025955|1</t>
  </si>
  <si>
    <t xml:space="preserve">NF_025956|1</t>
  </si>
  <si>
    <t xml:space="preserve">NF_025957|1</t>
  </si>
  <si>
    <t xml:space="preserve">NF_025969|1</t>
  </si>
  <si>
    <t xml:space="preserve">NF_025970|1</t>
  </si>
  <si>
    <t xml:space="preserve">NF_025970|2</t>
  </si>
  <si>
    <t xml:space="preserve">NF_025971|1</t>
  </si>
  <si>
    <t xml:space="preserve">NF_026599|1</t>
  </si>
  <si>
    <t xml:space="preserve">NF_205470|1</t>
  </si>
  <si>
    <t xml:space="preserve">NF_205470|2</t>
  </si>
  <si>
    <t xml:space="preserve">NF_205470|3</t>
  </si>
  <si>
    <t xml:space="preserve">NF_205470|4</t>
  </si>
  <si>
    <t xml:space="preserve">NF_205471|1</t>
  </si>
  <si>
    <t xml:space="preserve">NF_205471|2</t>
  </si>
  <si>
    <t xml:space="preserve">NF_205471|3</t>
  </si>
  <si>
    <t xml:space="preserve">NF_205471|4</t>
  </si>
  <si>
    <t xml:space="preserve">NF_205472|1</t>
  </si>
  <si>
    <t xml:space="preserve">NF_205472|2</t>
  </si>
  <si>
    <t xml:space="preserve">NF_205472|3</t>
  </si>
  <si>
    <t xml:space="preserve">NF_205472|4</t>
  </si>
  <si>
    <t xml:space="preserve">NF_205472|5</t>
  </si>
  <si>
    <t xml:space="preserve">NF_205472|6</t>
  </si>
  <si>
    <t xml:space="preserve">NF_205472|7</t>
  </si>
  <si>
    <t xml:space="preserve">NF_205472|8</t>
  </si>
  <si>
    <t xml:space="preserve">NF_205472|9</t>
  </si>
  <si>
    <t xml:space="preserve">NF_205472|10</t>
  </si>
  <si>
    <t xml:space="preserve">NF_205472|11</t>
  </si>
  <si>
    <t xml:space="preserve">NF_205472|12</t>
  </si>
  <si>
    <t xml:space="preserve">NF_205472|13</t>
  </si>
  <si>
    <t xml:space="preserve">NF_205472|14</t>
  </si>
  <si>
    <t xml:space="preserve">NF_205473|1</t>
  </si>
  <si>
    <t xml:space="preserve">NF_205473|2</t>
  </si>
  <si>
    <t xml:space="preserve">NF_205473|3</t>
  </si>
  <si>
    <t xml:space="preserve">NF_205473|4</t>
  </si>
  <si>
    <t xml:space="preserve">NF_205473|5</t>
  </si>
  <si>
    <t xml:space="preserve">NF_205473|6</t>
  </si>
  <si>
    <t xml:space="preserve">NF_205473|7</t>
  </si>
  <si>
    <t xml:space="preserve">NF_205473|8</t>
  </si>
  <si>
    <t xml:space="preserve">NF_205473|9</t>
  </si>
  <si>
    <t xml:space="preserve">NF_205473|10</t>
  </si>
  <si>
    <t xml:space="preserve">NF_205474|1</t>
  </si>
  <si>
    <t xml:space="preserve">NF_205474|2</t>
  </si>
  <si>
    <t xml:space="preserve">NF_205475|1</t>
  </si>
  <si>
    <t xml:space="preserve">NF_205475|2</t>
  </si>
  <si>
    <t xml:space="preserve">NF_205475|3</t>
  </si>
  <si>
    <t xml:space="preserve">NF_205475|4</t>
  </si>
  <si>
    <t xml:space="preserve">NF_205475|5</t>
  </si>
  <si>
    <t xml:space="preserve">NF_205475|6</t>
  </si>
  <si>
    <t xml:space="preserve">NF_205475|7</t>
  </si>
  <si>
    <t xml:space="preserve">NF_205475|8</t>
  </si>
  <si>
    <t xml:space="preserve">NF_205476|1</t>
  </si>
  <si>
    <t xml:space="preserve">NF_205476|2</t>
  </si>
  <si>
    <t xml:space="preserve">NF_205476|3</t>
  </si>
  <si>
    <t xml:space="preserve">NF_205476|4</t>
  </si>
  <si>
    <t xml:space="preserve">NF_205477|1</t>
  </si>
  <si>
    <t xml:space="preserve">NF_205478|1</t>
  </si>
  <si>
    <t xml:space="preserve">NF_205480|1</t>
  </si>
  <si>
    <t xml:space="preserve">NF_205481|1</t>
  </si>
  <si>
    <t xml:space="preserve">NF_205482|1</t>
  </si>
  <si>
    <t xml:space="preserve">NF_205483|1</t>
  </si>
  <si>
    <t xml:space="preserve">NF_205484|1</t>
  </si>
  <si>
    <t xml:space="preserve">NF_205485|1</t>
  </si>
  <si>
    <t xml:space="preserve">NF_205486|1</t>
  </si>
  <si>
    <t xml:space="preserve">NF_205486|2</t>
  </si>
  <si>
    <t xml:space="preserve">NF_205487|1</t>
  </si>
  <si>
    <t xml:space="preserve">NF_205487|2</t>
  </si>
  <si>
    <t xml:space="preserve">NF_205487|3</t>
  </si>
  <si>
    <t xml:space="preserve">NF_205487|4</t>
  </si>
  <si>
    <t xml:space="preserve">NF_205487|5</t>
  </si>
  <si>
    <t xml:space="preserve">NF_205488|1</t>
  </si>
  <si>
    <t xml:space="preserve">NF_205489|1</t>
  </si>
  <si>
    <t xml:space="preserve">NF_205490|1</t>
  </si>
  <si>
    <t xml:space="preserve">NF_205491|1</t>
  </si>
  <si>
    <t xml:space="preserve">NF_205492|1</t>
  </si>
  <si>
    <t xml:space="preserve">NF_205493|1</t>
  </si>
  <si>
    <t xml:space="preserve">NF_205494|1</t>
  </si>
  <si>
    <t xml:space="preserve">NF_205495|1</t>
  </si>
  <si>
    <t xml:space="preserve">NF_205496|1</t>
  </si>
  <si>
    <t xml:space="preserve">NF_205497|1</t>
  </si>
  <si>
    <t xml:space="preserve">NF_205499|1</t>
  </si>
  <si>
    <t xml:space="preserve">NF_205500|1</t>
  </si>
  <si>
    <t xml:space="preserve">NF_205501|1</t>
  </si>
  <si>
    <t xml:space="preserve">NF_205502|1</t>
  </si>
  <si>
    <t xml:space="preserve">NF_205503|1</t>
  </si>
  <si>
    <t xml:space="preserve">NF_205504|1</t>
  </si>
  <si>
    <t xml:space="preserve">NF_205504|2</t>
  </si>
  <si>
    <t xml:space="preserve">NF_205505|1</t>
  </si>
  <si>
    <t xml:space="preserve">NF_205506|1</t>
  </si>
  <si>
    <t xml:space="preserve">NF_205507|1</t>
  </si>
  <si>
    <t xml:space="preserve">NF_205508|1</t>
  </si>
  <si>
    <t xml:space="preserve">NF_205508|2</t>
  </si>
  <si>
    <t xml:space="preserve">NF_205508|3</t>
  </si>
  <si>
    <t xml:space="preserve">NF_205508|4</t>
  </si>
  <si>
    <t xml:space="preserve">NF_205509|1</t>
  </si>
  <si>
    <t xml:space="preserve">NF_205510|1</t>
  </si>
  <si>
    <t xml:space="preserve">NF_205511|1</t>
  </si>
  <si>
    <t xml:space="preserve">NF_205511|2</t>
  </si>
  <si>
    <t xml:space="preserve">NF_205512|1</t>
  </si>
  <si>
    <t xml:space="preserve">NF_205513|1</t>
  </si>
  <si>
    <t xml:space="preserve">NF_205514|1</t>
  </si>
  <si>
    <t xml:space="preserve">NF_205515|1</t>
  </si>
  <si>
    <t xml:space="preserve">NF_205516|1</t>
  </si>
  <si>
    <t xml:space="preserve">NF_205517|1</t>
  </si>
  <si>
    <t xml:space="preserve">NF_205517|2</t>
  </si>
  <si>
    <t xml:space="preserve">NF_205517|3</t>
  </si>
  <si>
    <t xml:space="preserve">NF_205517|4</t>
  </si>
  <si>
    <t xml:space="preserve">NF_205517|5</t>
  </si>
  <si>
    <t xml:space="preserve">NF_205518|1</t>
  </si>
  <si>
    <t xml:space="preserve">NF_205518|2</t>
  </si>
  <si>
    <t xml:space="preserve">NF_205518|3</t>
  </si>
  <si>
    <t xml:space="preserve">NF_205518|4</t>
  </si>
  <si>
    <t xml:space="preserve">NF_205518|5</t>
  </si>
  <si>
    <t xml:space="preserve">NF_205519|1</t>
  </si>
  <si>
    <t xml:space="preserve">NF_205520|1</t>
  </si>
  <si>
    <t xml:space="preserve">NF_205578|1</t>
  </si>
  <si>
    <t xml:space="preserve">NF_205578|2</t>
  </si>
  <si>
    <t xml:space="preserve">NF_25954|1</t>
  </si>
  <si>
    <t xml:space="preserve">NF_25955|1</t>
  </si>
  <si>
    <t xml:space="preserve">NF_25956|1</t>
  </si>
  <si>
    <t xml:space="preserve">NF_25957|1</t>
  </si>
  <si>
    <t xml:space="preserve">NF_25968|1</t>
  </si>
  <si>
    <t xml:space="preserve">NF_25968|2</t>
  </si>
  <si>
    <t xml:space="preserve">NF_026172|1</t>
  </si>
  <si>
    <t xml:space="preserve">NF_026172|2</t>
  </si>
  <si>
    <t xml:space="preserve">NF_026172|3</t>
  </si>
  <si>
    <t xml:space="preserve">NF_026172|4</t>
  </si>
  <si>
    <t xml:space="preserve">NF_026173|1</t>
  </si>
  <si>
    <t xml:space="preserve">NF_026173|2</t>
  </si>
  <si>
    <t xml:space="preserve">NF_026173|3</t>
  </si>
  <si>
    <t xml:space="preserve">NF_026173|4</t>
  </si>
  <si>
    <t xml:space="preserve">NF_026173|5</t>
  </si>
  <si>
    <t xml:space="preserve">NF_026173|6</t>
  </si>
  <si>
    <t xml:space="preserve">NF_026173|7</t>
  </si>
  <si>
    <t xml:space="preserve">NF_026173|8</t>
  </si>
  <si>
    <t xml:space="preserve">NF_026173|9</t>
  </si>
  <si>
    <t xml:space="preserve">NF_026173|10</t>
  </si>
  <si>
    <t xml:space="preserve">NF_026173|11</t>
  </si>
  <si>
    <t xml:space="preserve">NF_026173|12</t>
  </si>
  <si>
    <t xml:space="preserve">NF_026173|13</t>
  </si>
  <si>
    <t xml:space="preserve">NF_026173|14</t>
  </si>
  <si>
    <t xml:space="preserve">NF_026174|1</t>
  </si>
  <si>
    <t xml:space="preserve">NF_026174|2</t>
  </si>
  <si>
    <t xml:space="preserve">NF_026182|1</t>
  </si>
  <si>
    <t xml:space="preserve">NF_026182|2</t>
  </si>
  <si>
    <t xml:space="preserve">NF_026182|3</t>
  </si>
  <si>
    <t xml:space="preserve">NF_026182|4</t>
  </si>
  <si>
    <t xml:space="preserve">NF_026182|5</t>
  </si>
  <si>
    <t xml:space="preserve">NF_026182|6</t>
  </si>
  <si>
    <t xml:space="preserve">NF_026182|7</t>
  </si>
  <si>
    <t xml:space="preserve">NF_026182|8</t>
  </si>
  <si>
    <t xml:space="preserve">NF_026183|1</t>
  </si>
  <si>
    <t xml:space="preserve">NF_026184|1</t>
  </si>
  <si>
    <t xml:space="preserve">NF_026185|1</t>
  </si>
  <si>
    <t xml:space="preserve">NF_026185|2</t>
  </si>
  <si>
    <t xml:space="preserve">NF_026185|3</t>
  </si>
  <si>
    <t xml:space="preserve">NF_026186|1</t>
  </si>
  <si>
    <t xml:space="preserve">NF_026187|1</t>
  </si>
  <si>
    <t xml:space="preserve">NF_026187|2</t>
  </si>
  <si>
    <t xml:space="preserve">NF_026188|1</t>
  </si>
  <si>
    <t xml:space="preserve">NF_026189|1</t>
  </si>
  <si>
    <t xml:space="preserve">NF_026190|1</t>
  </si>
  <si>
    <t xml:space="preserve">NF_026191|1</t>
  </si>
  <si>
    <t xml:space="preserve">NF_026192|1</t>
  </si>
  <si>
    <t xml:space="preserve">NF_026193|1</t>
  </si>
  <si>
    <t xml:space="preserve">NF_026194|1</t>
  </si>
  <si>
    <t xml:space="preserve">NF_026194|2</t>
  </si>
  <si>
    <t xml:space="preserve">NF_026195|1</t>
  </si>
  <si>
    <t xml:space="preserve">NF_026200|1</t>
  </si>
  <si>
    <t xml:space="preserve">NF_026201|1</t>
  </si>
  <si>
    <t xml:space="preserve">NF_026202|1</t>
  </si>
  <si>
    <t xml:space="preserve">NF_026203|1</t>
  </si>
  <si>
    <t xml:space="preserve">NF_026204|1</t>
  </si>
  <si>
    <t xml:space="preserve">NF_026205|1</t>
  </si>
  <si>
    <t xml:space="preserve">NF_026206|1</t>
  </si>
  <si>
    <t xml:space="preserve">NF_026206|2</t>
  </si>
  <si>
    <t xml:space="preserve">NF_026207|1</t>
  </si>
  <si>
    <t xml:space="preserve">NF_026208|1</t>
  </si>
  <si>
    <t xml:space="preserve">NF_026208|2</t>
  </si>
  <si>
    <t xml:space="preserve">NF_026208|3</t>
  </si>
  <si>
    <t xml:space="preserve">NF_026208|4</t>
  </si>
  <si>
    <t xml:space="preserve">NF_026208|5</t>
  </si>
  <si>
    <t xml:space="preserve">NF_026209|1</t>
  </si>
  <si>
    <t xml:space="preserve">NF_026209|2</t>
  </si>
  <si>
    <t xml:space="preserve">NF_026209|3</t>
  </si>
  <si>
    <t xml:space="preserve">NF_026209|4</t>
  </si>
  <si>
    <t xml:space="preserve">NF_026209|5</t>
  </si>
  <si>
    <t xml:space="preserve">NF_026210|1</t>
  </si>
  <si>
    <t xml:space="preserve">NF_026211|1</t>
  </si>
  <si>
    <t xml:space="preserve">NF_026212|1</t>
  </si>
  <si>
    <t xml:space="preserve">NF_026212|2</t>
  </si>
  <si>
    <t xml:space="preserve">NF_026212|3</t>
  </si>
  <si>
    <t xml:space="preserve">NF_026212|4</t>
  </si>
  <si>
    <t xml:space="preserve">NF_026213|1</t>
  </si>
  <si>
    <t xml:space="preserve">NF_026214|1</t>
  </si>
  <si>
    <t xml:space="preserve">NF_026215|1</t>
  </si>
  <si>
    <t xml:space="preserve">NF_026216|1</t>
  </si>
  <si>
    <t xml:space="preserve">NF_026217|1</t>
  </si>
  <si>
    <t xml:space="preserve">NF_026218|1</t>
  </si>
  <si>
    <t xml:space="preserve">NF_026219|1</t>
  </si>
  <si>
    <t xml:space="preserve">NF_026220|1</t>
  </si>
  <si>
    <t xml:space="preserve">NF_026221|1</t>
  </si>
  <si>
    <t xml:space="preserve">NF_026222|1</t>
  </si>
  <si>
    <t xml:space="preserve">NF_026223|1</t>
  </si>
  <si>
    <t xml:space="preserve">NF_026224|1</t>
  </si>
  <si>
    <t xml:space="preserve">NF_026225|1</t>
  </si>
  <si>
    <t xml:space="preserve">NF_026226|1</t>
  </si>
  <si>
    <t xml:space="preserve">NF_026227|1</t>
  </si>
  <si>
    <t xml:space="preserve">NF_026228|1</t>
  </si>
  <si>
    <t xml:space="preserve">NF_026229|1</t>
  </si>
  <si>
    <t xml:space="preserve">NF_026230|1</t>
  </si>
  <si>
    <t xml:space="preserve">NF_026231|1</t>
  </si>
  <si>
    <t xml:space="preserve">NF_026233|1</t>
  </si>
  <si>
    <t xml:space="preserve">NF_026600|1</t>
  </si>
  <si>
    <t xml:space="preserve">NF_205521|1</t>
  </si>
  <si>
    <t xml:space="preserve">NF_205521|2</t>
  </si>
  <si>
    <t xml:space="preserve">NF_205521|3</t>
  </si>
  <si>
    <t xml:space="preserve">NF_205521|4</t>
  </si>
  <si>
    <t xml:space="preserve">NF_205522|1</t>
  </si>
  <si>
    <t xml:space="preserve">NF_205522|2</t>
  </si>
  <si>
    <t xml:space="preserve">NF_205522|3</t>
  </si>
  <si>
    <t xml:space="preserve">NF_205522|4</t>
  </si>
  <si>
    <t xml:space="preserve">NF_205522|5</t>
  </si>
  <si>
    <t xml:space="preserve">NF_205522|6</t>
  </si>
  <si>
    <t xml:space="preserve">NF_205522|7</t>
  </si>
  <si>
    <t xml:space="preserve">NF_205522|8</t>
  </si>
  <si>
    <t xml:space="preserve">NF_205522|9</t>
  </si>
  <si>
    <t xml:space="preserve">NF_205522|10</t>
  </si>
  <si>
    <t xml:space="preserve">NF_205522|11</t>
  </si>
  <si>
    <t xml:space="preserve">NF_205522|12</t>
  </si>
  <si>
    <t xml:space="preserve">NF_205522|13</t>
  </si>
  <si>
    <t xml:space="preserve">NF_205522|14</t>
  </si>
  <si>
    <t xml:space="preserve">NF_205523|1</t>
  </si>
  <si>
    <t xml:space="preserve">NF_205523|2</t>
  </si>
  <si>
    <t xml:space="preserve">NF_205524|1</t>
  </si>
  <si>
    <t xml:space="preserve">NF_205524|2</t>
  </si>
  <si>
    <t xml:space="preserve">NF_205524|3</t>
  </si>
  <si>
    <t xml:space="preserve">NF_205525|1</t>
  </si>
  <si>
    <t xml:space="preserve">NF_205526|1</t>
  </si>
  <si>
    <t xml:space="preserve">NF_205526|2</t>
  </si>
  <si>
    <t xml:space="preserve">NF_205527|1</t>
  </si>
  <si>
    <t xml:space="preserve">NF_205528|1</t>
  </si>
  <si>
    <t xml:space="preserve">NF_205529|1</t>
  </si>
  <si>
    <t xml:space="preserve">NF_205530|1</t>
  </si>
  <si>
    <t xml:space="preserve">NF_205531|1</t>
  </si>
  <si>
    <t xml:space="preserve">NF_205532|1</t>
  </si>
  <si>
    <t xml:space="preserve">NF_205533|1</t>
  </si>
  <si>
    <t xml:space="preserve">NF_205533|2</t>
  </si>
  <si>
    <t xml:space="preserve">NF_205534|1</t>
  </si>
  <si>
    <t xml:space="preserve">NF_205535|1</t>
  </si>
  <si>
    <t xml:space="preserve">NF_205535|2</t>
  </si>
  <si>
    <t xml:space="preserve">NF_205535|3</t>
  </si>
  <si>
    <t xml:space="preserve">NF_205535|4</t>
  </si>
  <si>
    <t xml:space="preserve">NF_205535|5</t>
  </si>
  <si>
    <t xml:space="preserve">NF_205535|6</t>
  </si>
  <si>
    <t xml:space="preserve">NF_205535|7</t>
  </si>
  <si>
    <t xml:space="preserve">NF_205535|8</t>
  </si>
  <si>
    <t xml:space="preserve">NF_205536|1</t>
  </si>
  <si>
    <t xml:space="preserve">NF_205537|1</t>
  </si>
  <si>
    <t xml:space="preserve">NF_205538|1</t>
  </si>
  <si>
    <t xml:space="preserve">NF_205539|1</t>
  </si>
  <si>
    <t xml:space="preserve">NF_205540|1</t>
  </si>
  <si>
    <t xml:space="preserve">NF_205541|1</t>
  </si>
  <si>
    <t xml:space="preserve">NF_205542|1</t>
  </si>
  <si>
    <t xml:space="preserve">NF_205543|1</t>
  </si>
  <si>
    <t xml:space="preserve">NF_205544|1</t>
  </si>
  <si>
    <t xml:space="preserve">NF_205545|1</t>
  </si>
  <si>
    <t xml:space="preserve">NF_205545|2</t>
  </si>
  <si>
    <t xml:space="preserve">NF_205546|1</t>
  </si>
  <si>
    <t xml:space="preserve">NF_205547|1</t>
  </si>
  <si>
    <t xml:space="preserve">NF_205547|2</t>
  </si>
  <si>
    <t xml:space="preserve">NF_205547|3</t>
  </si>
  <si>
    <t xml:space="preserve">NF_205547|4</t>
  </si>
  <si>
    <t xml:space="preserve">NF_205547|5</t>
  </si>
  <si>
    <t xml:space="preserve">NF_205548|1</t>
  </si>
  <si>
    <t xml:space="preserve">NF_205548|2</t>
  </si>
  <si>
    <t xml:space="preserve">NF_205548|3</t>
  </si>
  <si>
    <t xml:space="preserve">NF_205548|4</t>
  </si>
  <si>
    <t xml:space="preserve">NF_205548|5</t>
  </si>
  <si>
    <t xml:space="preserve">NF_205549|1</t>
  </si>
  <si>
    <t xml:space="preserve">NF_205550|1</t>
  </si>
  <si>
    <t xml:space="preserve">NF_205550|2</t>
  </si>
  <si>
    <t xml:space="preserve">NF_205550|3</t>
  </si>
  <si>
    <t xml:space="preserve">NF_205550|4</t>
  </si>
  <si>
    <t xml:space="preserve">NF_205551|1</t>
  </si>
  <si>
    <t xml:space="preserve">NF_205552|1</t>
  </si>
  <si>
    <t xml:space="preserve">NF_205553|1</t>
  </si>
  <si>
    <t xml:space="preserve">NF_205554|1</t>
  </si>
  <si>
    <t xml:space="preserve">NF_205555|1</t>
  </si>
  <si>
    <t xml:space="preserve">NF_205556|1</t>
  </si>
  <si>
    <t xml:space="preserve">NF_205557|1</t>
  </si>
  <si>
    <t xml:space="preserve">NF_205558|1</t>
  </si>
  <si>
    <t xml:space="preserve">NF_205559|1</t>
  </si>
  <si>
    <t xml:space="preserve">NF_205560|1</t>
  </si>
  <si>
    <t xml:space="preserve">NF_205561|1</t>
  </si>
  <si>
    <t xml:space="preserve">NF_205562|1</t>
  </si>
  <si>
    <t xml:space="preserve">NF_205563|1</t>
  </si>
  <si>
    <t xml:space="preserve">NF_205564|1</t>
  </si>
  <si>
    <t xml:space="preserve">NF_205565|1</t>
  </si>
  <si>
    <t xml:space="preserve">NF_205566|1</t>
  </si>
  <si>
    <t xml:space="preserve">NF_205567|1</t>
  </si>
  <si>
    <t xml:space="preserve">NF_205568|1</t>
  </si>
  <si>
    <t xml:space="preserve">NF_205569|1</t>
  </si>
  <si>
    <t xml:space="preserve">NF_205570|1</t>
  </si>
  <si>
    <t xml:space="preserve">NF_205571|1</t>
  </si>
  <si>
    <t xml:space="preserve">NF_205572|1</t>
  </si>
  <si>
    <t xml:space="preserve">NF_205572|2</t>
  </si>
  <si>
    <t xml:space="preserve">NF_205572|3</t>
  </si>
  <si>
    <t xml:space="preserve">NF_205572|4</t>
  </si>
  <si>
    <t xml:space="preserve">NF_205572|5</t>
  </si>
  <si>
    <t xml:space="preserve">NF_205572|6</t>
  </si>
  <si>
    <t xml:space="preserve">NF_205572|7</t>
  </si>
  <si>
    <t xml:space="preserve">NF_205572|8</t>
  </si>
  <si>
    <t xml:space="preserve">NF_205572|9</t>
  </si>
  <si>
    <t xml:space="preserve">NF_205572|10</t>
  </si>
  <si>
    <t xml:space="preserve">NF_205572|11</t>
  </si>
  <si>
    <t xml:space="preserve">NF_205572|12</t>
  </si>
  <si>
    <t xml:space="preserve">NF_205572|13</t>
  </si>
  <si>
    <t xml:space="preserve">NF_205573|1</t>
  </si>
  <si>
    <t xml:space="preserve">NF_205573|2</t>
  </si>
  <si>
    <t xml:space="preserve">NF_205573|3</t>
  </si>
  <si>
    <t xml:space="preserve">NF_205573|4</t>
  </si>
  <si>
    <t xml:space="preserve">NF_205574|1</t>
  </si>
  <si>
    <t xml:space="preserve">NF_026428|1</t>
  </si>
  <si>
    <t xml:space="preserve">NF_026428|2</t>
  </si>
  <si>
    <t xml:space="preserve">NF_026428|3</t>
  </si>
  <si>
    <t xml:space="preserve">NF_026428|4</t>
  </si>
  <si>
    <t xml:space="preserve">NF_026428|5</t>
  </si>
  <si>
    <t xml:space="preserve">NF_026428|6</t>
  </si>
  <si>
    <t xml:space="preserve">NF_026428|7</t>
  </si>
  <si>
    <t xml:space="preserve">NF_026429|1</t>
  </si>
  <si>
    <t xml:space="preserve">NF_026430|1</t>
  </si>
  <si>
    <t xml:space="preserve">NF_026432|1</t>
  </si>
  <si>
    <t xml:space="preserve">NF_026432|2</t>
  </si>
  <si>
    <t xml:space="preserve">NF_026433|1</t>
  </si>
  <si>
    <t xml:space="preserve">NF_026434|1</t>
  </si>
  <si>
    <t xml:space="preserve">NF_026435|1</t>
  </si>
  <si>
    <t xml:space="preserve">NF_026436|1</t>
  </si>
  <si>
    <t xml:space="preserve">NF_026437|1</t>
  </si>
  <si>
    <t xml:space="preserve">NF_026438|1</t>
  </si>
  <si>
    <t xml:space="preserve">NF_026439|1</t>
  </si>
  <si>
    <t xml:space="preserve">NF_026440|1</t>
  </si>
  <si>
    <t xml:space="preserve">NF_026441|1</t>
  </si>
  <si>
    <t xml:space="preserve">NF_026442|1</t>
  </si>
  <si>
    <t xml:space="preserve">NF_026443|1</t>
  </si>
  <si>
    <t xml:space="preserve">NF_026444|1</t>
  </si>
  <si>
    <t xml:space="preserve">NF_026445|1</t>
  </si>
  <si>
    <t xml:space="preserve">NF_026446|1</t>
  </si>
  <si>
    <t xml:space="preserve">NF_026447|1</t>
  </si>
  <si>
    <t xml:space="preserve">NF_026448|1</t>
  </si>
  <si>
    <t xml:space="preserve">NF_026453|1</t>
  </si>
  <si>
    <t xml:space="preserve">NF_026454|1</t>
  </si>
  <si>
    <t xml:space="preserve">NF_026455|1</t>
  </si>
  <si>
    <t xml:space="preserve">NF_026456|1</t>
  </si>
  <si>
    <t xml:space="preserve">NF_026457|1</t>
  </si>
  <si>
    <t xml:space="preserve">NF_026458|1</t>
  </si>
  <si>
    <t xml:space="preserve">NF_026459|1</t>
  </si>
  <si>
    <t xml:space="preserve">NF_026460|1</t>
  </si>
  <si>
    <t xml:space="preserve">NF_026461|1</t>
  </si>
  <si>
    <t xml:space="preserve">NF_026462|1</t>
  </si>
  <si>
    <t xml:space="preserve">NF_026463|1</t>
  </si>
  <si>
    <t xml:space="preserve">NF_026464|1</t>
  </si>
  <si>
    <t xml:space="preserve">NF_026465|1</t>
  </si>
  <si>
    <t xml:space="preserve">NF_026466|1</t>
  </si>
  <si>
    <t xml:space="preserve">NF_026467|1</t>
  </si>
  <si>
    <t xml:space="preserve">NF_026469|1</t>
  </si>
  <si>
    <t xml:space="preserve">NF_026470|1</t>
  </si>
  <si>
    <t xml:space="preserve">NF_026471|1</t>
  </si>
  <si>
    <t xml:space="preserve">NF_026471|2</t>
  </si>
  <si>
    <t xml:space="preserve">NF_026472|1</t>
  </si>
  <si>
    <t xml:space="preserve">NF_026473|1</t>
  </si>
  <si>
    <t xml:space="preserve">NF_026473|2</t>
  </si>
  <si>
    <t xml:space="preserve">NF_026473|3</t>
  </si>
  <si>
    <t xml:space="preserve">NF_026473|4</t>
  </si>
  <si>
    <t xml:space="preserve">NF_026473|5</t>
  </si>
  <si>
    <t xml:space="preserve">NF_026474|1</t>
  </si>
  <si>
    <t xml:space="preserve">NF_026475|1</t>
  </si>
  <si>
    <t xml:space="preserve">NF_026475|2</t>
  </si>
  <si>
    <t xml:space="preserve">NF_026475|3</t>
  </si>
  <si>
    <t xml:space="preserve">NF_026475|4</t>
  </si>
  <si>
    <t xml:space="preserve">NF_026476|1</t>
  </si>
  <si>
    <t xml:space="preserve">NF_026476|2</t>
  </si>
  <si>
    <t xml:space="preserve">NF_026477|1</t>
  </si>
  <si>
    <t xml:space="preserve">NF_026477|2</t>
  </si>
  <si>
    <t xml:space="preserve">NF_026477|3</t>
  </si>
  <si>
    <t xml:space="preserve">NF_026478|1</t>
  </si>
  <si>
    <t xml:space="preserve">NF_026478|2</t>
  </si>
  <si>
    <t xml:space="preserve">NF_026478|3</t>
  </si>
  <si>
    <t xml:space="preserve">NF_026478|4</t>
  </si>
  <si>
    <t xml:space="preserve">NF_026478|5</t>
  </si>
  <si>
    <t xml:space="preserve">NF_026478|6</t>
  </si>
  <si>
    <t xml:space="preserve">NF_026478|7</t>
  </si>
  <si>
    <t xml:space="preserve">NF_026478|8</t>
  </si>
  <si>
    <t xml:space="preserve">NF_026478|9</t>
  </si>
  <si>
    <t xml:space="preserve">NF_026478|10</t>
  </si>
  <si>
    <t xml:space="preserve">NF_026478|11</t>
  </si>
  <si>
    <t xml:space="preserve">NF_026478|12</t>
  </si>
  <si>
    <t xml:space="preserve">NF_026478|13</t>
  </si>
  <si>
    <t xml:space="preserve">NF_026478|14</t>
  </si>
  <si>
    <t xml:space="preserve">NF_026526|1</t>
  </si>
  <si>
    <t xml:space="preserve">NF_026527|1</t>
  </si>
  <si>
    <t xml:space="preserve">NF_026527|2</t>
  </si>
  <si>
    <t xml:space="preserve">NF_026527|3</t>
  </si>
  <si>
    <t xml:space="preserve">NF_026530|1</t>
  </si>
  <si>
    <t xml:space="preserve">NF_026531|1</t>
  </si>
  <si>
    <t xml:space="preserve">NF_026531|2</t>
  </si>
  <si>
    <t xml:space="preserve">NF_026531|3</t>
  </si>
  <si>
    <t xml:space="preserve">NF_026531|4</t>
  </si>
  <si>
    <t xml:space="preserve">NF_026601|1</t>
  </si>
  <si>
    <t xml:space="preserve">NF_205575|1</t>
  </si>
  <si>
    <t xml:space="preserve">NF_205575|2</t>
  </si>
  <si>
    <t xml:space="preserve">NF_205575|3</t>
  </si>
  <si>
    <t xml:space="preserve">NF_205575|4</t>
  </si>
  <si>
    <t xml:space="preserve">NF_205575|5</t>
  </si>
  <si>
    <t xml:space="preserve">NF_205575|6</t>
  </si>
  <si>
    <t xml:space="preserve">NF_205575|7</t>
  </si>
  <si>
    <t xml:space="preserve">NF_205575|8</t>
  </si>
  <si>
    <t xml:space="preserve">NF_205576|1</t>
  </si>
  <si>
    <t xml:space="preserve">NF_205577|1</t>
  </si>
  <si>
    <t xml:space="preserve">NF_205577|2</t>
  </si>
  <si>
    <t xml:space="preserve">NF_205579|1</t>
  </si>
  <si>
    <t xml:space="preserve">NF_205580|1</t>
  </si>
  <si>
    <t xml:space="preserve">NF_205581|1</t>
  </si>
  <si>
    <t xml:space="preserve">NF_205582|1</t>
  </si>
  <si>
    <t xml:space="preserve">NF_205583|1</t>
  </si>
  <si>
    <t xml:space="preserve">NF_205583|2</t>
  </si>
  <si>
    <t xml:space="preserve">NF_205583|3</t>
  </si>
  <si>
    <t xml:space="preserve">NF_205584|1</t>
  </si>
  <si>
    <t xml:space="preserve">NF_205585|1</t>
  </si>
  <si>
    <t xml:space="preserve">NF_205586|1</t>
  </si>
  <si>
    <t xml:space="preserve">NF_205587|1</t>
  </si>
  <si>
    <t xml:space="preserve">NF_205588|1</t>
  </si>
  <si>
    <t xml:space="preserve">NF_205589|1</t>
  </si>
  <si>
    <t xml:space="preserve">NF_205590|1</t>
  </si>
  <si>
    <t xml:space="preserve">NF_205590|2</t>
  </si>
  <si>
    <t xml:space="preserve">NF_205591|1</t>
  </si>
  <si>
    <t xml:space="preserve">NF_205592|1</t>
  </si>
  <si>
    <t xml:space="preserve">NF_205593|1</t>
  </si>
  <si>
    <t xml:space="preserve">NF_205594|1</t>
  </si>
  <si>
    <t xml:space="preserve">NF_205595|1</t>
  </si>
  <si>
    <t xml:space="preserve">NF_205596|1</t>
  </si>
  <si>
    <t xml:space="preserve">NF_205598|1</t>
  </si>
  <si>
    <t xml:space="preserve">NF_205599|1</t>
  </si>
  <si>
    <t xml:space="preserve">NF_205599|2</t>
  </si>
  <si>
    <t xml:space="preserve">NF_205599|3</t>
  </si>
  <si>
    <t xml:space="preserve">NF_205599|4</t>
  </si>
  <si>
    <t xml:space="preserve">NF_205599|5</t>
  </si>
  <si>
    <t xml:space="preserve">NF_205600|1</t>
  </si>
  <si>
    <t xml:space="preserve">NF_205600|2</t>
  </si>
  <si>
    <t xml:space="preserve">NF_205602|1</t>
  </si>
  <si>
    <t xml:space="preserve">NF_205603|1</t>
  </si>
  <si>
    <t xml:space="preserve">NF_205604|1</t>
  </si>
  <si>
    <t xml:space="preserve">NF_205605|1</t>
  </si>
  <si>
    <t xml:space="preserve">NF_205606|1</t>
  </si>
  <si>
    <t xml:space="preserve">NF_205607|1</t>
  </si>
  <si>
    <t xml:space="preserve">NF_205608|1</t>
  </si>
  <si>
    <t xml:space="preserve">NF_205609|1</t>
  </si>
  <si>
    <t xml:space="preserve">NF_205610|1</t>
  </si>
  <si>
    <t xml:space="preserve">NF_205611|1</t>
  </si>
  <si>
    <t xml:space="preserve">NF_205612|1</t>
  </si>
  <si>
    <t xml:space="preserve">NF_205613|1</t>
  </si>
  <si>
    <t xml:space="preserve">NF_205614|1</t>
  </si>
  <si>
    <t xml:space="preserve">NF_205615|1</t>
  </si>
  <si>
    <t xml:space="preserve">NF_205616|1</t>
  </si>
  <si>
    <t xml:space="preserve">NF_205617|1</t>
  </si>
  <si>
    <t xml:space="preserve">NF_205617|2</t>
  </si>
  <si>
    <t xml:space="preserve">NF_205617|3</t>
  </si>
  <si>
    <t xml:space="preserve">NF_205617|4</t>
  </si>
  <si>
    <t xml:space="preserve">NF_205618|1</t>
  </si>
  <si>
    <t xml:space="preserve">NF_205619|1</t>
  </si>
  <si>
    <t xml:space="preserve">NF_205620|1</t>
  </si>
  <si>
    <t xml:space="preserve">NF_205620|2</t>
  </si>
  <si>
    <t xml:space="preserve">NF_205621|1</t>
  </si>
  <si>
    <t xml:space="preserve">NF_205621|2</t>
  </si>
  <si>
    <t xml:space="preserve">NF_205621|3</t>
  </si>
  <si>
    <t xml:space="preserve">NF_205621|4</t>
  </si>
  <si>
    <t xml:space="preserve">NF_205622|1</t>
  </si>
  <si>
    <t xml:space="preserve">NF_205623|1</t>
  </si>
  <si>
    <t xml:space="preserve">NF_205623|2</t>
  </si>
  <si>
    <t xml:space="preserve">NF_205623|3</t>
  </si>
  <si>
    <t xml:space="preserve">NF_205623|4</t>
  </si>
  <si>
    <t xml:space="preserve">NF_205623|5</t>
  </si>
  <si>
    <t xml:space="preserve">NF_205624|1</t>
  </si>
  <si>
    <t xml:space="preserve">NF_205625|1</t>
  </si>
  <si>
    <t xml:space="preserve">NF_205625|2</t>
  </si>
  <si>
    <t xml:space="preserve">NF_205626|1</t>
  </si>
  <si>
    <t xml:space="preserve">NF_205626|2</t>
  </si>
  <si>
    <t xml:space="preserve">NF_205626|3</t>
  </si>
  <si>
    <t xml:space="preserve">NF_205626|4</t>
  </si>
  <si>
    <t xml:space="preserve">NF_205627|1</t>
  </si>
  <si>
    <t xml:space="preserve">NF_205627|2</t>
  </si>
  <si>
    <t xml:space="preserve">NF_205627|3</t>
  </si>
  <si>
    <t xml:space="preserve">NF_205628|1</t>
  </si>
  <si>
    <t xml:space="preserve">NF_205628|2</t>
  </si>
  <si>
    <t xml:space="preserve">NF_205628|3</t>
  </si>
  <si>
    <t xml:space="preserve">NF_205628|4</t>
  </si>
  <si>
    <t xml:space="preserve">NF_205628|5</t>
  </si>
  <si>
    <t xml:space="preserve">NF_205628|6</t>
  </si>
  <si>
    <t xml:space="preserve">NF_205628|7</t>
  </si>
  <si>
    <t xml:space="preserve">NF_205628|8</t>
  </si>
  <si>
    <t xml:space="preserve">NF_205628|9</t>
  </si>
  <si>
    <t xml:space="preserve">NF_205628|10</t>
  </si>
  <si>
    <t xml:space="preserve">NF_205628|11</t>
  </si>
  <si>
    <t xml:space="preserve">NF_205628|12</t>
  </si>
  <si>
    <t xml:space="preserve">NF_205628|13</t>
  </si>
  <si>
    <t xml:space="preserve">NF_205628|14</t>
  </si>
  <si>
    <t xml:space="preserve">NF_205628|15</t>
  </si>
  <si>
    <t xml:space="preserve">NF_205628|16</t>
  </si>
  <si>
    <t xml:space="preserve">NF_205628|17</t>
  </si>
  <si>
    <t xml:space="preserve">NF_205629|1</t>
  </si>
  <si>
    <t xml:space="preserve">NF_205629|2</t>
  </si>
  <si>
    <t xml:space="preserve">NF_205629|3</t>
  </si>
  <si>
    <t xml:space="preserve">NF_205629|4</t>
  </si>
  <si>
    <t xml:space="preserve">NF_205629|5</t>
  </si>
  <si>
    <t xml:space="preserve">NF_205629|6</t>
  </si>
  <si>
    <t xml:space="preserve">NF_205629|7</t>
  </si>
  <si>
    <t xml:space="preserve">NF_205629|8</t>
  </si>
  <si>
    <t xml:space="preserve">NF_205629|9</t>
  </si>
  <si>
    <t xml:space="preserve">NF_205629|10</t>
  </si>
  <si>
    <t xml:space="preserve">NF_205629|11</t>
  </si>
  <si>
    <t xml:space="preserve">NF_205629|12</t>
  </si>
  <si>
    <t xml:space="preserve">NF_205629|13</t>
  </si>
  <si>
    <t xml:space="preserve">NF_205629|14</t>
  </si>
  <si>
    <t xml:space="preserve">NF_205629|15</t>
  </si>
  <si>
    <t xml:space="preserve">NF_205629|16</t>
  </si>
  <si>
    <t xml:space="preserve">NF_205629|17</t>
  </si>
  <si>
    <t xml:space="preserve">NF_205629|18</t>
  </si>
  <si>
    <t xml:space="preserve">NF_205630|1</t>
  </si>
  <si>
    <t xml:space="preserve">NF_026697|1</t>
  </si>
  <si>
    <t xml:space="preserve">NF_026697|2</t>
  </si>
  <si>
    <t xml:space="preserve">NF_026697|3</t>
  </si>
  <si>
    <t xml:space="preserve">NF_026698|1</t>
  </si>
  <si>
    <t xml:space="preserve">NF_026700|1</t>
  </si>
  <si>
    <t xml:space="preserve">NF_026701|1</t>
  </si>
  <si>
    <t xml:space="preserve">NF_026702|1</t>
  </si>
  <si>
    <t xml:space="preserve">NF_026702|2</t>
  </si>
  <si>
    <t xml:space="preserve">NF_026702|3</t>
  </si>
  <si>
    <t xml:space="preserve">NF_026703|1</t>
  </si>
  <si>
    <t xml:space="preserve">NF_026704|1</t>
  </si>
  <si>
    <t xml:space="preserve">NF_026705|1</t>
  </si>
  <si>
    <t xml:space="preserve">NF_026706|1</t>
  </si>
  <si>
    <t xml:space="preserve">NF_026707|1</t>
  </si>
  <si>
    <t xml:space="preserve">NF_026708|1</t>
  </si>
  <si>
    <t xml:space="preserve">NF_026709|1</t>
  </si>
  <si>
    <t xml:space="preserve">NF_026710|1</t>
  </si>
  <si>
    <t xml:space="preserve">NF_026711|1</t>
  </si>
  <si>
    <t xml:space="preserve">NF_026711|2</t>
  </si>
  <si>
    <t xml:space="preserve">NF_026712|1</t>
  </si>
  <si>
    <t xml:space="preserve">NF_026712|2</t>
  </si>
  <si>
    <t xml:space="preserve">NF_026713|1</t>
  </si>
  <si>
    <t xml:space="preserve">NF_026713|2</t>
  </si>
  <si>
    <t xml:space="preserve">NF_026714|1</t>
  </si>
  <si>
    <t xml:space="preserve">NF_026715|1</t>
  </si>
  <si>
    <t xml:space="preserve">NF_026716|1</t>
  </si>
  <si>
    <t xml:space="preserve">NF_026716|2</t>
  </si>
  <si>
    <t xml:space="preserve">NF_026717|1</t>
  </si>
  <si>
    <t xml:space="preserve">NF_026718|1</t>
  </si>
  <si>
    <t xml:space="preserve">NF_026719|1</t>
  </si>
  <si>
    <t xml:space="preserve">NF_026719|2</t>
  </si>
  <si>
    <t xml:space="preserve">NF_026720|1</t>
  </si>
  <si>
    <t xml:space="preserve">NF_026721|1</t>
  </si>
  <si>
    <t xml:space="preserve">NF_026722|1</t>
  </si>
  <si>
    <t xml:space="preserve">NF_026731|1</t>
  </si>
  <si>
    <t xml:space="preserve">NF_026731|2</t>
  </si>
  <si>
    <t xml:space="preserve">NF_026745|1</t>
  </si>
  <si>
    <t xml:space="preserve">NF_026746|1</t>
  </si>
  <si>
    <t xml:space="preserve">NF_026747|1</t>
  </si>
  <si>
    <t xml:space="preserve">NF_026748|1</t>
  </si>
  <si>
    <t xml:space="preserve">NF_026749|1</t>
  </si>
  <si>
    <t xml:space="preserve">NF_026750|1</t>
  </si>
  <si>
    <t xml:space="preserve">NF_026750|2</t>
  </si>
  <si>
    <t xml:space="preserve">NF_026750|3</t>
  </si>
  <si>
    <t xml:space="preserve">NF_026751|1</t>
  </si>
  <si>
    <t xml:space="preserve">NF_026752|1</t>
  </si>
  <si>
    <t xml:space="preserve">NF_026753|1</t>
  </si>
  <si>
    <t xml:space="preserve">NF_026754|1</t>
  </si>
  <si>
    <t xml:space="preserve">NF_026755|1</t>
  </si>
  <si>
    <t xml:space="preserve">NF_026756|1</t>
  </si>
  <si>
    <t xml:space="preserve">NF_026757|1</t>
  </si>
  <si>
    <t xml:space="preserve">NF_026758|1</t>
  </si>
  <si>
    <t xml:space="preserve">NF_026758|2</t>
  </si>
  <si>
    <t xml:space="preserve">NF_026759|1</t>
  </si>
  <si>
    <t xml:space="preserve">NF_026759|2</t>
  </si>
  <si>
    <t xml:space="preserve">NF_026759|3</t>
  </si>
  <si>
    <t xml:space="preserve">NF_026760|1</t>
  </si>
  <si>
    <t xml:space="preserve">NF_026761|1</t>
  </si>
  <si>
    <t xml:space="preserve">NF_026762|1</t>
  </si>
  <si>
    <t xml:space="preserve">NF_026762|2</t>
  </si>
  <si>
    <t xml:space="preserve">NF_026810|1</t>
  </si>
  <si>
    <t xml:space="preserve">NF_026810|2</t>
  </si>
  <si>
    <t xml:space="preserve">NF_026811|1</t>
  </si>
  <si>
    <t xml:space="preserve">NF_026811|2</t>
  </si>
  <si>
    <t xml:space="preserve">NF_026811|3</t>
  </si>
  <si>
    <t xml:space="preserve">NF_026811|4</t>
  </si>
  <si>
    <t xml:space="preserve">NF_026811|5</t>
  </si>
  <si>
    <t xml:space="preserve">NF_026811|6</t>
  </si>
  <si>
    <t xml:space="preserve">NF_026811|7</t>
  </si>
  <si>
    <t xml:space="preserve">NF_026811|8</t>
  </si>
  <si>
    <t xml:space="preserve">NF_026811|9</t>
  </si>
  <si>
    <t xml:space="preserve">NF_026811|10</t>
  </si>
  <si>
    <t xml:space="preserve">NF_026811|11</t>
  </si>
  <si>
    <t xml:space="preserve">NF_026811|12</t>
  </si>
  <si>
    <t xml:space="preserve">NF_026917|1</t>
  </si>
  <si>
    <t xml:space="preserve">NF_026917|2</t>
  </si>
  <si>
    <t xml:space="preserve">NF_026917|3</t>
  </si>
  <si>
    <t xml:space="preserve">NF_026917|4</t>
  </si>
  <si>
    <t xml:space="preserve">NF_205631|1</t>
  </si>
  <si>
    <t xml:space="preserve">NF_205631|2</t>
  </si>
  <si>
    <t xml:space="preserve">NF_205631|3</t>
  </si>
  <si>
    <t xml:space="preserve">NF_205631|4</t>
  </si>
  <si>
    <t xml:space="preserve">NF_205632|1</t>
  </si>
  <si>
    <t xml:space="preserve">NF_205632|2</t>
  </si>
  <si>
    <t xml:space="preserve">NF_205632|3</t>
  </si>
  <si>
    <t xml:space="preserve">NF_205633|1</t>
  </si>
  <si>
    <t xml:space="preserve">NF_205633|2</t>
  </si>
  <si>
    <t xml:space="preserve">NF_205633|3</t>
  </si>
  <si>
    <t xml:space="preserve">NF_205634|1</t>
  </si>
  <si>
    <t xml:space="preserve">NF_205634|2</t>
  </si>
  <si>
    <t xml:space="preserve">NF_205635|1</t>
  </si>
  <si>
    <t xml:space="preserve">NF_205635|2</t>
  </si>
  <si>
    <t xml:space="preserve">NF_205635|3</t>
  </si>
  <si>
    <t xml:space="preserve">NF_205635|4</t>
  </si>
  <si>
    <t xml:space="preserve">NF_205635|5</t>
  </si>
  <si>
    <t xml:space="preserve">NF_205635|6</t>
  </si>
  <si>
    <t xml:space="preserve">NF_205635|7</t>
  </si>
  <si>
    <t xml:space="preserve">NF_205635|8</t>
  </si>
  <si>
    <t xml:space="preserve">NF_205635|9</t>
  </si>
  <si>
    <t xml:space="preserve">NF_205635|10</t>
  </si>
  <si>
    <t xml:space="preserve">NF_205635|11</t>
  </si>
  <si>
    <t xml:space="preserve">NF_205635|12</t>
  </si>
  <si>
    <t xml:space="preserve">NF_205635|13</t>
  </si>
  <si>
    <t xml:space="preserve">NF_205635|14</t>
  </si>
  <si>
    <t xml:space="preserve">NF_205636|1</t>
  </si>
  <si>
    <t xml:space="preserve">NF_205637|1</t>
  </si>
  <si>
    <t xml:space="preserve">NF_205638|1</t>
  </si>
  <si>
    <t xml:space="preserve">NF_205638|2</t>
  </si>
  <si>
    <t xml:space="preserve">NF_205639|1</t>
  </si>
  <si>
    <t xml:space="preserve">NF_205640|1</t>
  </si>
  <si>
    <t xml:space="preserve">NF_205641|1</t>
  </si>
  <si>
    <t xml:space="preserve">NF_205642|1</t>
  </si>
  <si>
    <t xml:space="preserve">NF_205643|1</t>
  </si>
  <si>
    <t xml:space="preserve">NF_205644|1</t>
  </si>
  <si>
    <t xml:space="preserve">NF_205645|1</t>
  </si>
  <si>
    <t xml:space="preserve">NF_205646|1</t>
  </si>
  <si>
    <t xml:space="preserve">NF_205647|1</t>
  </si>
  <si>
    <t xml:space="preserve">NF_205648|1</t>
  </si>
  <si>
    <t xml:space="preserve">NF_205648|2</t>
  </si>
  <si>
    <t xml:space="preserve">NF_205648|3</t>
  </si>
  <si>
    <t xml:space="preserve">NF_205648|4</t>
  </si>
  <si>
    <t xml:space="preserve">NF_205648|5</t>
  </si>
  <si>
    <t xml:space="preserve">NF_205649|1</t>
  </si>
  <si>
    <t xml:space="preserve">NF_205650|1</t>
  </si>
  <si>
    <t xml:space="preserve">NF_205651|1</t>
  </si>
  <si>
    <t xml:space="preserve">NF_205652|1</t>
  </si>
  <si>
    <t xml:space="preserve">NF_205653|1</t>
  </si>
  <si>
    <t xml:space="preserve">NF_205654|1</t>
  </si>
  <si>
    <t xml:space="preserve">NF_205655|1</t>
  </si>
  <si>
    <t xml:space="preserve">NF_205655|2</t>
  </si>
  <si>
    <t xml:space="preserve">NF_205655|3</t>
  </si>
  <si>
    <t xml:space="preserve">NF_205655|4</t>
  </si>
  <si>
    <t xml:space="preserve">NF_205656|1</t>
  </si>
  <si>
    <t xml:space="preserve">NF_205657|1</t>
  </si>
  <si>
    <t xml:space="preserve">NF_205657|2</t>
  </si>
  <si>
    <t xml:space="preserve">NF_205657|3</t>
  </si>
  <si>
    <t xml:space="preserve">NF_205658|1</t>
  </si>
  <si>
    <t xml:space="preserve">NF_205658|2</t>
  </si>
  <si>
    <t xml:space="preserve">NF_205658|3</t>
  </si>
  <si>
    <t xml:space="preserve">NF_205659|1</t>
  </si>
  <si>
    <t xml:space="preserve">NF_205660|1</t>
  </si>
  <si>
    <t xml:space="preserve">NF_205661|1</t>
  </si>
  <si>
    <t xml:space="preserve">NF_205661|2</t>
  </si>
  <si>
    <t xml:space="preserve">NF_205662|1</t>
  </si>
  <si>
    <t xml:space="preserve">NF_205663|1</t>
  </si>
  <si>
    <t xml:space="preserve">NF_205664|1</t>
  </si>
  <si>
    <t xml:space="preserve">NF_205665|1</t>
  </si>
  <si>
    <t xml:space="preserve">NF_205666|1</t>
  </si>
  <si>
    <t xml:space="preserve">NF_205667|1</t>
  </si>
  <si>
    <t xml:space="preserve">NF_205668|1</t>
  </si>
  <si>
    <t xml:space="preserve">NF_205669|1</t>
  </si>
  <si>
    <t xml:space="preserve">NF_205670|1</t>
  </si>
  <si>
    <t xml:space="preserve">NF_205671|1</t>
  </si>
  <si>
    <t xml:space="preserve">NF_205672|1</t>
  </si>
  <si>
    <t xml:space="preserve">NF_205673|1</t>
  </si>
  <si>
    <t xml:space="preserve">NF_205674|1</t>
  </si>
  <si>
    <t xml:space="preserve">NF_205675|1</t>
  </si>
  <si>
    <t xml:space="preserve">NF_205675|2</t>
  </si>
  <si>
    <t xml:space="preserve">NF_205676|1</t>
  </si>
  <si>
    <t xml:space="preserve">NF_205677|1</t>
  </si>
  <si>
    <t xml:space="preserve">NF_205678|1</t>
  </si>
  <si>
    <t xml:space="preserve">NF_205679|1</t>
  </si>
  <si>
    <t xml:space="preserve">NF_205680|1</t>
  </si>
  <si>
    <t xml:space="preserve">NF_205681|1</t>
  </si>
  <si>
    <t xml:space="preserve">NF_205681|2</t>
  </si>
  <si>
    <t xml:space="preserve">NF_205681|3</t>
  </si>
  <si>
    <t xml:space="preserve">NF_205681|4</t>
  </si>
  <si>
    <t xml:space="preserve">NF_205681|5</t>
  </si>
  <si>
    <t xml:space="preserve">NF_205681|6</t>
  </si>
  <si>
    <t xml:space="preserve">NF_205681|7</t>
  </si>
  <si>
    <t xml:space="preserve">NF_205681|8</t>
  </si>
  <si>
    <t xml:space="preserve">NF_205681|9</t>
  </si>
  <si>
    <t xml:space="preserve">NF_205681|10</t>
  </si>
  <si>
    <t xml:space="preserve">NF_026918|1</t>
  </si>
  <si>
    <t xml:space="preserve">NF_026918|2</t>
  </si>
  <si>
    <t xml:space="preserve">NF_026918|3</t>
  </si>
  <si>
    <t xml:space="preserve">NF_026918|4</t>
  </si>
  <si>
    <t xml:space="preserve">NF_026918|5</t>
  </si>
  <si>
    <t xml:space="preserve">NF_026918|6</t>
  </si>
  <si>
    <t xml:space="preserve">NF_026918|7</t>
  </si>
  <si>
    <t xml:space="preserve">NF_026918|8</t>
  </si>
  <si>
    <t xml:space="preserve">NF_026918|9</t>
  </si>
  <si>
    <t xml:space="preserve">NF_026918|10</t>
  </si>
  <si>
    <t xml:space="preserve">NF_026922|1</t>
  </si>
  <si>
    <t xml:space="preserve">NF_026923|1</t>
  </si>
  <si>
    <t xml:space="preserve">NF_026924|1</t>
  </si>
  <si>
    <t xml:space="preserve">NF_026925|1</t>
  </si>
  <si>
    <t xml:space="preserve">NF_026926|1</t>
  </si>
  <si>
    <t xml:space="preserve">NF_026927|1</t>
  </si>
  <si>
    <t xml:space="preserve">NF_026928|1</t>
  </si>
  <si>
    <t xml:space="preserve">NF_026929|1</t>
  </si>
  <si>
    <t xml:space="preserve">NF_026930|1</t>
  </si>
  <si>
    <t xml:space="preserve">NF_026930|2</t>
  </si>
  <si>
    <t xml:space="preserve">NF_026931|1</t>
  </si>
  <si>
    <t xml:space="preserve">NF_026932|1</t>
  </si>
  <si>
    <t xml:space="preserve">NF_026932|2</t>
  </si>
  <si>
    <t xml:space="preserve">NF_026932|3</t>
  </si>
  <si>
    <t xml:space="preserve">NF_026933|1</t>
  </si>
  <si>
    <t xml:space="preserve">NF_026934|1</t>
  </si>
  <si>
    <t xml:space="preserve">NF_026946|1</t>
  </si>
  <si>
    <t xml:space="preserve">NF_026947|1</t>
  </si>
  <si>
    <t xml:space="preserve">NF_026947|2</t>
  </si>
  <si>
    <t xml:space="preserve">NF_026948|1</t>
  </si>
  <si>
    <t xml:space="preserve">NF_026949|1</t>
  </si>
  <si>
    <t xml:space="preserve">NF_026949|2</t>
  </si>
  <si>
    <t xml:space="preserve">NF_026949|3</t>
  </si>
  <si>
    <t xml:space="preserve">NF_026949|4</t>
  </si>
  <si>
    <t xml:space="preserve">NF_026949|5</t>
  </si>
  <si>
    <t xml:space="preserve">NF_026950|1</t>
  </si>
  <si>
    <t xml:space="preserve">NF_026951|1</t>
  </si>
  <si>
    <t xml:space="preserve">NF_026951|2</t>
  </si>
  <si>
    <t xml:space="preserve">NF_0269522|1</t>
  </si>
  <si>
    <t xml:space="preserve">NF_026953|1</t>
  </si>
  <si>
    <t xml:space="preserve">NF_026953|2</t>
  </si>
  <si>
    <t xml:space="preserve">NF_026953|3</t>
  </si>
  <si>
    <t xml:space="preserve">NF_026958|1</t>
  </si>
  <si>
    <t xml:space="preserve">NF_026960|1</t>
  </si>
  <si>
    <t xml:space="preserve">NF_026962|1</t>
  </si>
  <si>
    <t xml:space="preserve">NF_026963|1</t>
  </si>
  <si>
    <t xml:space="preserve">NF_026964|1</t>
  </si>
  <si>
    <t xml:space="preserve">NF_026965|1</t>
  </si>
  <si>
    <t xml:space="preserve">NF_026966|1</t>
  </si>
  <si>
    <t xml:space="preserve">NF_026967|1</t>
  </si>
  <si>
    <t xml:space="preserve">NF_026968|1</t>
  </si>
  <si>
    <t xml:space="preserve">NF_026969|1</t>
  </si>
  <si>
    <t xml:space="preserve">NF_026973|1</t>
  </si>
  <si>
    <t xml:space="preserve">NF_026973|2</t>
  </si>
  <si>
    <t xml:space="preserve">NF_027013|1</t>
  </si>
  <si>
    <t xml:space="preserve">NF_027013|2</t>
  </si>
  <si>
    <t xml:space="preserve">NF_205684|1</t>
  </si>
  <si>
    <t xml:space="preserve">NF_205684|2</t>
  </si>
  <si>
    <t xml:space="preserve">NF_205684|3</t>
  </si>
  <si>
    <t xml:space="preserve">NF_205684|4</t>
  </si>
  <si>
    <t xml:space="preserve">NF_205684|5</t>
  </si>
  <si>
    <t xml:space="preserve">NF_205684|6</t>
  </si>
  <si>
    <t xml:space="preserve">NF_205684|7</t>
  </si>
  <si>
    <t xml:space="preserve">NF_205684|8</t>
  </si>
  <si>
    <t xml:space="preserve">NF_205684|9</t>
  </si>
  <si>
    <t xml:space="preserve">NF_205684|10</t>
  </si>
  <si>
    <t xml:space="preserve">NF_205685|1</t>
  </si>
  <si>
    <t xml:space="preserve">NF_205685|2</t>
  </si>
  <si>
    <t xml:space="preserve">NF_205685|3</t>
  </si>
  <si>
    <t xml:space="preserve">NF_205685|4</t>
  </si>
  <si>
    <t xml:space="preserve">NF_205685|5</t>
  </si>
  <si>
    <t xml:space="preserve">NF_205686|1</t>
  </si>
  <si>
    <t xml:space="preserve">NF_205687|1</t>
  </si>
  <si>
    <t xml:space="preserve">NF_205688|1</t>
  </si>
  <si>
    <t xml:space="preserve">NF_205689|1</t>
  </si>
  <si>
    <t xml:space="preserve">NF_205690|1</t>
  </si>
  <si>
    <t xml:space="preserve">NF_205691|1</t>
  </si>
  <si>
    <t xml:space="preserve">NF_205692|1</t>
  </si>
  <si>
    <t xml:space="preserve">NF_205693|1</t>
  </si>
  <si>
    <t xml:space="preserve">NF_205694|1</t>
  </si>
  <si>
    <t xml:space="preserve">NF_205695|1</t>
  </si>
  <si>
    <t xml:space="preserve">NF_205696|1</t>
  </si>
  <si>
    <t xml:space="preserve">NF_205696|2</t>
  </si>
  <si>
    <t xml:space="preserve">NF_205696|3</t>
  </si>
  <si>
    <t xml:space="preserve">NF_205697|1</t>
  </si>
  <si>
    <t xml:space="preserve">NF_205698|1</t>
  </si>
  <si>
    <t xml:space="preserve">NF_205699|1</t>
  </si>
  <si>
    <t xml:space="preserve">NF_205700|1</t>
  </si>
  <si>
    <t xml:space="preserve">NF_205700|2</t>
  </si>
  <si>
    <t xml:space="preserve">NF_205701|1</t>
  </si>
  <si>
    <t xml:space="preserve">NF_205702|1</t>
  </si>
  <si>
    <t xml:space="preserve">NF_205702|2</t>
  </si>
  <si>
    <t xml:space="preserve">NF_205702|3</t>
  </si>
  <si>
    <t xml:space="preserve">NF_205702|4</t>
  </si>
  <si>
    <t xml:space="preserve">NF_205703|1</t>
  </si>
  <si>
    <t xml:space="preserve">NF_205704|1</t>
  </si>
  <si>
    <t xml:space="preserve">NF_205704|2</t>
  </si>
  <si>
    <t xml:space="preserve">NF_205705|1</t>
  </si>
  <si>
    <t xml:space="preserve">NF_205706|1</t>
  </si>
  <si>
    <t xml:space="preserve">NF_205706|2</t>
  </si>
  <si>
    <t xml:space="preserve">NF_205706|3</t>
  </si>
  <si>
    <t xml:space="preserve">NF_205707|1</t>
  </si>
  <si>
    <t xml:space="preserve">NF_205708|1</t>
  </si>
  <si>
    <t xml:space="preserve">NF_205709|1</t>
  </si>
  <si>
    <t xml:space="preserve">NF_205710|1</t>
  </si>
  <si>
    <t xml:space="preserve">NF_205711|1</t>
  </si>
  <si>
    <t xml:space="preserve">NF_205712|1</t>
  </si>
  <si>
    <t xml:space="preserve">NF_205713|1</t>
  </si>
  <si>
    <t xml:space="preserve">NF_205714|1</t>
  </si>
  <si>
    <t xml:space="preserve">NF_205714|2</t>
  </si>
  <si>
    <t xml:space="preserve">NF_205715|1</t>
  </si>
  <si>
    <t xml:space="preserve">NF_205715|2</t>
  </si>
  <si>
    <t xml:space="preserve">NF_205716|1</t>
  </si>
  <si>
    <t xml:space="preserve">NF_205717|1</t>
  </si>
  <si>
    <t xml:space="preserve">NF_205717|2</t>
  </si>
  <si>
    <t xml:space="preserve">NF_205717|3</t>
  </si>
  <si>
    <t xml:space="preserve">NF_205717|4</t>
  </si>
  <si>
    <t xml:space="preserve">NF_205719|1</t>
  </si>
  <si>
    <t xml:space="preserve">NF_205720|1</t>
  </si>
  <si>
    <t xml:space="preserve">NF_205720|2</t>
  </si>
  <si>
    <t xml:space="preserve">NF_205720|3</t>
  </si>
  <si>
    <t xml:space="preserve">NF_205720|4</t>
  </si>
  <si>
    <t xml:space="preserve">NF_205722|1</t>
  </si>
  <si>
    <t xml:space="preserve">NF_205722|2</t>
  </si>
  <si>
    <t xml:space="preserve">NF_205722|3</t>
  </si>
  <si>
    <t xml:space="preserve">NF_205722|4</t>
  </si>
  <si>
    <t xml:space="preserve">NF_205722|5</t>
  </si>
  <si>
    <t xml:space="preserve">NF_205722|6</t>
  </si>
  <si>
    <t xml:space="preserve">NF_205722|7</t>
  </si>
  <si>
    <t xml:space="preserve">NF_205722|8</t>
  </si>
  <si>
    <t xml:space="preserve">NF_26959|1</t>
  </si>
  <si>
    <t xml:space="preserve">NF_26971|1</t>
  </si>
  <si>
    <t xml:space="preserve">NF_26971|2</t>
  </si>
  <si>
    <t xml:space="preserve">NF_26971|3</t>
  </si>
  <si>
    <t xml:space="preserve">NF_26971|4</t>
  </si>
  <si>
    <t xml:space="preserve">NF_26972|1</t>
  </si>
  <si>
    <t xml:space="preserve">NF_26972|2</t>
  </si>
  <si>
    <t xml:space="preserve">NF_26972|3</t>
  </si>
  <si>
    <t xml:space="preserve">NF_26972|4</t>
  </si>
  <si>
    <t xml:space="preserve">NF_26972|5</t>
  </si>
  <si>
    <t xml:space="preserve">NF_26972|6</t>
  </si>
  <si>
    <t xml:space="preserve">NF_26972|7</t>
  </si>
  <si>
    <t xml:space="preserve">NF_26972|8</t>
  </si>
  <si>
    <t xml:space="preserve">NF_26972|9</t>
  </si>
  <si>
    <t xml:space="preserve">NF_26972|10</t>
  </si>
  <si>
    <t xml:space="preserve">NF_26972|11</t>
  </si>
  <si>
    <t xml:space="preserve">NF_26972|12</t>
  </si>
  <si>
    <t xml:space="preserve">NF_26972|13</t>
  </si>
  <si>
    <t xml:space="preserve">nf_205721|1</t>
  </si>
  <si>
    <t xml:space="preserve">nf_205721|2</t>
  </si>
  <si>
    <t xml:space="preserve">nf_205721|3</t>
  </si>
  <si>
    <t xml:space="preserve">nf_205721|4</t>
  </si>
  <si>
    <t xml:space="preserve">nf_205721|5</t>
  </si>
  <si>
    <t xml:space="preserve">nf_205721|6</t>
  </si>
  <si>
    <t xml:space="preserve">nf_205721|7</t>
  </si>
  <si>
    <t xml:space="preserve">nf_205721|8</t>
  </si>
  <si>
    <t xml:space="preserve">nf_205721|9</t>
  </si>
  <si>
    <t xml:space="preserve">nf_205721|10</t>
  </si>
  <si>
    <t xml:space="preserve">nf_205721|11</t>
  </si>
  <si>
    <t xml:space="preserve">nf_205721|12</t>
  </si>
  <si>
    <t xml:space="preserve">nf_205721|13</t>
  </si>
  <si>
    <t xml:space="preserve">nf_205721|14</t>
  </si>
  <si>
    <t xml:space="preserve">nf_205721|15</t>
  </si>
  <si>
    <t xml:space="preserve">nf_270121|1</t>
  </si>
  <si>
    <t xml:space="preserve">nf_270121|2</t>
  </si>
  <si>
    <t xml:space="preserve">nf_270121|3</t>
  </si>
  <si>
    <t xml:space="preserve">nf_270121|4</t>
  </si>
  <si>
    <t xml:space="preserve">NF_027136|1</t>
  </si>
  <si>
    <t xml:space="preserve">NF_027137|1</t>
  </si>
  <si>
    <t xml:space="preserve">NF_027137|2</t>
  </si>
  <si>
    <t xml:space="preserve">NF_027137|3</t>
  </si>
  <si>
    <t xml:space="preserve">NF_027137|4</t>
  </si>
  <si>
    <t xml:space="preserve">NF_027137|5</t>
  </si>
  <si>
    <t xml:space="preserve">NF_027137|6</t>
  </si>
  <si>
    <t xml:space="preserve">NF_027137|7</t>
  </si>
  <si>
    <t xml:space="preserve">NF_027137|8</t>
  </si>
  <si>
    <t xml:space="preserve">NF_027138|1</t>
  </si>
  <si>
    <t xml:space="preserve">NF_027138|2</t>
  </si>
  <si>
    <t xml:space="preserve">NF_027138|3</t>
  </si>
  <si>
    <t xml:space="preserve">NF_027139|1</t>
  </si>
  <si>
    <t xml:space="preserve">NF_027140|1</t>
  </si>
  <si>
    <t xml:space="preserve">NF_027142|1</t>
  </si>
  <si>
    <t xml:space="preserve">NF_027143|1</t>
  </si>
  <si>
    <t xml:space="preserve">NF_027144|1</t>
  </si>
  <si>
    <t xml:space="preserve">NF_027145|1</t>
  </si>
  <si>
    <t xml:space="preserve">NF_027147|1</t>
  </si>
  <si>
    <t xml:space="preserve">NF_027148|1</t>
  </si>
  <si>
    <t xml:space="preserve">NF_027148|2</t>
  </si>
  <si>
    <t xml:space="preserve">NF_027149|1</t>
  </si>
  <si>
    <t xml:space="preserve">NF_027150|1</t>
  </si>
  <si>
    <t xml:space="preserve">NF_027151|1</t>
  </si>
  <si>
    <t xml:space="preserve">NF_027152|1</t>
  </si>
  <si>
    <t xml:space="preserve">NF_027153|1</t>
  </si>
  <si>
    <t xml:space="preserve">NF_027153|2</t>
  </si>
  <si>
    <t xml:space="preserve">NF_027153|3</t>
  </si>
  <si>
    <t xml:space="preserve">NF_027153|4</t>
  </si>
  <si>
    <t xml:space="preserve">NF_027153|5</t>
  </si>
  <si>
    <t xml:space="preserve">NF_027156|1</t>
  </si>
  <si>
    <t xml:space="preserve">NF_027157|1</t>
  </si>
  <si>
    <t xml:space="preserve">NF_027158|1</t>
  </si>
  <si>
    <t xml:space="preserve">NF_027159|1</t>
  </si>
  <si>
    <t xml:space="preserve">NF_027160|1</t>
  </si>
  <si>
    <t xml:space="preserve">NF_027161|1</t>
  </si>
  <si>
    <t xml:space="preserve">NF_027163|1</t>
  </si>
  <si>
    <t xml:space="preserve">NF_027163|2</t>
  </si>
  <si>
    <t xml:space="preserve">NF_027163|3</t>
  </si>
  <si>
    <t xml:space="preserve">NF_027163|4</t>
  </si>
  <si>
    <t xml:space="preserve">NF_027163|5</t>
  </si>
  <si>
    <t xml:space="preserve">NF_027163|6</t>
  </si>
  <si>
    <t xml:space="preserve">NF_027163|7</t>
  </si>
  <si>
    <t xml:space="preserve">NF_027163|8</t>
  </si>
  <si>
    <t xml:space="preserve">NF_027163|9</t>
  </si>
  <si>
    <t xml:space="preserve">NF_027163|10</t>
  </si>
  <si>
    <t xml:space="preserve">NF_027163|11</t>
  </si>
  <si>
    <t xml:space="preserve">NF_027163|12</t>
  </si>
  <si>
    <t xml:space="preserve">NF_027163|13</t>
  </si>
  <si>
    <t xml:space="preserve">NF_027163|14</t>
  </si>
  <si>
    <t xml:space="preserve">NF_027163|15</t>
  </si>
  <si>
    <t xml:space="preserve">NF_027164|1</t>
  </si>
  <si>
    <t xml:space="preserve">NF_027193|1</t>
  </si>
  <si>
    <t xml:space="preserve">NF_027199|1</t>
  </si>
  <si>
    <t xml:space="preserve">NF_027200|1</t>
  </si>
  <si>
    <t xml:space="preserve">NF_027200|2</t>
  </si>
  <si>
    <t xml:space="preserve">NF_027200|3</t>
  </si>
  <si>
    <t xml:space="preserve">NF_027200|4</t>
  </si>
  <si>
    <t xml:space="preserve">NF_027209|1</t>
  </si>
  <si>
    <t xml:space="preserve">NF_027210|1</t>
  </si>
  <si>
    <t xml:space="preserve">NF_205724|1</t>
  </si>
  <si>
    <t xml:space="preserve">NF_205724|2</t>
  </si>
  <si>
    <t xml:space="preserve">NF_205724|3</t>
  </si>
  <si>
    <t xml:space="preserve">NF_205724|4</t>
  </si>
  <si>
    <t xml:space="preserve">NF_205724|5</t>
  </si>
  <si>
    <t xml:space="preserve">NF_205724|6</t>
  </si>
  <si>
    <t xml:space="preserve">NF_205724|7</t>
  </si>
  <si>
    <t xml:space="preserve">NF_205725|1</t>
  </si>
  <si>
    <t xml:space="preserve">NF_205725|2</t>
  </si>
  <si>
    <t xml:space="preserve">NF_205725|3</t>
  </si>
  <si>
    <t xml:space="preserve">NF_205726|1</t>
  </si>
  <si>
    <t xml:space="preserve">NF_205727|1</t>
  </si>
  <si>
    <t xml:space="preserve">NF_205728|1</t>
  </si>
  <si>
    <t xml:space="preserve">NF_205729|1</t>
  </si>
  <si>
    <t xml:space="preserve">NF_205730|1</t>
  </si>
  <si>
    <t xml:space="preserve">NF_205731|1</t>
  </si>
  <si>
    <t xml:space="preserve">NF_205732|1</t>
  </si>
  <si>
    <t xml:space="preserve">NF_205733|1</t>
  </si>
  <si>
    <t xml:space="preserve">NF_205734|1</t>
  </si>
  <si>
    <t xml:space="preserve">NF_205735|1</t>
  </si>
  <si>
    <t xml:space="preserve">NF_205736|1</t>
  </si>
  <si>
    <t xml:space="preserve">NF_205738|1</t>
  </si>
  <si>
    <t xml:space="preserve">NF_205739|1</t>
  </si>
  <si>
    <t xml:space="preserve">NF_205740|1</t>
  </si>
  <si>
    <t xml:space="preserve">NF_205741|1</t>
  </si>
  <si>
    <t xml:space="preserve">NF_205742|1</t>
  </si>
  <si>
    <t xml:space="preserve">NF_205743|1</t>
  </si>
  <si>
    <t xml:space="preserve">NF_205744|1</t>
  </si>
  <si>
    <t xml:space="preserve">NF_205745|1</t>
  </si>
  <si>
    <t xml:space="preserve">NF_205745|2</t>
  </si>
  <si>
    <t xml:space="preserve">NF_205745|3</t>
  </si>
  <si>
    <t xml:space="preserve">NF_205745|4</t>
  </si>
  <si>
    <t xml:space="preserve">NF_205745|5</t>
  </si>
  <si>
    <t xml:space="preserve">NF_205745|6</t>
  </si>
  <si>
    <t xml:space="preserve">NF_205745|7</t>
  </si>
  <si>
    <t xml:space="preserve">NF_205746|1</t>
  </si>
  <si>
    <t xml:space="preserve">NF_205746|2</t>
  </si>
  <si>
    <t xml:space="preserve">NF_205746|3</t>
  </si>
  <si>
    <t xml:space="preserve">NF_205747|1</t>
  </si>
  <si>
    <t xml:space="preserve">NF_205747|2</t>
  </si>
  <si>
    <t xml:space="preserve">NF_205747|3</t>
  </si>
  <si>
    <t xml:space="preserve">NF_205747|4</t>
  </si>
  <si>
    <t xml:space="preserve">NF_205747|5</t>
  </si>
  <si>
    <t xml:space="preserve">NF_205747|6</t>
  </si>
  <si>
    <t xml:space="preserve">NF_205747|7</t>
  </si>
  <si>
    <t xml:space="preserve">NF_205747|8</t>
  </si>
  <si>
    <t xml:space="preserve">NF_205747|9</t>
  </si>
  <si>
    <t xml:space="preserve">NF_205747|10</t>
  </si>
  <si>
    <t xml:space="preserve">NF_205747|11</t>
  </si>
  <si>
    <t xml:space="preserve">NF_205747|12</t>
  </si>
  <si>
    <t xml:space="preserve">NF_205747|13</t>
  </si>
  <si>
    <t xml:space="preserve">NF_205747|14</t>
  </si>
  <si>
    <t xml:space="preserve">NF_205747|15</t>
  </si>
  <si>
    <t xml:space="preserve">NF_205748|1</t>
  </si>
  <si>
    <t xml:space="preserve">NF_205748|2</t>
  </si>
  <si>
    <t xml:space="preserve">NF_205748|3</t>
  </si>
  <si>
    <t xml:space="preserve">NF_205748|4</t>
  </si>
  <si>
    <t xml:space="preserve">NF_205748|5</t>
  </si>
  <si>
    <t xml:space="preserve">NF_205748|6</t>
  </si>
  <si>
    <t xml:space="preserve">NF_205748|7</t>
  </si>
  <si>
    <t xml:space="preserve">NF_205748|8</t>
  </si>
  <si>
    <t xml:space="preserve">NF_205748|9</t>
  </si>
  <si>
    <t xml:space="preserve">NF_205748|10</t>
  </si>
  <si>
    <t xml:space="preserve">NF_205748|11</t>
  </si>
  <si>
    <t xml:space="preserve">NF_205748|12</t>
  </si>
  <si>
    <t xml:space="preserve">NF_205748|13</t>
  </si>
  <si>
    <t xml:space="preserve">NF_205748|14</t>
  </si>
  <si>
    <t xml:space="preserve">NF_205748|15</t>
  </si>
  <si>
    <t xml:space="preserve">NF_205748|16</t>
  </si>
  <si>
    <t xml:space="preserve">NF_205748|17</t>
  </si>
  <si>
    <t xml:space="preserve">NF_205748|18</t>
  </si>
  <si>
    <t xml:space="preserve">NF_205748|19</t>
  </si>
  <si>
    <t xml:space="preserve">NF_205748|20</t>
  </si>
  <si>
    <t xml:space="preserve">NF_205749|1</t>
  </si>
  <si>
    <t xml:space="preserve">"Ordem na nota" e "Chave" numeram os centros dentro de cada nota. São o que a aba Consulta por NF usa para montar a distribuição — vêm da consulta, não mexa.</t>
  </si>
  <si>
    <t xml:space="preserve">Cada nota repartida por grupo de rubrica. Saída da consulta — é o que alimenta o segundo quadro da Consulta por NF.</t>
  </si>
  <si>
    <t xml:space="preserve">Todas as verbas de folha do período, mês a mês. Saída da consulta — atualiza com Dados &gt; Atualizar Tudo.</t>
  </si>
  <si>
    <t xml:space="preserve">Código</t>
  </si>
  <si>
    <t xml:space="preserve">Rubrica</t>
  </si>
  <si>
    <t xml:space="preserve">136</t>
  </si>
  <si>
    <t xml:space="preserve">REEMB.BENEFICIOS VR</t>
  </si>
  <si>
    <t xml:space="preserve">137</t>
  </si>
  <si>
    <t xml:space="preserve">REEMB.BENEFICIOS VT</t>
  </si>
  <si>
    <t xml:space="preserve">276</t>
  </si>
  <si>
    <t xml:space="preserve">PAGAMENTO DE VALE-TRANSPORTE (Valor)</t>
  </si>
  <si>
    <t xml:space="preserve">277</t>
  </si>
  <si>
    <t xml:space="preserve">VALE REFEIÇÃO (Valor)</t>
  </si>
  <si>
    <t xml:space="preserve">284</t>
  </si>
  <si>
    <t xml:space="preserve">PAGTO DE VALE ALIMENTACAO</t>
  </si>
  <si>
    <t xml:space="preserve">PAGTO DE VALE ALIMENTACAO (Valor)</t>
  </si>
  <si>
    <t xml:space="preserve">PAGTO DE VALE ALIMENTACAO DIF. DISSIDIO (Valor)</t>
  </si>
  <si>
    <t xml:space="preserve">285</t>
  </si>
  <si>
    <t xml:space="preserve">VALE ALIMENTAÇÃO ASSIDUIDADE</t>
  </si>
  <si>
    <t xml:space="preserve">VALE ALIMENTAÇÃO PROPORCIONAL DEMISSIONAL</t>
  </si>
  <si>
    <t xml:space="preserve">VALE ALIMENTAÇÃO/PROPORCIONAL RESC DIF. ASSIDUIDAD</t>
  </si>
  <si>
    <t xml:space="preserve">506</t>
  </si>
  <si>
    <t xml:space="preserve">DESC. AUX ACIDENTARIO INSS</t>
  </si>
  <si>
    <t xml:space="preserve">518</t>
  </si>
  <si>
    <t xml:space="preserve">DESCONTO MULTA AUTOMOVEL</t>
  </si>
  <si>
    <t xml:space="preserve">523</t>
  </si>
  <si>
    <t xml:space="preserve">DESC. AUXILIO DOENÇA INSS</t>
  </si>
  <si>
    <t xml:space="preserve">540</t>
  </si>
  <si>
    <t xml:space="preserve">DESCONTO DE SALDO NEGATIVO</t>
  </si>
  <si>
    <t xml:space="preserve">553</t>
  </si>
  <si>
    <t xml:space="preserve">ATRASOS E FALTAS (Valor)</t>
  </si>
  <si>
    <t xml:space="preserve">563</t>
  </si>
  <si>
    <t xml:space="preserve">DIAS DE FALTAS (Valor)</t>
  </si>
  <si>
    <t xml:space="preserve">564</t>
  </si>
  <si>
    <t xml:space="preserve">DSR DIAS</t>
  </si>
  <si>
    <t xml:space="preserve">584</t>
  </si>
  <si>
    <t xml:space="preserve">DESC.DESP VIAGENS/FUNDO ROTATIVO E DIV</t>
  </si>
  <si>
    <t xml:space="preserve">589</t>
  </si>
  <si>
    <t xml:space="preserve">DESCONTO FATURAMENTO</t>
  </si>
  <si>
    <t xml:space="preserve">671</t>
  </si>
  <si>
    <t xml:space="preserve">DESCONTO VALE-TRANSPORTE NAO UTILIZADO</t>
  </si>
  <si>
    <t xml:space="preserve">672</t>
  </si>
  <si>
    <t xml:space="preserve">DESCONTO DE VALE-TRANSPORTE</t>
  </si>
  <si>
    <t xml:space="preserve">673</t>
  </si>
  <si>
    <t xml:space="preserve">DESC. VT MES ANTERIOR</t>
  </si>
  <si>
    <t xml:space="preserve">698</t>
  </si>
  <si>
    <t xml:space="preserve">REFEITORIO - FTD GRÁFICA</t>
  </si>
  <si>
    <t xml:space="preserve">771</t>
  </si>
  <si>
    <t xml:space="preserve">DESCONTO VALE REFEICAO NAO UTILIZADO</t>
  </si>
  <si>
    <t xml:space="preserve">773</t>
  </si>
  <si>
    <t xml:space="preserve">DESCONTO VALE REFEICAO</t>
  </si>
  <si>
    <t xml:space="preserve">778</t>
  </si>
  <si>
    <t xml:space="preserve">DESCONTO VALE ALIMENTACAO NAO UTILIZADO</t>
  </si>
  <si>
    <t xml:space="preserve">010</t>
  </si>
  <si>
    <t xml:space="preserve">PREMIO</t>
  </si>
  <si>
    <t xml:space="preserve">098</t>
  </si>
  <si>
    <t xml:space="preserve">AUXILIO DOENÇA INSS</t>
  </si>
  <si>
    <t xml:space="preserve">121</t>
  </si>
  <si>
    <t xml:space="preserve">REEMB.GASTOS EXTERNOS (VIAGEM,TAXI,HOTEL,COMBUSTI)</t>
  </si>
  <si>
    <t xml:space="preserve">122</t>
  </si>
  <si>
    <t xml:space="preserve">FUNDO ROTATIVO P/ GASTOS EM (VIAGEM)</t>
  </si>
  <si>
    <t xml:space="preserve">148</t>
  </si>
  <si>
    <t xml:space="preserve">AUX. ACIDENTARIO (15 EMPRESA)</t>
  </si>
  <si>
    <t xml:space="preserve">175</t>
  </si>
  <si>
    <t xml:space="preserve">REEMBOLSO DESCONTO ATRASOS INDEVIDO</t>
  </si>
  <si>
    <t xml:space="preserve">REEMBOLSO DESCONTO ATRASOS INDEVIDO (Valor)</t>
  </si>
  <si>
    <t xml:space="preserve">178</t>
  </si>
  <si>
    <t xml:space="preserve">REEMBOLSO REF. DESC. DE FALTAS/DSR (Valor)</t>
  </si>
  <si>
    <t xml:space="preserve">186</t>
  </si>
  <si>
    <t xml:space="preserve">AUXILIO DOENÇA  EMPRESA</t>
  </si>
  <si>
    <t xml:space="preserve">208</t>
  </si>
  <si>
    <t xml:space="preserve">SINDICANCIA -STHAR</t>
  </si>
  <si>
    <t xml:space="preserve">213</t>
  </si>
  <si>
    <t xml:space="preserve">REEMBOLSO DE DESC. INDEVIDO</t>
  </si>
  <si>
    <t xml:space="preserve">216</t>
  </si>
  <si>
    <t xml:space="preserve">REEMBOLSO DIVERSOS - FTD PQ GRÁFICO</t>
  </si>
  <si>
    <t xml:space="preserve">228</t>
  </si>
  <si>
    <t xml:space="preserve">REEMBOLSO DESC. VT INDEVIDO</t>
  </si>
  <si>
    <t xml:space="preserve">233</t>
  </si>
  <si>
    <t xml:space="preserve">EXAMES ADMISSIONAIS</t>
  </si>
  <si>
    <t xml:space="preserve">261</t>
  </si>
  <si>
    <t xml:space="preserve">CRACHA - ADMISSAO</t>
  </si>
  <si>
    <t xml:space="preserve">270</t>
  </si>
  <si>
    <t xml:space="preserve">GRATIFICACAO</t>
  </si>
  <si>
    <t xml:space="preserve">274</t>
  </si>
  <si>
    <t xml:space="preserve">REEMB DESC. VR INDEVIDO</t>
  </si>
  <si>
    <t xml:space="preserve">298</t>
  </si>
  <si>
    <t xml:space="preserve">342</t>
  </si>
  <si>
    <t xml:space="preserve">CREME DE PROTECAO PELE PM1000 200gr</t>
  </si>
  <si>
    <t xml:space="preserve">343</t>
  </si>
  <si>
    <t xml:space="preserve">LUVA NITRILICA CA 32069</t>
  </si>
  <si>
    <t xml:space="preserve">344</t>
  </si>
  <si>
    <t xml:space="preserve">SAPATO C/ CADARCO B/ACO</t>
  </si>
  <si>
    <t xml:space="preserve">346</t>
  </si>
  <si>
    <t xml:space="preserve">CAMISETA AZUL ROYAL M/C</t>
  </si>
  <si>
    <t xml:space="preserve">347</t>
  </si>
  <si>
    <t xml:space="preserve">PROTETOR TIPO CONCHA (AMARELO)  CA.12189</t>
  </si>
  <si>
    <t xml:space="preserve">348</t>
  </si>
  <si>
    <t xml:space="preserve">OCULOS INCOLOR  MOD: RJ</t>
  </si>
  <si>
    <t xml:space="preserve">349</t>
  </si>
  <si>
    <t xml:space="preserve">CAMISETA CINZA M/C</t>
  </si>
  <si>
    <t xml:space="preserve">363</t>
  </si>
  <si>
    <t xml:space="preserve">SALDO NEGATIVO</t>
  </si>
  <si>
    <t xml:space="preserve">369</t>
  </si>
  <si>
    <t xml:space="preserve">BOTINA ELASTICO C/ BICO DE AÇO</t>
  </si>
  <si>
    <t xml:space="preserve">374</t>
  </si>
  <si>
    <t xml:space="preserve">PROTETOR AURICULAR - TIPO PLUG</t>
  </si>
  <si>
    <t xml:space="preserve">386</t>
  </si>
  <si>
    <t xml:space="preserve">CAMISETA VERMELHA M/C</t>
  </si>
  <si>
    <t xml:space="preserve">392</t>
  </si>
  <si>
    <t xml:space="preserve">CAMISETA AZUL MARINHO  M/C</t>
  </si>
  <si>
    <t xml:space="preserve">398</t>
  </si>
  <si>
    <t xml:space="preserve">LUVA DE MALHA TRICOTADA</t>
  </si>
  <si>
    <t xml:space="preserve">403</t>
  </si>
  <si>
    <t xml:space="preserve">CAMISETA PRETA  M/C</t>
  </si>
  <si>
    <t xml:space="preserve">410</t>
  </si>
  <si>
    <t xml:space="preserve">CAMISETA LARANJA M/C</t>
  </si>
  <si>
    <t xml:space="preserve">462</t>
  </si>
  <si>
    <t xml:space="preserve">AUX. ACIDENTARIO INSS</t>
  </si>
  <si>
    <t xml:space="preserve">728</t>
  </si>
  <si>
    <t xml:space="preserve">COLETE REFLETIVO</t>
  </si>
  <si>
    <t xml:space="preserve">755</t>
  </si>
  <si>
    <t xml:space="preserve">CAMISETA VERDE M/C</t>
  </si>
  <si>
    <t xml:space="preserve">756</t>
  </si>
  <si>
    <t xml:space="preserve">PONTO ELETRONICO</t>
  </si>
  <si>
    <t xml:space="preserve">764</t>
  </si>
  <si>
    <t xml:space="preserve">RESPIRADOR</t>
  </si>
  <si>
    <t xml:space="preserve">825</t>
  </si>
  <si>
    <t xml:space="preserve">EXAMES MEDICOS COMPLEMENTAR</t>
  </si>
  <si>
    <t xml:space="preserve">834</t>
  </si>
  <si>
    <t xml:space="preserve">EXAME MEDICO- CLINICO PROTECTA SP</t>
  </si>
  <si>
    <t xml:space="preserve">861</t>
  </si>
  <si>
    <t xml:space="preserve">ASSISTENCIA DE DADOS TELEFONIA</t>
  </si>
  <si>
    <t xml:space="preserve">862</t>
  </si>
  <si>
    <t xml:space="preserve">BONUS ASSIDUIDADE - FTD</t>
  </si>
  <si>
    <t xml:space="preserve">900</t>
  </si>
  <si>
    <t xml:space="preserve">EXAMES MEDICOS</t>
  </si>
  <si>
    <t xml:space="preserve">903</t>
  </si>
  <si>
    <t xml:space="preserve">JUROS 0,033 AO DIA FATURAMENTO</t>
  </si>
  <si>
    <t xml:space="preserve">904</t>
  </si>
  <si>
    <t xml:space="preserve">MULTA 2% FATURAMENTO</t>
  </si>
  <si>
    <t xml:space="preserve">359</t>
  </si>
  <si>
    <t xml:space="preserve">MEDIAS S/ FERIAS INDENIZADAS</t>
  </si>
  <si>
    <t xml:space="preserve">360</t>
  </si>
  <si>
    <t xml:space="preserve">MEDIAS S/ 1/3 FERIAS INDENIZADAS</t>
  </si>
  <si>
    <t xml:space="preserve">480</t>
  </si>
  <si>
    <t xml:space="preserve">MEDIAS S/13o. SALARIO</t>
  </si>
  <si>
    <t xml:space="preserve">498</t>
  </si>
  <si>
    <t xml:space="preserve">ENCARGOS DE FOLHA</t>
  </si>
  <si>
    <t xml:space="preserve">070</t>
  </si>
  <si>
    <t xml:space="preserve">ADIC. DE PERICULOSIDADE 30%</t>
  </si>
  <si>
    <t xml:space="preserve">090</t>
  </si>
  <si>
    <t xml:space="preserve">HORAS EXTRAS A 30% (Valor)</t>
  </si>
  <si>
    <t xml:space="preserve">091</t>
  </si>
  <si>
    <t xml:space="preserve">HORA EXTRAS  65% (Valor)</t>
  </si>
  <si>
    <t xml:space="preserve">151</t>
  </si>
  <si>
    <t xml:space="preserve">HORAS EXTRAS A 60% (Valor)</t>
  </si>
  <si>
    <t xml:space="preserve">153</t>
  </si>
  <si>
    <t xml:space="preserve">HORAS EXTRAS A 100% (Valor)</t>
  </si>
  <si>
    <t xml:space="preserve">159</t>
  </si>
  <si>
    <t xml:space="preserve">D.S.R. S/AD NOT.</t>
  </si>
  <si>
    <t xml:space="preserve">160</t>
  </si>
  <si>
    <t xml:space="preserve">D.S.R. S/HORA EXTRA</t>
  </si>
  <si>
    <t xml:space="preserve">184</t>
  </si>
  <si>
    <t xml:space="preserve">ADIC. NOTURNO C/ 20% (Valor)</t>
  </si>
  <si>
    <t xml:space="preserve">188</t>
  </si>
  <si>
    <t xml:space="preserve">ADIC. NOTURNO C/ 35% (Valor)</t>
  </si>
  <si>
    <t xml:space="preserve">303</t>
  </si>
  <si>
    <t xml:space="preserve">DIF. HORA EXTRA 60% (Valor)</t>
  </si>
  <si>
    <t xml:space="preserve">002</t>
  </si>
  <si>
    <t xml:space="preserve">SALARIO MES (Valor)</t>
  </si>
  <si>
    <t xml:space="preserve">052</t>
  </si>
  <si>
    <t xml:space="preserve">DIFERENCA DE SALARIO</t>
  </si>
  <si>
    <t xml:space="preserve">065</t>
  </si>
  <si>
    <t xml:space="preserve">DIF.  D.S.R. S</t>
  </si>
  <si>
    <t xml:space="preserve">096</t>
  </si>
  <si>
    <t xml:space="preserve">FOLGA TRABALHADA</t>
  </si>
  <si>
    <t xml:space="preserve">102</t>
  </si>
  <si>
    <t xml:space="preserve">103</t>
  </si>
  <si>
    <t xml:space="preserve">SALARIO FAMILIA MES ANT.</t>
  </si>
  <si>
    <t xml:space="preserve">117</t>
  </si>
  <si>
    <t xml:space="preserve">D.S.R</t>
  </si>
  <si>
    <t xml:space="preserve">—</t>
  </si>
  <si>
    <t xml:space="preserve">Taxa</t>
  </si>
  <si>
    <t xml:space="preserve">Tributo Fiscal</t>
  </si>
  <si>
    <t xml:space="preserve">dRubricas</t>
  </si>
  <si>
    <t xml:space="preserve">De-para das verbas de folha. A coluna Grupo é sua — é ela que monta a leitura do Resumo.</t>
  </si>
  <si>
    <t xml:space="preserve">Atributo (como vem na origem)</t>
  </si>
  <si>
    <t xml:space="preserve">Valor no período (R$)</t>
  </si>
  <si>
    <t xml:space="preserve">Linhas</t>
  </si>
  <si>
    <t xml:space="preserve">136-REEMB.BENEFICIOS VR</t>
  </si>
  <si>
    <t xml:space="preserve">137-REEMB.BENEFICIOS VT</t>
  </si>
  <si>
    <t xml:space="preserve">276-PAGAMENTO DE VALE-TRANSPORTE (Valor)</t>
  </si>
  <si>
    <t xml:space="preserve">277-VALE REFEIÇÃO (Valor)</t>
  </si>
  <si>
    <t xml:space="preserve">284-PAGTO DE VALE ALIMENTACAO</t>
  </si>
  <si>
    <t xml:space="preserve">284-PAGTO DE VALE ALIMENTACAO (Valor)</t>
  </si>
  <si>
    <t xml:space="preserve">284-PAGTO DE VALE ALIMENTACAO DIF. DISSIDIO (Valor)</t>
  </si>
  <si>
    <t xml:space="preserve">285-VALE ALIMENTAÇÃO ASSIDUIDADE</t>
  </si>
  <si>
    <t xml:space="preserve">285-VALE ALIMENTAÇÃO PROPORCIONAL DEMISSIONAL</t>
  </si>
  <si>
    <t xml:space="preserve">285-VALE ALIMENTAÇÃO/PROPORCIONAL RESC DIF. ASSIDUIDAD</t>
  </si>
  <si>
    <t xml:space="preserve">506-DESC. AUX ACIDENTARIO INSS</t>
  </si>
  <si>
    <t xml:space="preserve">518-DESCONTO MULTA AUTOMOVEL</t>
  </si>
  <si>
    <t xml:space="preserve">523-DESC. AUXILIO DOENÇA INSS</t>
  </si>
  <si>
    <t xml:space="preserve">540-DESCONTO DE SALDO NEGATIVO</t>
  </si>
  <si>
    <t xml:space="preserve">553-ATRASOS E FALTAS (Valor)</t>
  </si>
  <si>
    <t xml:space="preserve">563-DIAS DE FALTAS (Valor)</t>
  </si>
  <si>
    <t xml:space="preserve">564-DSR DIAS</t>
  </si>
  <si>
    <t xml:space="preserve">584-DESC.DESP VIAGENS/FUNDO ROTATIVO E DIV</t>
  </si>
  <si>
    <t xml:space="preserve">589-DESCONTO FATURAMENTO</t>
  </si>
  <si>
    <t xml:space="preserve">671-DESCONTO VALE-TRANSPORTE NAO UTILIZADO</t>
  </si>
  <si>
    <t xml:space="preserve">672-DESCONTO DE VALE-TRANSPORTE</t>
  </si>
  <si>
    <t xml:space="preserve">673-DESC. VT MES ANTERIOR</t>
  </si>
  <si>
    <t xml:space="preserve">698-REFEITORIO - FTD GRÁFICA</t>
  </si>
  <si>
    <t xml:space="preserve">771-DESCONTO VALE REFEICAO NAO UTILIZADO</t>
  </si>
  <si>
    <t xml:space="preserve">773-DESCONTO VALE REFEICAO</t>
  </si>
  <si>
    <t xml:space="preserve">778-DESCONTO VALE ALIMENTACAO NAO UTILIZADO</t>
  </si>
  <si>
    <t xml:space="preserve">010-PREMIO</t>
  </si>
  <si>
    <t xml:space="preserve">098-AUXILIO DOENÇA INSS</t>
  </si>
  <si>
    <t xml:space="preserve">121-REEMB.GASTOS EXTERNOS (VIAGEM,TAXI,HOTEL,COMBUSTI)</t>
  </si>
  <si>
    <t xml:space="preserve">122-FUNDO ROTATIVO P/ GASTOS EM (VIAGEM)</t>
  </si>
  <si>
    <t xml:space="preserve">148-AUX. ACIDENTARIO (15 EMPRESA)</t>
  </si>
  <si>
    <t xml:space="preserve">175-REEMBOLSO DESCONTO ATRASOS INDEVIDO</t>
  </si>
  <si>
    <t xml:space="preserve">175-REEMBOLSO DESCONTO ATRASOS INDEVIDO (Valor)</t>
  </si>
  <si>
    <t xml:space="preserve">178-REEMBOLSO REF. DESC. DE FALTAS/DSR (Valor)</t>
  </si>
  <si>
    <t xml:space="preserve">186-AUXILIO DOENÇA  EMPRESA</t>
  </si>
  <si>
    <t xml:space="preserve">208-SINDICANCIA -STHAR</t>
  </si>
  <si>
    <t xml:space="preserve">213-REEMBOLSO DE DESC. INDEVIDO</t>
  </si>
  <si>
    <t xml:space="preserve">216-REEMBOLSO DIVERSOS - FTD PQ GRÁFICO</t>
  </si>
  <si>
    <t xml:space="preserve">228-REEMBOLSO DESC. VT INDEVIDO</t>
  </si>
  <si>
    <t xml:space="preserve">233-EXAMES ADMISSIONAIS</t>
  </si>
  <si>
    <t xml:space="preserve">261-CRACHA - ADMISSAO</t>
  </si>
  <si>
    <t xml:space="preserve">270-GRATIFICACAO</t>
  </si>
  <si>
    <t xml:space="preserve">274-REEMB DESC. VR INDEVIDO</t>
  </si>
  <si>
    <t xml:space="preserve">298-PREMIO</t>
  </si>
  <si>
    <t xml:space="preserve">342-CREME DE PROTECAO PELE PM1000 200gr</t>
  </si>
  <si>
    <t xml:space="preserve">343-LUVA NITRILICA CA 32069</t>
  </si>
  <si>
    <t xml:space="preserve">344-SAPATO C/ CADARCO B/ACO</t>
  </si>
  <si>
    <t xml:space="preserve">346-CAMISETA AZUL ROYAL M/C</t>
  </si>
  <si>
    <t xml:space="preserve">347-PROTETOR TIPO CONCHA (AMARELO)  CA.12189</t>
  </si>
  <si>
    <t xml:space="preserve">348-OCULOS INCOLOR  MOD: RJ</t>
  </si>
  <si>
    <t xml:space="preserve">349-CAMISETA CINZA M/C</t>
  </si>
  <si>
    <t xml:space="preserve">363-SALDO NEGATIVO</t>
  </si>
  <si>
    <t xml:space="preserve">369-BOTINA ELASTICO C/ BICO DE AÇO</t>
  </si>
  <si>
    <t xml:space="preserve">374-PROTETOR AURICULAR - TIPO PLUG</t>
  </si>
  <si>
    <t xml:space="preserve">386-CAMISETA VERMELHA M/C</t>
  </si>
  <si>
    <t xml:space="preserve">392-CAMISETA AZUL MARINHO  M/C</t>
  </si>
  <si>
    <t xml:space="preserve">398-LUVA DE MALHA TRICOTADA</t>
  </si>
  <si>
    <t xml:space="preserve">403-CAMISETA PRETA  M/C</t>
  </si>
  <si>
    <t xml:space="preserve">410-CAMISETA LARANJA M/C</t>
  </si>
  <si>
    <t xml:space="preserve">462-AUX. ACIDENTARIO INSS</t>
  </si>
  <si>
    <t xml:space="preserve">728-COLETE REFLETIVO</t>
  </si>
  <si>
    <t xml:space="preserve">755-CAMISETA VERDE M/C</t>
  </si>
  <si>
    <t xml:space="preserve">756-PONTO ELETRONICO</t>
  </si>
  <si>
    <t xml:space="preserve">764-RESPIRADOR</t>
  </si>
  <si>
    <t xml:space="preserve">825-EXAMES MEDICOS COMPLEMENTAR</t>
  </si>
  <si>
    <t xml:space="preserve">834-EXAME MEDICO- CLINICO PROTECTA SP</t>
  </si>
  <si>
    <t xml:space="preserve">861-ASSISTENCIA DE DADOS TELEFONIA</t>
  </si>
  <si>
    <t xml:space="preserve">862-BONUS ASSIDUIDADE - FTD</t>
  </si>
  <si>
    <t xml:space="preserve">900-EXAMES MEDICOS</t>
  </si>
  <si>
    <t xml:space="preserve">903-JUROS 0,033 AO DIA FATURAMENTO</t>
  </si>
  <si>
    <t xml:space="preserve">904-MULTA 2% FATURAMENTO</t>
  </si>
  <si>
    <t xml:space="preserve">359-MEDIAS S/ FERIAS INDENIZADAS</t>
  </si>
  <si>
    <t xml:space="preserve">360-MEDIAS S/ 1/3 FERIAS INDENIZADAS</t>
  </si>
  <si>
    <t xml:space="preserve">480-MEDIAS S/13o. SALARIO</t>
  </si>
  <si>
    <t xml:space="preserve">498-ENCARGOS DE FOLHA</t>
  </si>
  <si>
    <t xml:space="preserve">070-ADIC. DE PERICULOSIDADE 30%</t>
  </si>
  <si>
    <t xml:space="preserve">090-HORAS EXTRAS A 30% (Valor)</t>
  </si>
  <si>
    <t xml:space="preserve">091-HORA EXTRAS  65% (Valor)</t>
  </si>
  <si>
    <t xml:space="preserve">151-HORAS EXTRAS A 60% (Valor)</t>
  </si>
  <si>
    <t xml:space="preserve">153-HORAS EXTRAS A 100% (Valor)</t>
  </si>
  <si>
    <t xml:space="preserve">159-D.S.R. S/AD NOT.</t>
  </si>
  <si>
    <t xml:space="preserve">160-D.S.R. S/HORA EXTRA</t>
  </si>
  <si>
    <t xml:space="preserve">184-ADIC. NOTURNO C/ 20% (Valor)</t>
  </si>
  <si>
    <t xml:space="preserve">188-ADIC. NOTURNO C/ 35% (Valor)</t>
  </si>
  <si>
    <t xml:space="preserve">303-DIF. HORA EXTRA 60% (Valor)</t>
  </si>
  <si>
    <t xml:space="preserve">002-SALARIO MES (Valor)</t>
  </si>
  <si>
    <t xml:space="preserve">052-DIFERENCA DE SALARIO</t>
  </si>
  <si>
    <t xml:space="preserve">065-DIF.  D.S.R. S</t>
  </si>
  <si>
    <t xml:space="preserve">096-FOLGA TRABALHADA</t>
  </si>
  <si>
    <t xml:space="preserve">102-DSR DIAS</t>
  </si>
  <si>
    <t xml:space="preserve">103-SALARIO FAMILIA MES ANT.</t>
  </si>
  <si>
    <t xml:space="preserve">117-D.S.R</t>
  </si>
  <si>
    <t xml:space="preserve">dCentroCusto</t>
  </si>
  <si>
    <t xml:space="preserve">De-para dos centros de custo. 95 grafias na origem viraram 88 centros.</t>
  </si>
  <si>
    <t xml:space="preserve">Descrição na origem</t>
  </si>
  <si>
    <t xml:space="preserve">Centro de Custo padronizado</t>
  </si>
  <si>
    <t xml:space="preserve">Sem código na origem</t>
  </si>
  <si>
    <t xml:space="preserve">1481</t>
  </si>
  <si>
    <t xml:space="preserve">1483</t>
  </si>
  <si>
    <t xml:space="preserve">1485</t>
  </si>
  <si>
    <t xml:space="preserve">1486</t>
  </si>
  <si>
    <t xml:space="preserve">1487</t>
  </si>
  <si>
    <t xml:space="preserve">1489</t>
  </si>
  <si>
    <t xml:space="preserve">1491</t>
  </si>
  <si>
    <t xml:space="preserve">1605</t>
  </si>
  <si>
    <t xml:space="preserve">182</t>
  </si>
  <si>
    <t xml:space="preserve">188- VENDAS PNLD</t>
  </si>
  <si>
    <t xml:space="preserve">193- CONTROLADORIA -FTD</t>
  </si>
  <si>
    <t xml:space="preserve">193</t>
  </si>
  <si>
    <t xml:space="preserve">210</t>
  </si>
  <si>
    <t xml:space="preserve">220</t>
  </si>
  <si>
    <t xml:space="preserve">220-  CP E TESOUR</t>
  </si>
  <si>
    <t xml:space="preserve">310</t>
  </si>
  <si>
    <t xml:space="preserve">340</t>
  </si>
  <si>
    <t xml:space="preserve">343- SEGURANÇA NO TRABALHO</t>
  </si>
  <si>
    <t xml:space="preserve">362</t>
  </si>
  <si>
    <t xml:space="preserve">401</t>
  </si>
  <si>
    <t xml:space="preserve">419</t>
  </si>
  <si>
    <t xml:space="preserve">425</t>
  </si>
  <si>
    <t xml:space="preserve">426</t>
  </si>
  <si>
    <t xml:space="preserve">427-CUIABÁ</t>
  </si>
  <si>
    <t xml:space="preserve">427</t>
  </si>
  <si>
    <t xml:space="preserve">428-CAMPO GRANDE</t>
  </si>
  <si>
    <t xml:space="preserve">428</t>
  </si>
  <si>
    <t xml:space="preserve">432 CENTRAL DE RELACIONAMENTO AO CLIENTE</t>
  </si>
  <si>
    <t xml:space="preserve">432</t>
  </si>
  <si>
    <t xml:space="preserve">434</t>
  </si>
  <si>
    <t xml:space="preserve">439</t>
  </si>
  <si>
    <t xml:space="preserve">440</t>
  </si>
  <si>
    <t xml:space="preserve">455</t>
  </si>
  <si>
    <t xml:space="preserve">477- FILIAL SAO LUIS</t>
  </si>
  <si>
    <t xml:space="preserve">477</t>
  </si>
  <si>
    <t xml:space="preserve">479</t>
  </si>
  <si>
    <t xml:space="preserve">480 -  FILIAL SÃO PAULO</t>
  </si>
  <si>
    <t xml:space="preserve">481</t>
  </si>
  <si>
    <t xml:space="preserve">482</t>
  </si>
  <si>
    <t xml:space="preserve">496</t>
  </si>
  <si>
    <t xml:space="preserve">497- GOIANIA/PALMAS</t>
  </si>
  <si>
    <t xml:space="preserve">497</t>
  </si>
  <si>
    <t xml:space="preserve">498- NATAL - RN</t>
  </si>
  <si>
    <t xml:space="preserve">499</t>
  </si>
  <si>
    <t xml:space="preserve">525</t>
  </si>
  <si>
    <t xml:space="preserve">532- DEPOSITO BRASILIA</t>
  </si>
  <si>
    <t xml:space="preserve">532</t>
  </si>
  <si>
    <t xml:space="preserve">532 - LOGISTICAS FILIAIS</t>
  </si>
  <si>
    <t xml:space="preserve">532- LOGISTICA FILIAIS</t>
  </si>
  <si>
    <t xml:space="preserve">532- LOGITICA FILIAIS</t>
  </si>
  <si>
    <t xml:space="preserve">532 - LOGISTICA FILIAIS  (CUIABA)</t>
  </si>
  <si>
    <t xml:space="preserve">585</t>
  </si>
  <si>
    <t xml:space="preserve">605 ADM. MANUTENÇÃO DE SERV. PREDIAIS P. GRAF</t>
  </si>
  <si>
    <t xml:space="preserve">605</t>
  </si>
  <si>
    <t xml:space="preserve">610</t>
  </si>
  <si>
    <t xml:space="preserve">630- OP IND PROD</t>
  </si>
  <si>
    <t xml:space="preserve">630</t>
  </si>
  <si>
    <t xml:space="preserve">650</t>
  </si>
  <si>
    <t xml:space="preserve">660</t>
  </si>
  <si>
    <t xml:space="preserve">680</t>
  </si>
  <si>
    <t xml:space="preserve">691</t>
  </si>
  <si>
    <t xml:space="preserve">720</t>
  </si>
  <si>
    <t xml:space="preserve">720- LOGISTICA TRANSPORTE</t>
  </si>
  <si>
    <t xml:space="preserve">721 ARMAZENAMENTO E EXPEDIÇÃO DE P.ACABADOS</t>
  </si>
  <si>
    <t xml:space="preserve">721</t>
  </si>
  <si>
    <t xml:space="preserve">721- ARMAZENAMENTO E EXPEDIÇÃO</t>
  </si>
  <si>
    <t xml:space="preserve">721 - ARMAZENAGEM EXPEDIÇÃO DIA</t>
  </si>
  <si>
    <t xml:space="preserve">723</t>
  </si>
  <si>
    <t xml:space="preserve">724- E- COMMERCE</t>
  </si>
  <si>
    <t xml:space="preserve">724</t>
  </si>
  <si>
    <t xml:space="preserve">725</t>
  </si>
  <si>
    <t xml:space="preserve">726</t>
  </si>
  <si>
    <t xml:space="preserve">731</t>
  </si>
  <si>
    <t xml:space="preserve">961</t>
  </si>
  <si>
    <t xml:space="preserve">11 descrições chegaram sem o código do centro (ex.: "ROTATIVA NOITE" em vez de "650 - ROTATIVA NOITE"), somando R$ 503.929,82 no período. Ficam como centro próprio até alguém confirmar a qual código pertencem — nada foi unificado por conta. Para corrigir, ajuste a célula azul e atualize.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</si>
</sst>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&quot;R$ &quot;#,##0.00"/>
    <numFmt numFmtId="167" formatCode="#,##0"/>
    <numFmt numFmtId="168" formatCode="#,##0.00"/>
    <numFmt numFmtId="169" formatCode="0.0%"/>
    <numFmt numFmtId="170" formatCode="mmm/yy"/>
    <numFmt numFmtId="171" formatCode="@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6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63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16"/>
      <color rgb="FFD03B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3A63"/>
      <name val="Arial"/>
      <family val="0"/>
      <charset val="1"/>
    </font>
    <font>
      <sz val="8"/>
      <color rgb="FFBFBFBF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9B1C1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63"/>
        <bgColor rgb="FF333333"/>
      </patternFill>
    </fill>
    <fill>
      <patternFill patternType="solid">
        <fgColor rgb="FFFFF7DC"/>
        <bgColor rgb="FFFDE8E8"/>
      </patternFill>
    </fill>
    <fill>
      <patternFill patternType="solid">
        <fgColor rgb="FFFDE8E8"/>
        <bgColor rgb="FFFFF7D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1F3A63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9B1C1C"/>
        <sz val="10"/>
      </font>
      <fill>
        <patternFill>
          <bgColor rgb="FFFDE8E8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DE8E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D03B3B"/>
      <rgbColor rgb="FFFFF7D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3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6"/>
  </cols>
  <sheetData>
    <row r="2" customFormat="false" ht="19.7" hidden="false" customHeight="false" outlineLevel="0" collapsed="false">
      <c r="B2" s="1" t="s">
        <v>0</v>
      </c>
      <c r="C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true" outlineLevel="0" collapsed="false">
      <c r="B6" s="2" t="s">
        <v>4</v>
      </c>
      <c r="C6" s="5" t="s">
        <v>5</v>
      </c>
    </row>
    <row r="7" customFormat="false" ht="15" hidden="false" customHeight="true" outlineLevel="0" collapsed="false">
      <c r="B7" s="2" t="s">
        <v>6</v>
      </c>
      <c r="C7" s="5" t="s">
        <v>7</v>
      </c>
    </row>
    <row r="8" customFormat="false" ht="15" hidden="false" customHeight="true" outlineLevel="0" collapsed="false">
      <c r="B8" s="2" t="s">
        <v>8</v>
      </c>
      <c r="C8" s="5" t="s">
        <v>9</v>
      </c>
    </row>
    <row r="9" customFormat="false" ht="30" hidden="false" customHeight="true" outlineLevel="0" collapsed="false">
      <c r="B9" s="2" t="s">
        <v>10</v>
      </c>
      <c r="C9" s="5" t="s">
        <v>11</v>
      </c>
    </row>
    <row r="10" customFormat="false" ht="15" hidden="false" customHeight="true" outlineLevel="0" collapsed="false">
      <c r="B10" s="2" t="s">
        <v>12</v>
      </c>
      <c r="C10" s="5" t="s">
        <v>13</v>
      </c>
    </row>
    <row r="11" customFormat="false" ht="15" hidden="false" customHeight="true" outlineLevel="0" collapsed="false">
      <c r="B11" s="2" t="s">
        <v>14</v>
      </c>
      <c r="C11" s="5" t="s">
        <v>15</v>
      </c>
    </row>
    <row r="12" customFormat="false" ht="15" hidden="false" customHeight="true" outlineLevel="0" collapsed="false">
      <c r="B12" s="2" t="s">
        <v>16</v>
      </c>
      <c r="C12" s="5" t="s">
        <v>17</v>
      </c>
    </row>
    <row r="13" customFormat="false" ht="30" hidden="false" customHeight="true" outlineLevel="0" collapsed="false">
      <c r="B13" s="2" t="s">
        <v>18</v>
      </c>
      <c r="C13" s="5" t="s">
        <v>19</v>
      </c>
    </row>
    <row r="14" customFormat="false" ht="15" hidden="false" customHeight="true" outlineLevel="0" collapsed="false">
      <c r="B14" s="2" t="s">
        <v>20</v>
      </c>
      <c r="C14" s="5" t="s">
        <v>21</v>
      </c>
    </row>
    <row r="16" customFormat="false" ht="15" hidden="false" customHeight="false" outlineLevel="0" collapsed="false">
      <c r="B16" s="4" t="s">
        <v>22</v>
      </c>
    </row>
    <row r="17" customFormat="false" ht="15" hidden="false" customHeight="true" outlineLevel="0" collapsed="false">
      <c r="B17" s="2" t="s">
        <v>23</v>
      </c>
      <c r="C17" s="5" t="s">
        <v>24</v>
      </c>
    </row>
    <row r="18" customFormat="false" ht="30" hidden="false" customHeight="true" outlineLevel="0" collapsed="false">
      <c r="B18" s="2" t="s">
        <v>25</v>
      </c>
      <c r="C18" s="5" t="s">
        <v>26</v>
      </c>
    </row>
    <row r="19" customFormat="false" ht="30" hidden="false" customHeight="true" outlineLevel="0" collapsed="false">
      <c r="B19" s="2" t="s">
        <v>27</v>
      </c>
      <c r="C19" s="5" t="s">
        <v>28</v>
      </c>
    </row>
    <row r="20" customFormat="false" ht="30" hidden="false" customHeight="true" outlineLevel="0" collapsed="false">
      <c r="B20" s="2" t="s">
        <v>29</v>
      </c>
      <c r="C20" s="5" t="s">
        <v>30</v>
      </c>
    </row>
    <row r="21" customFormat="false" ht="15" hidden="false" customHeight="true" outlineLevel="0" collapsed="false">
      <c r="B21" s="2" t="s">
        <v>31</v>
      </c>
      <c r="C21" s="5" t="s">
        <v>32</v>
      </c>
    </row>
    <row r="23" customFormat="false" ht="15" hidden="false" customHeight="false" outlineLevel="0" collapsed="false">
      <c r="B23" s="4" t="s">
        <v>33</v>
      </c>
    </row>
    <row r="24" customFormat="false" ht="15" hidden="false" customHeight="true" outlineLevel="0" collapsed="false">
      <c r="B24" s="2" t="s">
        <v>34</v>
      </c>
      <c r="C24" s="5" t="s">
        <v>35</v>
      </c>
    </row>
    <row r="25" customFormat="false" ht="30" hidden="false" customHeight="true" outlineLevel="0" collapsed="false">
      <c r="B25" s="2" t="s">
        <v>36</v>
      </c>
      <c r="C25" s="5" t="s">
        <v>37</v>
      </c>
    </row>
    <row r="26" customFormat="false" ht="30" hidden="false" customHeight="true" outlineLevel="0" collapsed="false">
      <c r="B26" s="2" t="s">
        <v>38</v>
      </c>
      <c r="C26" s="5" t="s">
        <v>39</v>
      </c>
    </row>
    <row r="27" customFormat="false" ht="15" hidden="false" customHeight="true" outlineLevel="0" collapsed="false">
      <c r="B27" s="2" t="s">
        <v>40</v>
      </c>
      <c r="C27" s="5" t="s">
        <v>41</v>
      </c>
    </row>
    <row r="28" customFormat="false" ht="15" hidden="false" customHeight="true" outlineLevel="0" collapsed="false">
      <c r="B28" s="2" t="s">
        <v>42</v>
      </c>
      <c r="C28" s="5" t="s">
        <v>43</v>
      </c>
    </row>
    <row r="29" customFormat="false" ht="30" hidden="false" customHeight="true" outlineLevel="0" collapsed="false">
      <c r="B29" s="2" t="s">
        <v>44</v>
      </c>
      <c r="C29" s="5" t="s">
        <v>45</v>
      </c>
    </row>
    <row r="30" customFormat="false" ht="30" hidden="false" customHeight="true" outlineLevel="0" collapsed="false">
      <c r="B30" s="2" t="s">
        <v>46</v>
      </c>
      <c r="C30" s="5" t="s">
        <v>47</v>
      </c>
    </row>
    <row r="32" customFormat="false" ht="15" hidden="false" customHeight="false" outlineLevel="0" collapsed="false">
      <c r="B32" s="4" t="s">
        <v>48</v>
      </c>
    </row>
    <row r="33" customFormat="false" ht="15" hidden="false" customHeight="true" outlineLevel="0" collapsed="false">
      <c r="B33" s="2" t="s">
        <v>49</v>
      </c>
      <c r="C33" s="5" t="s">
        <v>50</v>
      </c>
    </row>
    <row r="34" customFormat="false" ht="15" hidden="false" customHeight="true" outlineLevel="0" collapsed="false">
      <c r="B34" s="2" t="s">
        <v>51</v>
      </c>
      <c r="C34" s="5" t="s">
        <v>52</v>
      </c>
    </row>
    <row r="35" customFormat="false" ht="15" hidden="false" customHeight="true" outlineLevel="0" collapsed="false">
      <c r="B35" s="2" t="s">
        <v>53</v>
      </c>
      <c r="C35" s="5" t="s">
        <v>54</v>
      </c>
    </row>
    <row r="36" customFormat="false" ht="15" hidden="false" customHeight="true" outlineLevel="0" collapsed="false">
      <c r="B36" s="2" t="s">
        <v>55</v>
      </c>
      <c r="C36" s="5" t="s">
        <v>56</v>
      </c>
    </row>
    <row r="38" customFormat="false" ht="15" hidden="false" customHeight="false" outlineLevel="0" collapsed="false">
      <c r="B38" s="4" t="s">
        <v>57</v>
      </c>
    </row>
    <row r="39" customFormat="false" ht="30" hidden="false" customHeight="true" outlineLevel="0" collapsed="false">
      <c r="B39" s="2" t="s">
        <v>58</v>
      </c>
      <c r="C39" s="5" t="s">
        <v>59</v>
      </c>
    </row>
    <row r="40" customFormat="false" ht="75" hidden="false" customHeight="true" outlineLevel="0" collapsed="false">
      <c r="B40" s="2" t="s">
        <v>60</v>
      </c>
      <c r="C40" s="5" t="s">
        <v>61</v>
      </c>
    </row>
    <row r="42" customFormat="false" ht="15" hidden="false" customHeight="false" outlineLevel="0" collapsed="false">
      <c r="B42" s="4" t="s">
        <v>62</v>
      </c>
    </row>
    <row r="43" customFormat="false" ht="45" hidden="false" customHeight="true" outlineLevel="0" collapsed="false">
      <c r="B43" s="2" t="s">
        <v>63</v>
      </c>
      <c r="C43" s="5" t="s">
        <v>64</v>
      </c>
    </row>
    <row r="44" customFormat="false" ht="30" hidden="false" customHeight="true" outlineLevel="0" collapsed="false">
      <c r="B44" s="2" t="s">
        <v>65</v>
      </c>
      <c r="C44" s="5" t="s">
        <v>66</v>
      </c>
    </row>
    <row r="45" customFormat="false" ht="15" hidden="false" customHeight="true" outlineLevel="0" collapsed="false">
      <c r="B45" s="2" t="s">
        <v>67</v>
      </c>
      <c r="C45" s="5" t="s">
        <v>68</v>
      </c>
    </row>
    <row r="46" customFormat="false" ht="30" hidden="false" customHeight="true" outlineLevel="0" collapsed="false">
      <c r="B46" s="2" t="s">
        <v>69</v>
      </c>
      <c r="C46" s="5" t="s">
        <v>70</v>
      </c>
    </row>
    <row r="47" customFormat="false" ht="30" hidden="false" customHeight="true" outlineLevel="0" collapsed="false">
      <c r="B47" s="2" t="s">
        <v>71</v>
      </c>
      <c r="C47" s="5" t="s">
        <v>72</v>
      </c>
    </row>
    <row r="49" customFormat="false" ht="15" hidden="false" customHeight="false" outlineLevel="0" collapsed="false">
      <c r="B49" s="4" t="s">
        <v>73</v>
      </c>
    </row>
    <row r="50" customFormat="false" ht="42" hidden="false" customHeight="true" outlineLevel="0" collapsed="false">
      <c r="C50" s="5" t="s">
        <v>74</v>
      </c>
    </row>
    <row r="52" customFormat="false" ht="15" hidden="false" customHeight="false" outlineLevel="0" collapsed="false">
      <c r="B52" s="2" t="s">
        <v>75</v>
      </c>
      <c r="C52" s="6" t="n">
        <v>46265</v>
      </c>
    </row>
    <row r="53" customFormat="false" ht="15" hidden="false" customHeight="false" outlineLevel="0" collapsed="false">
      <c r="B53" s="2" t="s">
        <v>76</v>
      </c>
      <c r="C53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63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6"/>
  </cols>
  <sheetData>
    <row r="1" customFormat="false" ht="19.7" hidden="false" customHeight="false" outlineLevel="0" collapsed="false">
      <c r="A1" s="1" t="s">
        <v>78</v>
      </c>
    </row>
    <row r="2" customFormat="false" ht="15" hidden="false" customHeight="false" outlineLevel="0" collapsed="false">
      <c r="A2" s="7" t="s">
        <v>79</v>
      </c>
    </row>
    <row r="4" customFormat="false" ht="15" hidden="false" customHeight="false" outlineLevel="0" collapsed="false">
      <c r="A4" s="8" t="s">
        <v>80</v>
      </c>
      <c r="D4" s="8" t="s">
        <v>81</v>
      </c>
      <c r="G4" s="8" t="s">
        <v>82</v>
      </c>
    </row>
    <row r="5" customFormat="false" ht="19.7" hidden="false" customHeight="false" outlineLevel="0" collapsed="false">
      <c r="A5" s="9" t="n">
        <f aca="false">Rubricas!$K$100</f>
        <v>33092189.1088334</v>
      </c>
      <c r="D5" s="9" t="n">
        <f aca="false">SUMIF(Rubricas!$A$5:$A$98,"&lt;&gt;Taxa e tributos",Rubricas!$K$5:$K$98)</f>
        <v>25546571.3</v>
      </c>
      <c r="G5" s="9" t="n">
        <f aca="false">SUMIF(Rubricas!$A$5:$A$98,"Taxa e tributos",Rubricas!$K$5:$K$98)</f>
        <v>7545617.80883337</v>
      </c>
    </row>
    <row r="7" customFormat="false" ht="15" hidden="false" customHeight="false" outlineLevel="0" collapsed="false">
      <c r="A7" s="8" t="s">
        <v>83</v>
      </c>
      <c r="D7" s="8" t="s">
        <v>84</v>
      </c>
      <c r="G7" s="8" t="s">
        <v>85</v>
      </c>
    </row>
    <row r="8" customFormat="false" ht="19.7" hidden="false" customHeight="false" outlineLevel="0" collapsed="false">
      <c r="A8" s="10" t="n">
        <f aca="false">COUNTA('Notas Fiscais'!$C$5:$C$628)</f>
        <v>624</v>
      </c>
      <c r="D8" s="10" t="n">
        <f aca="false">COUNTA('Centro de Custo'!$A$5:$A$92)</f>
        <v>88</v>
      </c>
      <c r="G8" s="11" t="n">
        <f aca="false">COUNTIF('Notas Fiscais'!$K$5:$K$628,"Verificar")</f>
        <v>2</v>
      </c>
    </row>
    <row r="10" customFormat="false" ht="15" hidden="false" customHeight="false" outlineLevel="0" collapsed="false">
      <c r="A10" s="8" t="s">
        <v>86</v>
      </c>
    </row>
    <row r="11" customFormat="false" ht="19.7" hidden="false" customHeight="false" outlineLevel="0" collapsed="false">
      <c r="A11" s="12" t="n">
        <f aca="false">'Notas Fiscais'!$H$629</f>
        <v>0</v>
      </c>
    </row>
    <row r="13" customFormat="false" ht="15" hidden="false" customHeight="false" outlineLevel="0" collapsed="false">
      <c r="A13" s="4" t="s">
        <v>87</v>
      </c>
    </row>
    <row r="14" customFormat="false" ht="25.5" hidden="false" customHeight="true" outlineLevel="0" collapsed="false">
      <c r="A14" s="13" t="s">
        <v>88</v>
      </c>
      <c r="B14" s="14" t="s">
        <v>89</v>
      </c>
      <c r="C14" s="14" t="s">
        <v>90</v>
      </c>
      <c r="D14" s="14" t="s">
        <v>91</v>
      </c>
      <c r="E14" s="14" t="s">
        <v>92</v>
      </c>
      <c r="F14" s="14" t="s">
        <v>93</v>
      </c>
      <c r="G14" s="14" t="s">
        <v>94</v>
      </c>
      <c r="H14" s="14" t="s">
        <v>95</v>
      </c>
      <c r="I14" s="14" t="s">
        <v>96</v>
      </c>
      <c r="J14" s="14" t="s">
        <v>97</v>
      </c>
    </row>
    <row r="15" customFormat="false" ht="15" hidden="false" customHeight="false" outlineLevel="0" collapsed="false">
      <c r="A15" s="3" t="s">
        <v>98</v>
      </c>
      <c r="B15" s="15" t="n">
        <f aca="false">SUMIF(Rubricas!$A$5:$A$98,$A15,Rubricas!D$5:D$98)</f>
        <v>2022692.6</v>
      </c>
      <c r="C15" s="15" t="n">
        <f aca="false">SUMIF(Rubricas!$A$5:$A$98,$A15,Rubricas!E$5:E$98)</f>
        <v>2446168.38</v>
      </c>
      <c r="D15" s="15" t="n">
        <f aca="false">SUMIF(Rubricas!$A$5:$A$98,$A15,Rubricas!F$5:F$98)</f>
        <v>2426457.93</v>
      </c>
      <c r="E15" s="15" t="n">
        <f aca="false">SUMIF(Rubricas!$A$5:$A$98,$A15,Rubricas!G$5:G$98)</f>
        <v>2093578.44</v>
      </c>
      <c r="F15" s="15" t="n">
        <f aca="false">SUMIF(Rubricas!$A$5:$A$98,$A15,Rubricas!H$5:H$98)</f>
        <v>1557762.47</v>
      </c>
      <c r="G15" s="15" t="n">
        <f aca="false">SUMIF(Rubricas!$A$5:$A$98,$A15,Rubricas!I$5:I$98)</f>
        <v>1206557.17</v>
      </c>
      <c r="H15" s="15" t="n">
        <f aca="false">SUMIF(Rubricas!$A$5:$A$98,$A15,Rubricas!J$5:J$98)</f>
        <v>1228918.62</v>
      </c>
      <c r="I15" s="15" t="n">
        <f aca="false">SUM(B15:H15)</f>
        <v>12982135.61</v>
      </c>
      <c r="J15" s="16" t="n">
        <f aca="false">IFERROR(I15/I$22,0)</f>
        <v>0.392302109942151</v>
      </c>
    </row>
    <row r="16" customFormat="false" ht="15" hidden="false" customHeight="false" outlineLevel="0" collapsed="false">
      <c r="A16" s="3" t="s">
        <v>99</v>
      </c>
      <c r="B16" s="15" t="n">
        <f aca="false">SUMIF(Rubricas!$A$5:$A$98,$A16,Rubricas!D$5:D$98)</f>
        <v>518190.04</v>
      </c>
      <c r="C16" s="15" t="n">
        <f aca="false">SUMIF(Rubricas!$A$5:$A$98,$A16,Rubricas!E$5:E$98)</f>
        <v>540088.98</v>
      </c>
      <c r="D16" s="15" t="n">
        <f aca="false">SUMIF(Rubricas!$A$5:$A$98,$A16,Rubricas!F$5:F$98)</f>
        <v>532357.01</v>
      </c>
      <c r="E16" s="15" t="n">
        <f aca="false">SUMIF(Rubricas!$A$5:$A$98,$A16,Rubricas!G$5:G$98)</f>
        <v>295333.58</v>
      </c>
      <c r="F16" s="15" t="n">
        <f aca="false">SUMIF(Rubricas!$A$5:$A$98,$A16,Rubricas!H$5:H$98)</f>
        <v>126844.73</v>
      </c>
      <c r="G16" s="15" t="n">
        <f aca="false">SUMIF(Rubricas!$A$5:$A$98,$A16,Rubricas!I$5:I$98)</f>
        <v>137802.47</v>
      </c>
      <c r="H16" s="15" t="n">
        <f aca="false">SUMIF(Rubricas!$A$5:$A$98,$A16,Rubricas!J$5:J$98)</f>
        <v>213532.35</v>
      </c>
      <c r="I16" s="15" t="n">
        <f aca="false">SUM(B16:H16)</f>
        <v>2364149.16</v>
      </c>
      <c r="J16" s="16" t="n">
        <f aca="false">IFERROR(I16/I$22,0)</f>
        <v>0.0714413045394127</v>
      </c>
    </row>
    <row r="17" customFormat="false" ht="15" hidden="false" customHeight="false" outlineLevel="0" collapsed="false">
      <c r="A17" s="3" t="s">
        <v>100</v>
      </c>
      <c r="B17" s="15" t="n">
        <f aca="false">SUMIF(Rubricas!$A$5:$A$98,$A17,Rubricas!D$5:D$98)</f>
        <v>1355529.15</v>
      </c>
      <c r="C17" s="15" t="n">
        <f aca="false">SUMIF(Rubricas!$A$5:$A$98,$A17,Rubricas!E$5:E$98)</f>
        <v>1651410.94</v>
      </c>
      <c r="D17" s="15" t="n">
        <f aca="false">SUMIF(Rubricas!$A$5:$A$98,$A17,Rubricas!F$5:F$98)</f>
        <v>1734686.92</v>
      </c>
      <c r="E17" s="15" t="n">
        <f aca="false">SUMIF(Rubricas!$A$5:$A$98,$A17,Rubricas!G$5:G$98)</f>
        <v>1426663.75</v>
      </c>
      <c r="F17" s="15" t="n">
        <f aca="false">SUMIF(Rubricas!$A$5:$A$98,$A17,Rubricas!H$5:H$98)</f>
        <v>971541.5</v>
      </c>
      <c r="G17" s="15" t="n">
        <f aca="false">SUMIF(Rubricas!$A$5:$A$98,$A17,Rubricas!I$5:I$98)</f>
        <v>819558.1</v>
      </c>
      <c r="H17" s="15" t="n">
        <f aca="false">SUMIF(Rubricas!$A$5:$A$98,$A17,Rubricas!J$5:J$98)</f>
        <v>803196.58</v>
      </c>
      <c r="I17" s="15" t="n">
        <f aca="false">SUM(B17:H17)</f>
        <v>8762586.94</v>
      </c>
      <c r="J17" s="16" t="n">
        <f aca="false">IFERROR(I17/I$22,0)</f>
        <v>0.264793208789593</v>
      </c>
    </row>
    <row r="18" customFormat="false" ht="15" hidden="false" customHeight="false" outlineLevel="0" collapsed="false">
      <c r="A18" s="3" t="s">
        <v>101</v>
      </c>
      <c r="B18" s="15" t="n">
        <f aca="false">SUMIF(Rubricas!$A$5:$A$98,$A18,Rubricas!D$5:D$98)</f>
        <v>579649.71</v>
      </c>
      <c r="C18" s="15" t="n">
        <f aca="false">SUMIF(Rubricas!$A$5:$A$98,$A18,Rubricas!E$5:E$98)</f>
        <v>550729.09</v>
      </c>
      <c r="D18" s="15" t="n">
        <f aca="false">SUMIF(Rubricas!$A$5:$A$98,$A18,Rubricas!F$5:F$98)</f>
        <v>601616.51</v>
      </c>
      <c r="E18" s="15" t="n">
        <f aca="false">SUMIF(Rubricas!$A$5:$A$98,$A18,Rubricas!G$5:G$98)</f>
        <v>464935.49</v>
      </c>
      <c r="F18" s="15" t="n">
        <f aca="false">SUMIF(Rubricas!$A$5:$A$98,$A18,Rubricas!H$5:H$98)</f>
        <v>325843.41</v>
      </c>
      <c r="G18" s="15" t="n">
        <f aca="false">SUMIF(Rubricas!$A$5:$A$98,$A18,Rubricas!I$5:I$98)</f>
        <v>261494.07</v>
      </c>
      <c r="H18" s="15" t="n">
        <f aca="false">SUMIF(Rubricas!$A$5:$A$98,$A18,Rubricas!J$5:J$98)</f>
        <v>240672.57</v>
      </c>
      <c r="I18" s="15" t="n">
        <f aca="false">SUM(B18:H18)</f>
        <v>3024940.85</v>
      </c>
      <c r="J18" s="16" t="n">
        <f aca="false">IFERROR(I18/I$22,0)</f>
        <v>0.0914095117748661</v>
      </c>
    </row>
    <row r="19" customFormat="false" ht="15" hidden="false" customHeight="false" outlineLevel="0" collapsed="false">
      <c r="A19" s="3" t="s">
        <v>102</v>
      </c>
      <c r="B19" s="15" t="n">
        <f aca="false">SUMIF(Rubricas!$A$5:$A$98,$A19,Rubricas!D$5:D$98)</f>
        <v>142312.65</v>
      </c>
      <c r="C19" s="15" t="n">
        <f aca="false">SUMIF(Rubricas!$A$5:$A$98,$A19,Rubricas!E$5:E$98)</f>
        <v>328333.02</v>
      </c>
      <c r="D19" s="15" t="n">
        <f aca="false">SUMIF(Rubricas!$A$5:$A$98,$A19,Rubricas!F$5:F$98)</f>
        <v>324649.6</v>
      </c>
      <c r="E19" s="15" t="n">
        <f aca="false">SUMIF(Rubricas!$A$5:$A$98,$A19,Rubricas!G$5:G$98)</f>
        <v>238336.11</v>
      </c>
      <c r="F19" s="15" t="n">
        <f aca="false">SUMIF(Rubricas!$A$5:$A$98,$A19,Rubricas!H$5:H$98)</f>
        <v>133613.03</v>
      </c>
      <c r="G19" s="15" t="n">
        <f aca="false">SUMIF(Rubricas!$A$5:$A$98,$A19,Rubricas!I$5:I$98)</f>
        <v>191057.74</v>
      </c>
      <c r="H19" s="15" t="n">
        <f aca="false">SUMIF(Rubricas!$A$5:$A$98,$A19,Rubricas!J$5:J$98)</f>
        <v>83474.24</v>
      </c>
      <c r="I19" s="15" t="n">
        <f aca="false">SUM(B19:H19)</f>
        <v>1441776.39</v>
      </c>
      <c r="J19" s="16" t="n">
        <f aca="false">IFERROR(I19/I$22,0)</f>
        <v>0.0435684803219967</v>
      </c>
    </row>
    <row r="20" customFormat="false" ht="15" hidden="false" customHeight="false" outlineLevel="0" collapsed="false">
      <c r="A20" s="3" t="s">
        <v>103</v>
      </c>
      <c r="B20" s="15" t="n">
        <f aca="false">SUMIF(Rubricas!$A$5:$A$98,$A20,Rubricas!D$5:D$98)</f>
        <v>-608482.24</v>
      </c>
      <c r="C20" s="15" t="n">
        <f aca="false">SUMIF(Rubricas!$A$5:$A$98,$A20,Rubricas!E$5:E$98)</f>
        <v>-479649.46</v>
      </c>
      <c r="D20" s="15" t="n">
        <f aca="false">SUMIF(Rubricas!$A$5:$A$98,$A20,Rubricas!F$5:F$98)</f>
        <v>-644646.17</v>
      </c>
      <c r="E20" s="15" t="n">
        <f aca="false">SUMIF(Rubricas!$A$5:$A$98,$A20,Rubricas!G$5:G$98)</f>
        <v>-646385.12</v>
      </c>
      <c r="F20" s="15" t="n">
        <f aca="false">SUMIF(Rubricas!$A$5:$A$98,$A20,Rubricas!H$5:H$98)</f>
        <v>-208768.87</v>
      </c>
      <c r="G20" s="15" t="n">
        <f aca="false">SUMIF(Rubricas!$A$5:$A$98,$A20,Rubricas!I$5:I$98)</f>
        <v>-269720.12</v>
      </c>
      <c r="H20" s="15" t="n">
        <f aca="false">SUMIF(Rubricas!$A$5:$A$98,$A20,Rubricas!J$5:J$98)</f>
        <v>-171365.67</v>
      </c>
      <c r="I20" s="15" t="n">
        <f aca="false">SUM(B20:H20)</f>
        <v>-3029017.65</v>
      </c>
      <c r="J20" s="16" t="n">
        <f aca="false">IFERROR(I20/I$22,0)</f>
        <v>-0.0915327070094453</v>
      </c>
    </row>
    <row r="21" customFormat="false" ht="15" hidden="false" customHeight="false" outlineLevel="0" collapsed="false">
      <c r="A21" s="3" t="s">
        <v>82</v>
      </c>
      <c r="B21" s="15" t="n">
        <f aca="false">SUMIF(Rubricas!$A$5:$A$98,$A21,Rubricas!D$5:D$98)</f>
        <v>1171525.38</v>
      </c>
      <c r="C21" s="15" t="n">
        <f aca="false">SUMIF(Rubricas!$A$5:$A$98,$A21,Rubricas!E$5:E$98)</f>
        <v>1464249.0281</v>
      </c>
      <c r="D21" s="15" t="n">
        <f aca="false">SUMIF(Rubricas!$A$5:$A$98,$A21,Rubricas!F$5:F$98)</f>
        <v>1456873.96054046</v>
      </c>
      <c r="E21" s="15" t="n">
        <f aca="false">SUMIF(Rubricas!$A$5:$A$98,$A21,Rubricas!G$5:G$98)</f>
        <v>1127054.67690491</v>
      </c>
      <c r="F21" s="15" t="n">
        <f aca="false">SUMIF(Rubricas!$A$5:$A$98,$A21,Rubricas!H$5:H$98)</f>
        <v>861719.42448</v>
      </c>
      <c r="G21" s="15" t="n">
        <f aca="false">SUMIF(Rubricas!$A$5:$A$98,$A21,Rubricas!I$5:I$98)</f>
        <v>662225.68824</v>
      </c>
      <c r="H21" s="15" t="n">
        <f aca="false">SUMIF(Rubricas!$A$5:$A$98,$A21,Rubricas!J$5:J$98)</f>
        <v>801969.650568</v>
      </c>
      <c r="I21" s="15" t="n">
        <f aca="false">SUM(B21:H21)</f>
        <v>7545617.80883337</v>
      </c>
      <c r="J21" s="16" t="n">
        <f aca="false">IFERROR(I21/I$22,0)</f>
        <v>0.228018091641426</v>
      </c>
    </row>
    <row r="22" customFormat="false" ht="15" hidden="false" customHeight="false" outlineLevel="0" collapsed="false">
      <c r="A22" s="17" t="s">
        <v>104</v>
      </c>
      <c r="B22" s="18" t="n">
        <f aca="false">SUM(B15:B21)</f>
        <v>5181417.29</v>
      </c>
      <c r="C22" s="18" t="n">
        <f aca="false">SUM(C15:C21)</f>
        <v>6501329.9781</v>
      </c>
      <c r="D22" s="18" t="n">
        <f aca="false">SUM(D15:D21)</f>
        <v>6431995.76054046</v>
      </c>
      <c r="E22" s="18" t="n">
        <f aca="false">SUM(E15:E21)</f>
        <v>4999516.92690491</v>
      </c>
      <c r="F22" s="18" t="n">
        <f aca="false">SUM(F15:F21)</f>
        <v>3768555.69448</v>
      </c>
      <c r="G22" s="18" t="n">
        <f aca="false">SUM(G15:G21)</f>
        <v>3008975.11824</v>
      </c>
      <c r="H22" s="18" t="n">
        <f aca="false">SUM(H15:H21)</f>
        <v>3200398.340568</v>
      </c>
      <c r="I22" s="18" t="n">
        <f aca="false">SUM(I15:I21)</f>
        <v>33092189.1088334</v>
      </c>
    </row>
    <row r="24" customFormat="false" ht="15" hidden="false" customHeight="false" outlineLevel="0" collapsed="false">
      <c r="A24" s="7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63"/>
    <pageSetUpPr fitToPage="false"/>
  </sheetPr>
  <dimension ref="A1:J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4"/>
    <col collapsed="false" customWidth="true" hidden="false" outlineLevel="0" max="9" min="9" style="0" width="16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9" t="s">
        <v>6</v>
      </c>
    </row>
    <row r="2" customFormat="false" ht="15" hidden="false" customHeight="false" outlineLevel="0" collapsed="false">
      <c r="A2" s="7" t="s">
        <v>106</v>
      </c>
    </row>
    <row r="3" customFormat="false" ht="15" hidden="false" customHeight="false" outlineLevel="0" collapsed="false">
      <c r="A3" s="20" t="s">
        <v>107</v>
      </c>
      <c r="B3" s="21" t="n">
        <v>1</v>
      </c>
      <c r="C3" s="21" t="n">
        <v>2</v>
      </c>
      <c r="D3" s="21" t="n">
        <v>3</v>
      </c>
      <c r="E3" s="21" t="n">
        <v>4</v>
      </c>
      <c r="F3" s="21" t="n">
        <v>5</v>
      </c>
      <c r="G3" s="21" t="n">
        <v>6</v>
      </c>
      <c r="H3" s="21" t="n">
        <v>7</v>
      </c>
    </row>
    <row r="4" customFormat="false" ht="25.5" hidden="false" customHeight="true" outlineLevel="0" collapsed="false">
      <c r="A4" s="13" t="s">
        <v>6</v>
      </c>
      <c r="B4" s="14" t="s">
        <v>89</v>
      </c>
      <c r="C4" s="14" t="s">
        <v>90</v>
      </c>
      <c r="D4" s="14" t="s">
        <v>91</v>
      </c>
      <c r="E4" s="14" t="s">
        <v>92</v>
      </c>
      <c r="F4" s="14" t="s">
        <v>93</v>
      </c>
      <c r="G4" s="14" t="s">
        <v>94</v>
      </c>
      <c r="H4" s="14" t="s">
        <v>95</v>
      </c>
      <c r="I4" s="14" t="s">
        <v>96</v>
      </c>
      <c r="J4" s="14" t="s">
        <v>97</v>
      </c>
    </row>
    <row r="5" customFormat="false" ht="15" hidden="false" customHeight="false" outlineLevel="0" collapsed="false">
      <c r="A5" s="3" t="s">
        <v>108</v>
      </c>
      <c r="B5" s="15" t="n">
        <f aca="false">SUMIFS('NF x Centro de Custo'!$H$5:$H$1270,'NF x Centro de Custo'!$E$5:$E$1270,$A5,'NF x Centro de Custo'!$A$5:$A$1270,B$3)</f>
        <v>772833.92</v>
      </c>
      <c r="C5" s="15" t="n">
        <f aca="false">SUMIFS('NF x Centro de Custo'!$H$5:$H$1270,'NF x Centro de Custo'!$E$5:$E$1270,$A5,'NF x Centro de Custo'!$A$5:$A$1270,C$3)</f>
        <v>693655.09</v>
      </c>
      <c r="D5" s="15" t="n">
        <f aca="false">SUMIFS('NF x Centro de Custo'!$H$5:$H$1270,'NF x Centro de Custo'!$E$5:$E$1270,$A5,'NF x Centro de Custo'!$A$5:$A$1270,D$3)</f>
        <v>869674.34</v>
      </c>
      <c r="E5" s="15" t="n">
        <f aca="false">SUMIFS('NF x Centro de Custo'!$H$5:$H$1270,'NF x Centro de Custo'!$E$5:$E$1270,$A5,'NF x Centro de Custo'!$A$5:$A$1270,E$3)</f>
        <v>740297.57</v>
      </c>
      <c r="F5" s="15" t="n">
        <f aca="false">SUMIFS('NF x Centro de Custo'!$H$5:$H$1270,'NF x Centro de Custo'!$E$5:$E$1270,$A5,'NF x Centro de Custo'!$A$5:$A$1270,F$3)</f>
        <v>508267.39</v>
      </c>
      <c r="G5" s="15" t="n">
        <f aca="false">SUMIFS('NF x Centro de Custo'!$H$5:$H$1270,'NF x Centro de Custo'!$E$5:$E$1270,$A5,'NF x Centro de Custo'!$A$5:$A$1270,G$3)</f>
        <v>77209.03</v>
      </c>
      <c r="H5" s="15" t="n">
        <f aca="false">SUMIFS('NF x Centro de Custo'!$H$5:$H$1270,'NF x Centro de Custo'!$E$5:$E$1270,$A5,'NF x Centro de Custo'!$A$5:$A$1270,H$3)</f>
        <v>520873.44</v>
      </c>
      <c r="I5" s="15" t="n">
        <f aca="false">SUM(B5:H5)</f>
        <v>4182810.78</v>
      </c>
      <c r="J5" s="16" t="n">
        <f aca="false">IFERROR(I5/I$94,0)</f>
        <v>0.126398733134384</v>
      </c>
    </row>
    <row r="6" customFormat="false" ht="15" hidden="false" customHeight="false" outlineLevel="0" collapsed="false">
      <c r="A6" s="3" t="s">
        <v>109</v>
      </c>
      <c r="B6" s="15" t="n">
        <f aca="false">SUMIFS('NF x Centro de Custo'!$H$5:$H$1270,'NF x Centro de Custo'!$E$5:$E$1270,$A6,'NF x Centro de Custo'!$A$5:$A$1270,B$3)</f>
        <v>91831.69</v>
      </c>
      <c r="C6" s="15" t="n">
        <f aca="false">SUMIFS('NF x Centro de Custo'!$H$5:$H$1270,'NF x Centro de Custo'!$E$5:$E$1270,$A6,'NF x Centro de Custo'!$A$5:$A$1270,C$3)</f>
        <v>823686.033032</v>
      </c>
      <c r="D6" s="15" t="n">
        <f aca="false">SUMIFS('NF x Centro de Custo'!$H$5:$H$1270,'NF x Centro de Custo'!$E$5:$E$1270,$A6,'NF x Centro de Custo'!$A$5:$A$1270,D$3)</f>
        <v>728760.960540462</v>
      </c>
      <c r="E6" s="15" t="n">
        <f aca="false">SUMIFS('NF x Centro de Custo'!$H$5:$H$1270,'NF x Centro de Custo'!$E$5:$E$1270,$A6,'NF x Centro de Custo'!$A$5:$A$1270,E$3)</f>
        <v>676704.817812906</v>
      </c>
      <c r="F6" s="15" t="n">
        <f aca="false">SUMIFS('NF x Centro de Custo'!$H$5:$H$1270,'NF x Centro de Custo'!$E$5:$E$1270,$A6,'NF x Centro de Custo'!$A$5:$A$1270,F$3)</f>
        <v>649545.205216</v>
      </c>
      <c r="G6" s="15" t="n">
        <f aca="false">SUMIFS('NF x Centro de Custo'!$H$5:$H$1270,'NF x Centro de Custo'!$E$5:$E$1270,$A6,'NF x Centro de Custo'!$A$5:$A$1270,G$3)</f>
        <v>730829.938392</v>
      </c>
      <c r="H6" s="15" t="n">
        <f aca="false">SUMIFS('NF x Centro de Custo'!$H$5:$H$1270,'NF x Centro de Custo'!$E$5:$E$1270,$A6,'NF x Centro de Custo'!$A$5:$A$1270,H$3)</f>
        <v>105347.32</v>
      </c>
      <c r="I6" s="15" t="n">
        <f aca="false">SUM(B6:H6)</f>
        <v>3806705.96499337</v>
      </c>
      <c r="J6" s="16" t="n">
        <f aca="false">IFERROR(I6/I$94,0)</f>
        <v>0.115033367918753</v>
      </c>
    </row>
    <row r="7" customFormat="false" ht="15" hidden="false" customHeight="false" outlineLevel="0" collapsed="false">
      <c r="A7" s="3" t="s">
        <v>110</v>
      </c>
      <c r="B7" s="15" t="n">
        <f aca="false">SUMIFS('NF x Centro de Custo'!$H$5:$H$1270,'NF x Centro de Custo'!$E$5:$E$1270,$A7,'NF x Centro de Custo'!$A$5:$A$1270,B$3)</f>
        <v>633377.29</v>
      </c>
      <c r="C7" s="15" t="n">
        <f aca="false">SUMIFS('NF x Centro de Custo'!$H$5:$H$1270,'NF x Centro de Custo'!$E$5:$E$1270,$A7,'NF x Centro de Custo'!$A$5:$A$1270,C$3)</f>
        <v>482348.72</v>
      </c>
      <c r="D7" s="15" t="n">
        <f aca="false">SUMIFS('NF x Centro de Custo'!$H$5:$H$1270,'NF x Centro de Custo'!$E$5:$E$1270,$A7,'NF x Centro de Custo'!$A$5:$A$1270,D$3)</f>
        <v>763338.21</v>
      </c>
      <c r="E7" s="15" t="n">
        <f aca="false">SUMIFS('NF x Centro de Custo'!$H$5:$H$1270,'NF x Centro de Custo'!$E$5:$E$1270,$A7,'NF x Centro de Custo'!$A$5:$A$1270,E$3)</f>
        <v>551547.47</v>
      </c>
      <c r="F7" s="15" t="n">
        <f aca="false">SUMIFS('NF x Centro de Custo'!$H$5:$H$1270,'NF x Centro de Custo'!$E$5:$E$1270,$A7,'NF x Centro de Custo'!$A$5:$A$1270,F$3)</f>
        <v>376879.45</v>
      </c>
      <c r="G7" s="15" t="n">
        <f aca="false">SUMIFS('NF x Centro de Custo'!$H$5:$H$1270,'NF x Centro de Custo'!$E$5:$E$1270,$A7,'NF x Centro de Custo'!$A$5:$A$1270,G$3)</f>
        <v>36741.3</v>
      </c>
      <c r="H7" s="15" t="n">
        <f aca="false">SUMIFS('NF x Centro de Custo'!$H$5:$H$1270,'NF x Centro de Custo'!$E$5:$E$1270,$A7,'NF x Centro de Custo'!$A$5:$A$1270,H$3)</f>
        <v>311088.71</v>
      </c>
      <c r="I7" s="15" t="n">
        <f aca="false">SUM(B7:H7)</f>
        <v>3155321.15</v>
      </c>
      <c r="J7" s="16" t="n">
        <f aca="false">IFERROR(I7/I$94,0)</f>
        <v>0.0953494233827445</v>
      </c>
    </row>
    <row r="8" customFormat="false" ht="15" hidden="false" customHeight="false" outlineLevel="0" collapsed="false">
      <c r="A8" s="3" t="s">
        <v>111</v>
      </c>
      <c r="B8" s="15" t="n">
        <f aca="false">SUMIFS('NF x Centro de Custo'!$H$5:$H$1270,'NF x Centro de Custo'!$E$5:$E$1270,$A8,'NF x Centro de Custo'!$A$5:$A$1270,B$3)</f>
        <v>494884.36</v>
      </c>
      <c r="C8" s="15" t="n">
        <f aca="false">SUMIFS('NF x Centro de Custo'!$H$5:$H$1270,'NF x Centro de Custo'!$E$5:$E$1270,$A8,'NF x Centro de Custo'!$A$5:$A$1270,C$3)</f>
        <v>473934.63</v>
      </c>
      <c r="D8" s="15" t="n">
        <f aca="false">SUMIFS('NF x Centro de Custo'!$H$5:$H$1270,'NF x Centro de Custo'!$E$5:$E$1270,$A8,'NF x Centro de Custo'!$A$5:$A$1270,D$3)</f>
        <v>365715.16</v>
      </c>
      <c r="E8" s="15" t="n">
        <f aca="false">SUMIFS('NF x Centro de Custo'!$H$5:$H$1270,'NF x Centro de Custo'!$E$5:$E$1270,$A8,'NF x Centro de Custo'!$A$5:$A$1270,E$3)</f>
        <v>285755.08</v>
      </c>
      <c r="F8" s="15" t="n">
        <f aca="false">SUMIFS('NF x Centro de Custo'!$H$5:$H$1270,'NF x Centro de Custo'!$E$5:$E$1270,$A8,'NF x Centro de Custo'!$A$5:$A$1270,F$3)</f>
        <v>191178.51</v>
      </c>
      <c r="G8" s="15" t="n">
        <f aca="false">SUMIFS('NF x Centro de Custo'!$H$5:$H$1270,'NF x Centro de Custo'!$E$5:$E$1270,$A8,'NF x Centro de Custo'!$A$5:$A$1270,G$3)</f>
        <v>201981.46</v>
      </c>
      <c r="H8" s="15" t="n">
        <f aca="false">SUMIFS('NF x Centro de Custo'!$H$5:$H$1270,'NF x Centro de Custo'!$E$5:$E$1270,$A8,'NF x Centro de Custo'!$A$5:$A$1270,H$3)</f>
        <v>288247.03</v>
      </c>
      <c r="I8" s="15" t="n">
        <f aca="false">SUM(B8:H8)</f>
        <v>2301696.23</v>
      </c>
      <c r="J8" s="16" t="n">
        <f aca="false">IFERROR(I8/I$94,0)</f>
        <v>0.0695540637227171</v>
      </c>
    </row>
    <row r="9" customFormat="false" ht="15" hidden="false" customHeight="false" outlineLevel="0" collapsed="false">
      <c r="A9" s="3" t="s">
        <v>112</v>
      </c>
      <c r="B9" s="15" t="n">
        <f aca="false">SUMIFS('NF x Centro de Custo'!$H$5:$H$1270,'NF x Centro de Custo'!$E$5:$E$1270,$A9,'NF x Centro de Custo'!$A$5:$A$1270,B$3)</f>
        <v>425952.77</v>
      </c>
      <c r="C9" s="15" t="n">
        <f aca="false">SUMIFS('NF x Centro de Custo'!$H$5:$H$1270,'NF x Centro de Custo'!$E$5:$E$1270,$A9,'NF x Centro de Custo'!$A$5:$A$1270,C$3)</f>
        <v>578340.237356</v>
      </c>
      <c r="D9" s="15" t="n">
        <f aca="false">SUMIFS('NF x Centro de Custo'!$H$5:$H$1270,'NF x Centro de Custo'!$E$5:$E$1270,$A9,'NF x Centro de Custo'!$A$5:$A$1270,D$3)</f>
        <v>540774.98</v>
      </c>
      <c r="E9" s="15" t="n">
        <f aca="false">SUMIFS('NF x Centro de Custo'!$H$5:$H$1270,'NF x Centro de Custo'!$E$5:$E$1270,$A9,'NF x Centro de Custo'!$A$5:$A$1270,E$3)</f>
        <v>259594.26</v>
      </c>
      <c r="F9" s="15" t="n">
        <f aca="false">SUMIFS('NF x Centro de Custo'!$H$5:$H$1270,'NF x Centro de Custo'!$E$5:$E$1270,$A9,'NF x Centro de Custo'!$A$5:$A$1270,F$3)</f>
        <v>171075.07</v>
      </c>
      <c r="G9" s="15" t="n">
        <f aca="false">SUMIFS('NF x Centro de Custo'!$H$5:$H$1270,'NF x Centro de Custo'!$E$5:$E$1270,$A9,'NF x Centro de Custo'!$A$5:$A$1270,G$3)</f>
        <v>189438.273105</v>
      </c>
      <c r="H9" s="15" t="n">
        <f aca="false">SUMIFS('NF x Centro de Custo'!$H$5:$H$1270,'NF x Centro de Custo'!$E$5:$E$1270,$A9,'NF x Centro de Custo'!$A$5:$A$1270,H$3)</f>
        <v>105729.31</v>
      </c>
      <c r="I9" s="15" t="n">
        <f aca="false">SUM(B9:H9)</f>
        <v>2270904.900461</v>
      </c>
      <c r="J9" s="16" t="n">
        <f aca="false">IFERROR(I9/I$94,0)</f>
        <v>0.0686235925037314</v>
      </c>
    </row>
    <row r="10" customFormat="false" ht="15" hidden="false" customHeight="false" outlineLevel="0" collapsed="false">
      <c r="A10" s="3" t="s">
        <v>113</v>
      </c>
      <c r="B10" s="15" t="n">
        <f aca="false">SUMIFS('NF x Centro de Custo'!$H$5:$H$1270,'NF x Centro de Custo'!$E$5:$E$1270,$A10,'NF x Centro de Custo'!$A$5:$A$1270,B$3)</f>
        <v>503845</v>
      </c>
      <c r="C10" s="15" t="n">
        <f aca="false">SUMIFS('NF x Centro de Custo'!$H$5:$H$1270,'NF x Centro de Custo'!$E$5:$E$1270,$A10,'NF x Centro de Custo'!$A$5:$A$1270,C$3)</f>
        <v>438037.93</v>
      </c>
      <c r="D10" s="15" t="n">
        <f aca="false">SUMIFS('NF x Centro de Custo'!$H$5:$H$1270,'NF x Centro de Custo'!$E$5:$E$1270,$A10,'NF x Centro de Custo'!$A$5:$A$1270,D$3)</f>
        <v>272785.53</v>
      </c>
      <c r="E10" s="15" t="n">
        <f aca="false">SUMIFS('NF x Centro de Custo'!$H$5:$H$1270,'NF x Centro de Custo'!$E$5:$E$1270,$A10,'NF x Centro de Custo'!$A$5:$A$1270,E$3)</f>
        <v>245314.03</v>
      </c>
      <c r="F10" s="15" t="n">
        <f aca="false">SUMIFS('NF x Centro de Custo'!$H$5:$H$1270,'NF x Centro de Custo'!$E$5:$E$1270,$A10,'NF x Centro de Custo'!$A$5:$A$1270,F$3)</f>
        <v>195914.82</v>
      </c>
      <c r="G10" s="15" t="n">
        <f aca="false">SUMIFS('NF x Centro de Custo'!$H$5:$H$1270,'NF x Centro de Custo'!$E$5:$E$1270,$A10,'NF x Centro de Custo'!$A$5:$A$1270,G$3)</f>
        <v>186287.62</v>
      </c>
      <c r="H10" s="15" t="n">
        <f aca="false">SUMIFS('NF x Centro de Custo'!$H$5:$H$1270,'NF x Centro de Custo'!$E$5:$E$1270,$A10,'NF x Centro de Custo'!$A$5:$A$1270,H$3)</f>
        <v>275983.42</v>
      </c>
      <c r="I10" s="15" t="n">
        <f aca="false">SUM(B10:H10)</f>
        <v>2118168.35</v>
      </c>
      <c r="J10" s="16" t="n">
        <f aca="false">IFERROR(I10/I$94,0)</f>
        <v>0.064008106052875</v>
      </c>
    </row>
    <row r="11" customFormat="false" ht="15" hidden="false" customHeight="false" outlineLevel="0" collapsed="false">
      <c r="A11" s="3" t="s">
        <v>114</v>
      </c>
      <c r="B11" s="15" t="n">
        <f aca="false">SUMIFS('NF x Centro de Custo'!$H$5:$H$1270,'NF x Centro de Custo'!$E$5:$E$1270,$A11,'NF x Centro de Custo'!$A$5:$A$1270,B$3)</f>
        <v>390405.54</v>
      </c>
      <c r="C11" s="15" t="n">
        <f aca="false">SUMIFS('NF x Centro de Custo'!$H$5:$H$1270,'NF x Centro de Custo'!$E$5:$E$1270,$A11,'NF x Centro de Custo'!$A$5:$A$1270,C$3)</f>
        <v>404330.59</v>
      </c>
      <c r="D11" s="15" t="n">
        <f aca="false">SUMIFS('NF x Centro de Custo'!$H$5:$H$1270,'NF x Centro de Custo'!$E$5:$E$1270,$A11,'NF x Centro de Custo'!$A$5:$A$1270,D$3)</f>
        <v>203467.51</v>
      </c>
      <c r="E11" s="15" t="n">
        <f aca="false">SUMIFS('NF x Centro de Custo'!$H$5:$H$1270,'NF x Centro de Custo'!$E$5:$E$1270,$A11,'NF x Centro de Custo'!$A$5:$A$1270,E$3)</f>
        <v>193015.03</v>
      </c>
      <c r="F11" s="15" t="n">
        <f aca="false">SUMIFS('NF x Centro de Custo'!$H$5:$H$1270,'NF x Centro de Custo'!$E$5:$E$1270,$A11,'NF x Centro de Custo'!$A$5:$A$1270,F$3)</f>
        <v>195434.74</v>
      </c>
      <c r="G11" s="15" t="n">
        <f aca="false">SUMIFS('NF x Centro de Custo'!$H$5:$H$1270,'NF x Centro de Custo'!$E$5:$E$1270,$A11,'NF x Centro de Custo'!$A$5:$A$1270,G$3)</f>
        <v>216361.41</v>
      </c>
      <c r="H11" s="15" t="n">
        <f aca="false">SUMIFS('NF x Centro de Custo'!$H$5:$H$1270,'NF x Centro de Custo'!$E$5:$E$1270,$A11,'NF x Centro de Custo'!$A$5:$A$1270,H$3)</f>
        <v>208695.65</v>
      </c>
      <c r="I11" s="15" t="n">
        <f aca="false">SUM(B11:H11)</f>
        <v>1811710.47</v>
      </c>
      <c r="J11" s="16" t="n">
        <f aca="false">IFERROR(I11/I$94,0)</f>
        <v>0.05474737449498</v>
      </c>
    </row>
    <row r="12" customFormat="false" ht="15" hidden="false" customHeight="false" outlineLevel="0" collapsed="false">
      <c r="A12" s="3" t="s">
        <v>115</v>
      </c>
      <c r="B12" s="15" t="n">
        <f aca="false">SUMIFS('NF x Centro de Custo'!$H$5:$H$1270,'NF x Centro de Custo'!$E$5:$E$1270,$A12,'NF x Centro de Custo'!$A$5:$A$1270,B$3)</f>
        <v>251356.84</v>
      </c>
      <c r="C12" s="15" t="n">
        <f aca="false">SUMIFS('NF x Centro de Custo'!$H$5:$H$1270,'NF x Centro de Custo'!$E$5:$E$1270,$A12,'NF x Centro de Custo'!$A$5:$A$1270,C$3)</f>
        <v>300299.99</v>
      </c>
      <c r="D12" s="15" t="n">
        <f aca="false">SUMIFS('NF x Centro de Custo'!$H$5:$H$1270,'NF x Centro de Custo'!$E$5:$E$1270,$A12,'NF x Centro de Custo'!$A$5:$A$1270,D$3)</f>
        <v>213086.59</v>
      </c>
      <c r="E12" s="15" t="n">
        <f aca="false">SUMIFS('NF x Centro de Custo'!$H$5:$H$1270,'NF x Centro de Custo'!$E$5:$E$1270,$A12,'NF x Centro de Custo'!$A$5:$A$1270,E$3)</f>
        <v>105184.58</v>
      </c>
      <c r="F12" s="15" t="n">
        <f aca="false">SUMIFS('NF x Centro de Custo'!$H$5:$H$1270,'NF x Centro de Custo'!$E$5:$E$1270,$A12,'NF x Centro de Custo'!$A$5:$A$1270,F$3)</f>
        <v>31589.14</v>
      </c>
      <c r="G12" s="15" t="n">
        <f aca="false">SUMIFS('NF x Centro de Custo'!$H$5:$H$1270,'NF x Centro de Custo'!$E$5:$E$1270,$A12,'NF x Centro de Custo'!$A$5:$A$1270,G$3)</f>
        <v>87627.05</v>
      </c>
      <c r="H12" s="15" t="n">
        <f aca="false">SUMIFS('NF x Centro de Custo'!$H$5:$H$1270,'NF x Centro de Custo'!$E$5:$E$1270,$A12,'NF x Centro de Custo'!$A$5:$A$1270,H$3)</f>
        <v>202599.47</v>
      </c>
      <c r="I12" s="15" t="n">
        <f aca="false">SUM(B12:H12)</f>
        <v>1191743.66</v>
      </c>
      <c r="J12" s="16" t="n">
        <f aca="false">IFERROR(I12/I$94,0)</f>
        <v>0.0360128384399292</v>
      </c>
    </row>
    <row r="13" customFormat="false" ht="15" hidden="false" customHeight="false" outlineLevel="0" collapsed="false">
      <c r="A13" s="3" t="s">
        <v>116</v>
      </c>
      <c r="B13" s="15" t="n">
        <f aca="false">SUMIFS('NF x Centro de Custo'!$H$5:$H$1270,'NF x Centro de Custo'!$E$5:$E$1270,$A13,'NF x Centro de Custo'!$A$5:$A$1270,B$3)</f>
        <v>200446.48</v>
      </c>
      <c r="C13" s="15" t="n">
        <f aca="false">SUMIFS('NF x Centro de Custo'!$H$5:$H$1270,'NF x Centro de Custo'!$E$5:$E$1270,$A13,'NF x Centro de Custo'!$A$5:$A$1270,C$3)</f>
        <v>205675.84</v>
      </c>
      <c r="D13" s="15" t="n">
        <f aca="false">SUMIFS('NF x Centro de Custo'!$H$5:$H$1270,'NF x Centro de Custo'!$E$5:$E$1270,$A13,'NF x Centro de Custo'!$A$5:$A$1270,D$3)</f>
        <v>210202.89</v>
      </c>
      <c r="E13" s="15" t="n">
        <f aca="false">SUMIFS('NF x Centro de Custo'!$H$5:$H$1270,'NF x Centro de Custo'!$E$5:$E$1270,$A13,'NF x Centro de Custo'!$A$5:$A$1270,E$3)</f>
        <v>155117.34</v>
      </c>
      <c r="F13" s="15" t="n">
        <f aca="false">SUMIFS('NF x Centro de Custo'!$H$5:$H$1270,'NF x Centro de Custo'!$E$5:$E$1270,$A13,'NF x Centro de Custo'!$A$5:$A$1270,F$3)</f>
        <v>144776.34</v>
      </c>
      <c r="G13" s="15" t="n">
        <f aca="false">SUMIFS('NF x Centro de Custo'!$H$5:$H$1270,'NF x Centro de Custo'!$E$5:$E$1270,$A13,'NF x Centro de Custo'!$A$5:$A$1270,G$3)</f>
        <v>120525.13</v>
      </c>
      <c r="H13" s="15" t="n">
        <f aca="false">SUMIFS('NF x Centro de Custo'!$H$5:$H$1270,'NF x Centro de Custo'!$E$5:$E$1270,$A13,'NF x Centro de Custo'!$A$5:$A$1270,H$3)</f>
        <v>128946.27</v>
      </c>
      <c r="I13" s="15" t="n">
        <f aca="false">SUM(B13:H13)</f>
        <v>1165690.29</v>
      </c>
      <c r="J13" s="16" t="n">
        <f aca="false">IFERROR(I13/I$94,0)</f>
        <v>0.0352255417786441</v>
      </c>
    </row>
    <row r="14" customFormat="false" ht="15" hidden="false" customHeight="false" outlineLevel="0" collapsed="false">
      <c r="A14" s="3" t="s">
        <v>117</v>
      </c>
      <c r="B14" s="15" t="n">
        <f aca="false">SUMIFS('NF x Centro de Custo'!$H$5:$H$1270,'NF x Centro de Custo'!$E$5:$E$1270,$A14,'NF x Centro de Custo'!$A$5:$A$1270,B$3)</f>
        <v>184581.29</v>
      </c>
      <c r="C14" s="15" t="n">
        <f aca="false">SUMIFS('NF x Centro de Custo'!$H$5:$H$1270,'NF x Centro de Custo'!$E$5:$E$1270,$A14,'NF x Centro de Custo'!$A$5:$A$1270,C$3)</f>
        <v>174892.01</v>
      </c>
      <c r="D14" s="15" t="n">
        <f aca="false">SUMIFS('NF x Centro de Custo'!$H$5:$H$1270,'NF x Centro de Custo'!$E$5:$E$1270,$A14,'NF x Centro de Custo'!$A$5:$A$1270,D$3)</f>
        <v>176448.08</v>
      </c>
      <c r="E14" s="15" t="n">
        <f aca="false">SUMIFS('NF x Centro de Custo'!$H$5:$H$1270,'NF x Centro de Custo'!$E$5:$E$1270,$A14,'NF x Centro de Custo'!$A$5:$A$1270,E$3)</f>
        <v>125154.69</v>
      </c>
      <c r="F14" s="15" t="n">
        <f aca="false">SUMIFS('NF x Centro de Custo'!$H$5:$H$1270,'NF x Centro de Custo'!$E$5:$E$1270,$A14,'NF x Centro de Custo'!$A$5:$A$1270,F$3)</f>
        <v>131178.82</v>
      </c>
      <c r="G14" s="15" t="n">
        <f aca="false">SUMIFS('NF x Centro de Custo'!$H$5:$H$1270,'NF x Centro de Custo'!$E$5:$E$1270,$A14,'NF x Centro de Custo'!$A$5:$A$1270,G$3)</f>
        <v>137378.54</v>
      </c>
      <c r="H14" s="15" t="n">
        <f aca="false">SUMIFS('NF x Centro de Custo'!$H$5:$H$1270,'NF x Centro de Custo'!$E$5:$E$1270,$A14,'NF x Centro de Custo'!$A$5:$A$1270,H$3)</f>
        <v>142664.91</v>
      </c>
      <c r="I14" s="15" t="n">
        <f aca="false">SUM(B14:H14)</f>
        <v>1072298.34</v>
      </c>
      <c r="J14" s="16" t="n">
        <f aca="false">IFERROR(I14/I$94,0)</f>
        <v>0.032403366742328</v>
      </c>
    </row>
    <row r="15" customFormat="false" ht="15" hidden="false" customHeight="false" outlineLevel="0" collapsed="false">
      <c r="A15" s="3" t="s">
        <v>118</v>
      </c>
      <c r="B15" s="15" t="n">
        <f aca="false">SUMIFS('NF x Centro de Custo'!$H$5:$H$1270,'NF x Centro de Custo'!$E$5:$E$1270,$A15,'NF x Centro de Custo'!$A$5:$A$1270,B$3)</f>
        <v>242959.37</v>
      </c>
      <c r="C15" s="15" t="n">
        <f aca="false">SUMIFS('NF x Centro de Custo'!$H$5:$H$1270,'NF x Centro de Custo'!$E$5:$E$1270,$A15,'NF x Centro de Custo'!$A$5:$A$1270,C$3)</f>
        <v>199109.91</v>
      </c>
      <c r="D15" s="15" t="n">
        <f aca="false">SUMIFS('NF x Centro de Custo'!$H$5:$H$1270,'NF x Centro de Custo'!$E$5:$E$1270,$A15,'NF x Centro de Custo'!$A$5:$A$1270,D$3)</f>
        <v>201504.2</v>
      </c>
      <c r="E15" s="15" t="n">
        <f aca="false">SUMIFS('NF x Centro de Custo'!$H$5:$H$1270,'NF x Centro de Custo'!$E$5:$E$1270,$A15,'NF x Centro de Custo'!$A$5:$A$1270,E$3)</f>
        <v>163747.97</v>
      </c>
      <c r="F15" s="15" t="n">
        <f aca="false">SUMIFS('NF x Centro de Custo'!$H$5:$H$1270,'NF x Centro de Custo'!$E$5:$E$1270,$A15,'NF x Centro de Custo'!$A$5:$A$1270,F$3)</f>
        <v>113602.32</v>
      </c>
      <c r="G15" s="15" t="n">
        <f aca="false">SUMIFS('NF x Centro de Custo'!$H$5:$H$1270,'NF x Centro de Custo'!$E$5:$E$1270,$A15,'NF x Centro de Custo'!$A$5:$A$1270,G$3)</f>
        <v>76645.094432</v>
      </c>
      <c r="H15" s="15" t="n">
        <f aca="false">SUMIFS('NF x Centro de Custo'!$H$5:$H$1270,'NF x Centro de Custo'!$E$5:$E$1270,$A15,'NF x Centro de Custo'!$A$5:$A$1270,H$3)</f>
        <v>41304.86</v>
      </c>
      <c r="I15" s="15" t="n">
        <f aca="false">SUM(B15:H15)</f>
        <v>1038873.724432</v>
      </c>
      <c r="J15" s="16" t="n">
        <f aca="false">IFERROR(I15/I$94,0)</f>
        <v>0.0313933212763701</v>
      </c>
    </row>
    <row r="16" customFormat="false" ht="15" hidden="false" customHeight="false" outlineLevel="0" collapsed="false">
      <c r="A16" s="3" t="s">
        <v>119</v>
      </c>
      <c r="B16" s="15" t="n">
        <f aca="false">SUMIFS('NF x Centro de Custo'!$H$5:$H$1270,'NF x Centro de Custo'!$E$5:$E$1270,$A16,'NF x Centro de Custo'!$A$5:$A$1270,B$3)</f>
        <v>76528.79</v>
      </c>
      <c r="C16" s="15" t="n">
        <f aca="false">SUMIFS('NF x Centro de Custo'!$H$5:$H$1270,'NF x Centro de Custo'!$E$5:$E$1270,$A16,'NF x Centro de Custo'!$A$5:$A$1270,C$3)</f>
        <v>192225.59</v>
      </c>
      <c r="D16" s="15" t="n">
        <f aca="false">SUMIFS('NF x Centro de Custo'!$H$5:$H$1270,'NF x Centro de Custo'!$E$5:$E$1270,$A16,'NF x Centro de Custo'!$A$5:$A$1270,D$3)</f>
        <v>266617.97</v>
      </c>
      <c r="E16" s="15" t="n">
        <f aca="false">SUMIFS('NF x Centro de Custo'!$H$5:$H$1270,'NF x Centro de Custo'!$E$5:$E$1270,$A16,'NF x Centro de Custo'!$A$5:$A$1270,E$3)</f>
        <v>202143</v>
      </c>
      <c r="F16" s="15" t="n">
        <f aca="false">SUMIFS('NF x Centro de Custo'!$H$5:$H$1270,'NF x Centro de Custo'!$E$5:$E$1270,$A16,'NF x Centro de Custo'!$A$5:$A$1270,F$3)</f>
        <v>188837.87</v>
      </c>
      <c r="G16" s="15" t="n">
        <f aca="false">SUMIFS('NF x Centro de Custo'!$H$5:$H$1270,'NF x Centro de Custo'!$E$5:$E$1270,$A16,'NF x Centro de Custo'!$A$5:$A$1270,G$3)</f>
        <v>107343.23</v>
      </c>
      <c r="H16" s="15" t="n">
        <f aca="false">SUMIFS('NF x Centro de Custo'!$H$5:$H$1270,'NF x Centro de Custo'!$E$5:$E$1270,$A16,'NF x Centro de Custo'!$A$5:$A$1270,H$3)</f>
        <v>0</v>
      </c>
      <c r="I16" s="15" t="n">
        <f aca="false">SUM(B16:H16)</f>
        <v>1033696.45</v>
      </c>
      <c r="J16" s="16" t="n">
        <f aca="false">IFERROR(I16/I$94,0)</f>
        <v>0.0312368712326763</v>
      </c>
    </row>
    <row r="17" customFormat="false" ht="15" hidden="false" customHeight="false" outlineLevel="0" collapsed="false">
      <c r="A17" s="3" t="s">
        <v>120</v>
      </c>
      <c r="B17" s="15" t="n">
        <f aca="false">SUMIFS('NF x Centro de Custo'!$H$5:$H$1270,'NF x Centro de Custo'!$E$5:$E$1270,$A17,'NF x Centro de Custo'!$A$5:$A$1270,B$3)</f>
        <v>0</v>
      </c>
      <c r="C17" s="15" t="n">
        <f aca="false">SUMIFS('NF x Centro de Custo'!$H$5:$H$1270,'NF x Centro de Custo'!$E$5:$E$1270,$A17,'NF x Centro de Custo'!$A$5:$A$1270,C$3)</f>
        <v>37171.7</v>
      </c>
      <c r="D17" s="15" t="n">
        <f aca="false">SUMIFS('NF x Centro de Custo'!$H$5:$H$1270,'NF x Centro de Custo'!$E$5:$E$1270,$A17,'NF x Centro de Custo'!$A$5:$A$1270,D$3)</f>
        <v>296802.38</v>
      </c>
      <c r="E17" s="15" t="n">
        <f aca="false">SUMIFS('NF x Centro de Custo'!$H$5:$H$1270,'NF x Centro de Custo'!$E$5:$E$1270,$A17,'NF x Centro de Custo'!$A$5:$A$1270,E$3)</f>
        <v>311571.97</v>
      </c>
      <c r="F17" s="15" t="n">
        <f aca="false">SUMIFS('NF x Centro de Custo'!$H$5:$H$1270,'NF x Centro de Custo'!$E$5:$E$1270,$A17,'NF x Centro de Custo'!$A$5:$A$1270,F$3)</f>
        <v>117542.78</v>
      </c>
      <c r="G17" s="15" t="n">
        <f aca="false">SUMIFS('NF x Centro de Custo'!$H$5:$H$1270,'NF x Centro de Custo'!$E$5:$E$1270,$A17,'NF x Centro de Custo'!$A$5:$A$1270,G$3)</f>
        <v>80438.89</v>
      </c>
      <c r="H17" s="15" t="n">
        <f aca="false">SUMIFS('NF x Centro de Custo'!$H$5:$H$1270,'NF x Centro de Custo'!$E$5:$E$1270,$A17,'NF x Centro de Custo'!$A$5:$A$1270,H$3)</f>
        <v>75297.19</v>
      </c>
      <c r="I17" s="15" t="n">
        <f aca="false">SUM(B17:H17)</f>
        <v>918824.91</v>
      </c>
      <c r="J17" s="16" t="n">
        <f aca="false">IFERROR(I17/I$94,0)</f>
        <v>0.0277656128151019</v>
      </c>
    </row>
    <row r="18" customFormat="false" ht="15" hidden="false" customHeight="false" outlineLevel="0" collapsed="false">
      <c r="A18" s="3" t="s">
        <v>121</v>
      </c>
      <c r="B18" s="15" t="n">
        <f aca="false">SUMIFS('NF x Centro de Custo'!$H$5:$H$1270,'NF x Centro de Custo'!$E$5:$E$1270,$A18,'NF x Centro de Custo'!$A$5:$A$1270,B$3)</f>
        <v>77337.07</v>
      </c>
      <c r="C18" s="15" t="n">
        <f aca="false">SUMIFS('NF x Centro de Custo'!$H$5:$H$1270,'NF x Centro de Custo'!$E$5:$E$1270,$A18,'NF x Centro de Custo'!$A$5:$A$1270,C$3)</f>
        <v>81950.53</v>
      </c>
      <c r="D18" s="15" t="n">
        <f aca="false">SUMIFS('NF x Centro de Custo'!$H$5:$H$1270,'NF x Centro de Custo'!$E$5:$E$1270,$A18,'NF x Centro de Custo'!$A$5:$A$1270,D$3)</f>
        <v>99397.74</v>
      </c>
      <c r="E18" s="15" t="n">
        <f aca="false">SUMIFS('NF x Centro de Custo'!$H$5:$H$1270,'NF x Centro de Custo'!$E$5:$E$1270,$A18,'NF x Centro de Custo'!$A$5:$A$1270,E$3)</f>
        <v>67394.74</v>
      </c>
      <c r="F18" s="15" t="n">
        <f aca="false">SUMIFS('NF x Centro de Custo'!$H$5:$H$1270,'NF x Centro de Custo'!$E$5:$E$1270,$A18,'NF x Centro de Custo'!$A$5:$A$1270,F$3)</f>
        <v>52114.47</v>
      </c>
      <c r="G18" s="15" t="n">
        <f aca="false">SUMIFS('NF x Centro de Custo'!$H$5:$H$1270,'NF x Centro de Custo'!$E$5:$E$1270,$A18,'NF x Centro de Custo'!$A$5:$A$1270,G$3)</f>
        <v>70280.83</v>
      </c>
      <c r="H18" s="15" t="n">
        <f aca="false">SUMIFS('NF x Centro de Custo'!$H$5:$H$1270,'NF x Centro de Custo'!$E$5:$E$1270,$A18,'NF x Centro de Custo'!$A$5:$A$1270,H$3)</f>
        <v>71737.64</v>
      </c>
      <c r="I18" s="15" t="n">
        <f aca="false">SUM(B18:H18)</f>
        <v>520213.02</v>
      </c>
      <c r="J18" s="16" t="n">
        <f aca="false">IFERROR(I18/I$94,0)</f>
        <v>0.0157201150485732</v>
      </c>
    </row>
    <row r="19" customFormat="false" ht="15" hidden="false" customHeight="false" outlineLevel="0" collapsed="false">
      <c r="A19" s="3" t="s">
        <v>122</v>
      </c>
      <c r="B19" s="15" t="n">
        <f aca="false">SUMIFS('NF x Centro de Custo'!$H$5:$H$1270,'NF x Centro de Custo'!$E$5:$E$1270,$A19,'NF x Centro de Custo'!$A$5:$A$1270,B$3)</f>
        <v>39495.3</v>
      </c>
      <c r="C19" s="15" t="n">
        <f aca="false">SUMIFS('NF x Centro de Custo'!$H$5:$H$1270,'NF x Centro de Custo'!$E$5:$E$1270,$A19,'NF x Centro de Custo'!$A$5:$A$1270,C$3)</f>
        <v>132363.71</v>
      </c>
      <c r="D19" s="15" t="n">
        <f aca="false">SUMIFS('NF x Centro de Custo'!$H$5:$H$1270,'NF x Centro de Custo'!$E$5:$E$1270,$A19,'NF x Centro de Custo'!$A$5:$A$1270,D$3)</f>
        <v>80089.76</v>
      </c>
      <c r="E19" s="15" t="n">
        <f aca="false">SUMIFS('NF x Centro de Custo'!$H$5:$H$1270,'NF x Centro de Custo'!$E$5:$E$1270,$A19,'NF x Centro de Custo'!$A$5:$A$1270,E$3)</f>
        <v>78492.34</v>
      </c>
      <c r="F19" s="15" t="n">
        <f aca="false">SUMIFS('NF x Centro de Custo'!$H$5:$H$1270,'NF x Centro de Custo'!$E$5:$E$1270,$A19,'NF x Centro de Custo'!$A$5:$A$1270,F$3)</f>
        <v>66922.092648</v>
      </c>
      <c r="G19" s="15" t="n">
        <f aca="false">SUMIFS('NF x Centro de Custo'!$H$5:$H$1270,'NF x Centro de Custo'!$E$5:$E$1270,$A19,'NF x Centro de Custo'!$A$5:$A$1270,G$3)</f>
        <v>51089.07</v>
      </c>
      <c r="H19" s="15" t="n">
        <f aca="false">SUMIFS('NF x Centro de Custo'!$H$5:$H$1270,'NF x Centro de Custo'!$E$5:$E$1270,$A19,'NF x Centro de Custo'!$A$5:$A$1270,H$3)</f>
        <v>0</v>
      </c>
      <c r="I19" s="15" t="n">
        <f aca="false">SUM(B19:H19)</f>
        <v>448452.272648</v>
      </c>
      <c r="J19" s="16" t="n">
        <f aca="false">IFERROR(I19/I$94,0)</f>
        <v>0.0135516049171946</v>
      </c>
    </row>
    <row r="20" customFormat="false" ht="15" hidden="false" customHeight="false" outlineLevel="0" collapsed="false">
      <c r="A20" s="3" t="s">
        <v>123</v>
      </c>
      <c r="B20" s="15" t="n">
        <f aca="false">SUMIFS('NF x Centro de Custo'!$H$5:$H$1270,'NF x Centro de Custo'!$E$5:$E$1270,$A20,'NF x Centro de Custo'!$A$5:$A$1270,B$3)</f>
        <v>0</v>
      </c>
      <c r="C20" s="15" t="n">
        <f aca="false">SUMIFS('NF x Centro de Custo'!$H$5:$H$1270,'NF x Centro de Custo'!$E$5:$E$1270,$A20,'NF x Centro de Custo'!$A$5:$A$1270,C$3)</f>
        <v>0</v>
      </c>
      <c r="D20" s="15" t="n">
        <f aca="false">SUMIFS('NF x Centro de Custo'!$H$5:$H$1270,'NF x Centro de Custo'!$E$5:$E$1270,$A20,'NF x Centro de Custo'!$A$5:$A$1270,D$3)</f>
        <v>145950.38</v>
      </c>
      <c r="E20" s="15" t="n">
        <f aca="false">SUMIFS('NF x Centro de Custo'!$H$5:$H$1270,'NF x Centro de Custo'!$E$5:$E$1270,$A20,'NF x Centro de Custo'!$A$5:$A$1270,E$3)</f>
        <v>150024.58</v>
      </c>
      <c r="F20" s="15" t="n">
        <f aca="false">SUMIFS('NF x Centro de Custo'!$H$5:$H$1270,'NF x Centro de Custo'!$E$5:$E$1270,$A20,'NF x Centro de Custo'!$A$5:$A$1270,F$3)</f>
        <v>95470.66</v>
      </c>
      <c r="G20" s="15" t="n">
        <f aca="false">SUMIFS('NF x Centro de Custo'!$H$5:$H$1270,'NF x Centro de Custo'!$E$5:$E$1270,$A20,'NF x Centro de Custo'!$A$5:$A$1270,G$3)</f>
        <v>-10240.66</v>
      </c>
      <c r="H20" s="15" t="n">
        <f aca="false">SUMIFS('NF x Centro de Custo'!$H$5:$H$1270,'NF x Centro de Custo'!$E$5:$E$1270,$A20,'NF x Centro de Custo'!$A$5:$A$1270,H$3)</f>
        <v>23839.88</v>
      </c>
      <c r="I20" s="15" t="n">
        <f aca="false">SUM(B20:H20)</f>
        <v>405044.84</v>
      </c>
      <c r="J20" s="16" t="n">
        <f aca="false">IFERROR(I20/I$94,0)</f>
        <v>0.0122398925821405</v>
      </c>
    </row>
    <row r="21" customFormat="false" ht="15" hidden="false" customHeight="false" outlineLevel="0" collapsed="false">
      <c r="A21" s="3" t="s">
        <v>124</v>
      </c>
      <c r="B21" s="15" t="n">
        <f aca="false">SUMIFS('NF x Centro de Custo'!$H$5:$H$1270,'NF x Centro de Custo'!$E$5:$E$1270,$A21,'NF x Centro de Custo'!$A$5:$A$1270,B$3)</f>
        <v>0</v>
      </c>
      <c r="C21" s="15" t="n">
        <f aca="false">SUMIFS('NF x Centro de Custo'!$H$5:$H$1270,'NF x Centro de Custo'!$E$5:$E$1270,$A21,'NF x Centro de Custo'!$A$5:$A$1270,C$3)</f>
        <v>64348.89</v>
      </c>
      <c r="D21" s="15" t="n">
        <f aca="false">SUMIFS('NF x Centro de Custo'!$H$5:$H$1270,'NF x Centro de Custo'!$E$5:$E$1270,$A21,'NF x Centro de Custo'!$A$5:$A$1270,D$3)</f>
        <v>58357.36</v>
      </c>
      <c r="E21" s="15" t="n">
        <f aca="false">SUMIFS('NF x Centro de Custo'!$H$5:$H$1270,'NF x Centro de Custo'!$E$5:$E$1270,$A21,'NF x Centro de Custo'!$A$5:$A$1270,E$3)</f>
        <v>65111.39</v>
      </c>
      <c r="F21" s="15" t="n">
        <f aca="false">SUMIFS('NF x Centro de Custo'!$H$5:$H$1270,'NF x Centro de Custo'!$E$5:$E$1270,$A21,'NF x Centro de Custo'!$A$5:$A$1270,F$3)</f>
        <v>69611.67</v>
      </c>
      <c r="G21" s="15" t="n">
        <f aca="false">SUMIFS('NF x Centro de Custo'!$H$5:$H$1270,'NF x Centro de Custo'!$E$5:$E$1270,$A21,'NF x Centro de Custo'!$A$5:$A$1270,G$3)</f>
        <v>64697.95</v>
      </c>
      <c r="H21" s="15" t="n">
        <f aca="false">SUMIFS('NF x Centro de Custo'!$H$5:$H$1270,'NF x Centro de Custo'!$E$5:$E$1270,$A21,'NF x Centro de Custo'!$A$5:$A$1270,H$3)</f>
        <v>58556.47</v>
      </c>
      <c r="I21" s="15" t="n">
        <f aca="false">SUM(B21:H21)</f>
        <v>380683.73</v>
      </c>
      <c r="J21" s="16" t="n">
        <f aca="false">IFERROR(I21/I$94,0)</f>
        <v>0.0115037336680269</v>
      </c>
    </row>
    <row r="22" customFormat="false" ht="15" hidden="false" customHeight="false" outlineLevel="0" collapsed="false">
      <c r="A22" s="3" t="s">
        <v>125</v>
      </c>
      <c r="B22" s="15" t="n">
        <f aca="false">SUMIFS('NF x Centro de Custo'!$H$5:$H$1270,'NF x Centro de Custo'!$E$5:$E$1270,$A22,'NF x Centro de Custo'!$A$5:$A$1270,B$3)</f>
        <v>15441.98</v>
      </c>
      <c r="C22" s="15" t="n">
        <f aca="false">SUMIFS('NF x Centro de Custo'!$H$5:$H$1270,'NF x Centro de Custo'!$E$5:$E$1270,$A22,'NF x Centro de Custo'!$A$5:$A$1270,C$3)</f>
        <v>71248.21</v>
      </c>
      <c r="D22" s="15" t="n">
        <f aca="false">SUMIFS('NF x Centro de Custo'!$H$5:$H$1270,'NF x Centro de Custo'!$E$5:$E$1270,$A22,'NF x Centro de Custo'!$A$5:$A$1270,D$3)</f>
        <v>53214.89</v>
      </c>
      <c r="E22" s="15" t="n">
        <f aca="false">SUMIFS('NF x Centro de Custo'!$H$5:$H$1270,'NF x Centro de Custo'!$E$5:$E$1270,$A22,'NF x Centro de Custo'!$A$5:$A$1270,E$3)</f>
        <v>41381.14</v>
      </c>
      <c r="F22" s="15" t="n">
        <f aca="false">SUMIFS('NF x Centro de Custo'!$H$5:$H$1270,'NF x Centro de Custo'!$E$5:$E$1270,$A22,'NF x Centro de Custo'!$A$5:$A$1270,F$3)</f>
        <v>36611.63</v>
      </c>
      <c r="G22" s="15" t="n">
        <f aca="false">SUMIFS('NF x Centro de Custo'!$H$5:$H$1270,'NF x Centro de Custo'!$E$5:$E$1270,$A22,'NF x Centro de Custo'!$A$5:$A$1270,G$3)</f>
        <v>33358.63</v>
      </c>
      <c r="H22" s="15" t="n">
        <f aca="false">SUMIFS('NF x Centro de Custo'!$H$5:$H$1270,'NF x Centro de Custo'!$E$5:$E$1270,$A22,'NF x Centro de Custo'!$A$5:$A$1270,H$3)</f>
        <v>91146.62</v>
      </c>
      <c r="I22" s="15" t="n">
        <f aca="false">SUM(B22:H22)</f>
        <v>342403.1</v>
      </c>
      <c r="J22" s="16" t="n">
        <f aca="false">IFERROR(I22/I$94,0)</f>
        <v>0.0103469461894439</v>
      </c>
    </row>
    <row r="23" customFormat="false" ht="15" hidden="false" customHeight="false" outlineLevel="0" collapsed="false">
      <c r="A23" s="3" t="s">
        <v>126</v>
      </c>
      <c r="B23" s="15" t="n">
        <f aca="false">SUMIFS('NF x Centro de Custo'!$H$5:$H$1270,'NF x Centro de Custo'!$E$5:$E$1270,$A23,'NF x Centro de Custo'!$A$5:$A$1270,B$3)</f>
        <v>48124.2</v>
      </c>
      <c r="C23" s="15" t="n">
        <f aca="false">SUMIFS('NF x Centro de Custo'!$H$5:$H$1270,'NF x Centro de Custo'!$E$5:$E$1270,$A23,'NF x Centro de Custo'!$A$5:$A$1270,C$3)</f>
        <v>52090.36</v>
      </c>
      <c r="D23" s="15" t="n">
        <f aca="false">SUMIFS('NF x Centro de Custo'!$H$5:$H$1270,'NF x Centro de Custo'!$E$5:$E$1270,$A23,'NF x Centro de Custo'!$A$5:$A$1270,D$3)</f>
        <v>52317.22</v>
      </c>
      <c r="E23" s="15" t="n">
        <f aca="false">SUMIFS('NF x Centro de Custo'!$H$5:$H$1270,'NF x Centro de Custo'!$E$5:$E$1270,$A23,'NF x Centro de Custo'!$A$5:$A$1270,E$3)</f>
        <v>43665.89</v>
      </c>
      <c r="F23" s="15" t="n">
        <f aca="false">SUMIFS('NF x Centro de Custo'!$H$5:$H$1270,'NF x Centro de Custo'!$E$5:$E$1270,$A23,'NF x Centro de Custo'!$A$5:$A$1270,F$3)</f>
        <v>59086.51</v>
      </c>
      <c r="G23" s="15" t="n">
        <f aca="false">SUMIFS('NF x Centro de Custo'!$H$5:$H$1270,'NF x Centro de Custo'!$E$5:$E$1270,$A23,'NF x Centro de Custo'!$A$5:$A$1270,G$3)</f>
        <v>45224.063565</v>
      </c>
      <c r="H23" s="15" t="n">
        <f aca="false">SUMIFS('NF x Centro de Custo'!$H$5:$H$1270,'NF x Centro de Custo'!$E$5:$E$1270,$A23,'NF x Centro de Custo'!$A$5:$A$1270,H$3)</f>
        <v>34731.62</v>
      </c>
      <c r="I23" s="15" t="n">
        <f aca="false">SUM(B23:H23)</f>
        <v>335239.863565</v>
      </c>
      <c r="J23" s="16" t="n">
        <f aca="false">IFERROR(I23/I$94,0)</f>
        <v>0.0101304831319096</v>
      </c>
    </row>
    <row r="24" customFormat="false" ht="15" hidden="false" customHeight="false" outlineLevel="0" collapsed="false">
      <c r="A24" s="3" t="s">
        <v>127</v>
      </c>
      <c r="B24" s="15" t="n">
        <f aca="false">SUMIFS('NF x Centro de Custo'!$H$5:$H$1270,'NF x Centro de Custo'!$E$5:$E$1270,$A24,'NF x Centro de Custo'!$A$5:$A$1270,B$3)</f>
        <v>62943.53</v>
      </c>
      <c r="C24" s="15" t="n">
        <f aca="false">SUMIFS('NF x Centro de Custo'!$H$5:$H$1270,'NF x Centro de Custo'!$E$5:$E$1270,$A24,'NF x Centro de Custo'!$A$5:$A$1270,C$3)</f>
        <v>84265.91</v>
      </c>
      <c r="D24" s="15" t="n">
        <f aca="false">SUMIFS('NF x Centro de Custo'!$H$5:$H$1270,'NF x Centro de Custo'!$E$5:$E$1270,$A24,'NF x Centro de Custo'!$A$5:$A$1270,D$3)</f>
        <v>78681.73</v>
      </c>
      <c r="E24" s="15" t="n">
        <f aca="false">SUMIFS('NF x Centro de Custo'!$H$5:$H$1270,'NF x Centro de Custo'!$E$5:$E$1270,$A24,'NF x Centro de Custo'!$A$5:$A$1270,E$3)</f>
        <v>8396.39</v>
      </c>
      <c r="F24" s="15" t="n">
        <f aca="false">SUMIFS('NF x Centro de Custo'!$H$5:$H$1270,'NF x Centro de Custo'!$E$5:$E$1270,$A24,'NF x Centro de Custo'!$A$5:$A$1270,F$3)</f>
        <v>0</v>
      </c>
      <c r="G24" s="15" t="n">
        <f aca="false">SUMIFS('NF x Centro de Custo'!$H$5:$H$1270,'NF x Centro de Custo'!$E$5:$E$1270,$A24,'NF x Centro de Custo'!$A$5:$A$1270,G$3)</f>
        <v>72</v>
      </c>
      <c r="H24" s="15" t="n">
        <f aca="false">SUMIFS('NF x Centro de Custo'!$H$5:$H$1270,'NF x Centro de Custo'!$E$5:$E$1270,$A24,'NF x Centro de Custo'!$A$5:$A$1270,H$3)</f>
        <v>83276.24</v>
      </c>
      <c r="I24" s="15" t="n">
        <f aca="false">SUM(B24:H24)</f>
        <v>317635.8</v>
      </c>
      <c r="J24" s="16" t="n">
        <f aca="false">IFERROR(I24/I$94,0)</f>
        <v>0.00959851277760324</v>
      </c>
    </row>
    <row r="25" customFormat="false" ht="15" hidden="false" customHeight="false" outlineLevel="0" collapsed="false">
      <c r="A25" s="3" t="s">
        <v>128</v>
      </c>
      <c r="B25" s="15" t="n">
        <f aca="false">SUMIFS('NF x Centro de Custo'!$H$5:$H$1270,'NF x Centro de Custo'!$E$5:$E$1270,$A25,'NF x Centro de Custo'!$A$5:$A$1270,B$3)</f>
        <v>12903.78</v>
      </c>
      <c r="C25" s="15" t="n">
        <f aca="false">SUMIFS('NF x Centro de Custo'!$H$5:$H$1270,'NF x Centro de Custo'!$E$5:$E$1270,$A25,'NF x Centro de Custo'!$A$5:$A$1270,C$3)</f>
        <v>98056.7</v>
      </c>
      <c r="D25" s="15" t="n">
        <f aca="false">SUMIFS('NF x Centro de Custo'!$H$5:$H$1270,'NF x Centro de Custo'!$E$5:$E$1270,$A25,'NF x Centro de Custo'!$A$5:$A$1270,D$3)</f>
        <v>40720.34</v>
      </c>
      <c r="E25" s="15" t="n">
        <f aca="false">SUMIFS('NF x Centro de Custo'!$H$5:$H$1270,'NF x Centro de Custo'!$E$5:$E$1270,$A25,'NF x Centro de Custo'!$A$5:$A$1270,E$3)</f>
        <v>44590.739092</v>
      </c>
      <c r="F25" s="15" t="n">
        <f aca="false">SUMIFS('NF x Centro de Custo'!$H$5:$H$1270,'NF x Centro de Custo'!$E$5:$E$1270,$A25,'NF x Centro de Custo'!$A$5:$A$1270,F$3)</f>
        <v>41498.230801</v>
      </c>
      <c r="G25" s="15" t="n">
        <f aca="false">SUMIFS('NF x Centro de Custo'!$H$5:$H$1270,'NF x Centro de Custo'!$E$5:$E$1270,$A25,'NF x Centro de Custo'!$A$5:$A$1270,G$3)</f>
        <v>41484.7</v>
      </c>
      <c r="H25" s="15" t="n">
        <f aca="false">SUMIFS('NF x Centro de Custo'!$H$5:$H$1270,'NF x Centro de Custo'!$E$5:$E$1270,$A25,'NF x Centro de Custo'!$A$5:$A$1270,H$3)</f>
        <v>0</v>
      </c>
      <c r="I25" s="15" t="n">
        <f aca="false">SUM(B25:H25)</f>
        <v>279254.489893</v>
      </c>
      <c r="J25" s="16" t="n">
        <f aca="false">IFERROR(I25/I$94,0)</f>
        <v>0.00843868288600037</v>
      </c>
    </row>
    <row r="26" customFormat="false" ht="15" hidden="false" customHeight="false" outlineLevel="0" collapsed="false">
      <c r="A26" s="3" t="s">
        <v>129</v>
      </c>
      <c r="B26" s="15" t="n">
        <f aca="false">SUMIFS('NF x Centro de Custo'!$H$5:$H$1270,'NF x Centro de Custo'!$E$5:$E$1270,$A26,'NF x Centro de Custo'!$A$5:$A$1270,B$3)</f>
        <v>74147.48</v>
      </c>
      <c r="C26" s="15" t="n">
        <f aca="false">SUMIFS('NF x Centro de Custo'!$H$5:$H$1270,'NF x Centro de Custo'!$E$5:$E$1270,$A26,'NF x Centro de Custo'!$A$5:$A$1270,C$3)</f>
        <v>82789.56</v>
      </c>
      <c r="D26" s="15" t="n">
        <f aca="false">SUMIFS('NF x Centro de Custo'!$H$5:$H$1270,'NF x Centro de Custo'!$E$5:$E$1270,$A26,'NF x Centro de Custo'!$A$5:$A$1270,D$3)</f>
        <v>66571.24</v>
      </c>
      <c r="E26" s="15" t="n">
        <f aca="false">SUMIFS('NF x Centro de Custo'!$H$5:$H$1270,'NF x Centro de Custo'!$E$5:$E$1270,$A26,'NF x Centro de Custo'!$A$5:$A$1270,E$3)</f>
        <v>19096.32</v>
      </c>
      <c r="F26" s="15" t="n">
        <f aca="false">SUMIFS('NF x Centro de Custo'!$H$5:$H$1270,'NF x Centro de Custo'!$E$5:$E$1270,$A26,'NF x Centro de Custo'!$A$5:$A$1270,F$3)</f>
        <v>2052.11</v>
      </c>
      <c r="G26" s="15" t="n">
        <f aca="false">SUMIFS('NF x Centro de Custo'!$H$5:$H$1270,'NF x Centro de Custo'!$E$5:$E$1270,$A26,'NF x Centro de Custo'!$A$5:$A$1270,G$3)</f>
        <v>252</v>
      </c>
      <c r="H26" s="15" t="n">
        <f aca="false">SUMIFS('NF x Centro de Custo'!$H$5:$H$1270,'NF x Centro de Custo'!$E$5:$E$1270,$A26,'NF x Centro de Custo'!$A$5:$A$1270,H$3)</f>
        <v>27503.04</v>
      </c>
      <c r="I26" s="15" t="n">
        <f aca="false">SUM(B26:H26)</f>
        <v>272411.75</v>
      </c>
      <c r="J26" s="16" t="n">
        <f aca="false">IFERROR(I26/I$94,0)</f>
        <v>0.00823190478889426</v>
      </c>
    </row>
    <row r="27" customFormat="false" ht="15" hidden="false" customHeight="false" outlineLevel="0" collapsed="false">
      <c r="A27" s="3" t="s">
        <v>130</v>
      </c>
      <c r="B27" s="15" t="n">
        <f aca="false">SUMIFS('NF x Centro de Custo'!$H$5:$H$1270,'NF x Centro de Custo'!$E$5:$E$1270,$A27,'NF x Centro de Custo'!$A$5:$A$1270,B$3)</f>
        <v>0</v>
      </c>
      <c r="C27" s="15" t="n">
        <f aca="false">SUMIFS('NF x Centro de Custo'!$H$5:$H$1270,'NF x Centro de Custo'!$E$5:$E$1270,$A27,'NF x Centro de Custo'!$A$5:$A$1270,C$3)</f>
        <v>39825.49</v>
      </c>
      <c r="D27" s="15" t="n">
        <f aca="false">SUMIFS('NF x Centro de Custo'!$H$5:$H$1270,'NF x Centro de Custo'!$E$5:$E$1270,$A27,'NF x Centro de Custo'!$A$5:$A$1270,D$3)</f>
        <v>35333.79</v>
      </c>
      <c r="E27" s="15" t="n">
        <f aca="false">SUMIFS('NF x Centro de Custo'!$H$5:$H$1270,'NF x Centro de Custo'!$E$5:$E$1270,$A27,'NF x Centro de Custo'!$A$5:$A$1270,E$3)</f>
        <v>47396.98</v>
      </c>
      <c r="F27" s="15" t="n">
        <f aca="false">SUMIFS('NF x Centro de Custo'!$H$5:$H$1270,'NF x Centro de Custo'!$E$5:$E$1270,$A27,'NF x Centro de Custo'!$A$5:$A$1270,F$3)</f>
        <v>52122.47</v>
      </c>
      <c r="G27" s="15" t="n">
        <f aca="false">SUMIFS('NF x Centro de Custo'!$H$5:$H$1270,'NF x Centro de Custo'!$E$5:$E$1270,$A27,'NF x Centro de Custo'!$A$5:$A$1270,G$3)</f>
        <v>47498.63</v>
      </c>
      <c r="H27" s="15" t="n">
        <f aca="false">SUMIFS('NF x Centro de Custo'!$H$5:$H$1270,'NF x Centro de Custo'!$E$5:$E$1270,$A27,'NF x Centro de Custo'!$A$5:$A$1270,H$3)</f>
        <v>44745.21</v>
      </c>
      <c r="I27" s="15" t="n">
        <f aca="false">SUM(B27:H27)</f>
        <v>266922.57</v>
      </c>
      <c r="J27" s="16" t="n">
        <f aca="false">IFERROR(I27/I$94,0)</f>
        <v>0.00806602939207639</v>
      </c>
    </row>
    <row r="28" customFormat="false" ht="15" hidden="false" customHeight="false" outlineLevel="0" collapsed="false">
      <c r="A28" s="3" t="s">
        <v>131</v>
      </c>
      <c r="B28" s="15" t="n">
        <f aca="false">SUMIFS('NF x Centro de Custo'!$H$5:$H$1270,'NF x Centro de Custo'!$E$5:$E$1270,$A28,'NF x Centro de Custo'!$A$5:$A$1270,B$3)</f>
        <v>59988.1</v>
      </c>
      <c r="C28" s="15" t="n">
        <f aca="false">SUMIFS('NF x Centro de Custo'!$H$5:$H$1270,'NF x Centro de Custo'!$E$5:$E$1270,$A28,'NF x Centro de Custo'!$A$5:$A$1270,C$3)</f>
        <v>69534.68</v>
      </c>
      <c r="D28" s="15" t="n">
        <f aca="false">SUMIFS('NF x Centro de Custo'!$H$5:$H$1270,'NF x Centro de Custo'!$E$5:$E$1270,$A28,'NF x Centro de Custo'!$A$5:$A$1270,D$3)</f>
        <v>47036.13</v>
      </c>
      <c r="E28" s="15" t="n">
        <f aca="false">SUMIFS('NF x Centro de Custo'!$H$5:$H$1270,'NF x Centro de Custo'!$E$5:$E$1270,$A28,'NF x Centro de Custo'!$A$5:$A$1270,E$3)</f>
        <v>7240.49</v>
      </c>
      <c r="F28" s="15" t="n">
        <f aca="false">SUMIFS('NF x Centro de Custo'!$H$5:$H$1270,'NF x Centro de Custo'!$E$5:$E$1270,$A28,'NF x Centro de Custo'!$A$5:$A$1270,F$3)</f>
        <v>620</v>
      </c>
      <c r="G28" s="15" t="n">
        <f aca="false">SUMIFS('NF x Centro de Custo'!$H$5:$H$1270,'NF x Centro de Custo'!$E$5:$E$1270,$A28,'NF x Centro de Custo'!$A$5:$A$1270,G$3)</f>
        <v>15611.7</v>
      </c>
      <c r="H28" s="15" t="n">
        <f aca="false">SUMIFS('NF x Centro de Custo'!$H$5:$H$1270,'NF x Centro de Custo'!$E$5:$E$1270,$A28,'NF x Centro de Custo'!$A$5:$A$1270,H$3)</f>
        <v>51568.48</v>
      </c>
      <c r="I28" s="15" t="n">
        <f aca="false">SUM(B28:H28)</f>
        <v>251599.58</v>
      </c>
      <c r="J28" s="16" t="n">
        <f aca="false">IFERROR(I28/I$94,0)</f>
        <v>0.00760298991319495</v>
      </c>
    </row>
    <row r="29" customFormat="false" ht="15" hidden="false" customHeight="false" outlineLevel="0" collapsed="false">
      <c r="A29" s="3" t="s">
        <v>132</v>
      </c>
      <c r="B29" s="15" t="n">
        <f aca="false">SUMIFS('NF x Centro de Custo'!$H$5:$H$1270,'NF x Centro de Custo'!$E$5:$E$1270,$A29,'NF x Centro de Custo'!$A$5:$A$1270,B$3)</f>
        <v>42595.53</v>
      </c>
      <c r="C29" s="15" t="n">
        <f aca="false">SUMIFS('NF x Centro de Custo'!$H$5:$H$1270,'NF x Centro de Custo'!$E$5:$E$1270,$A29,'NF x Centro de Custo'!$A$5:$A$1270,C$3)</f>
        <v>46479.63</v>
      </c>
      <c r="D29" s="15" t="n">
        <f aca="false">SUMIFS('NF x Centro de Custo'!$H$5:$H$1270,'NF x Centro de Custo'!$E$5:$E$1270,$A29,'NF x Centro de Custo'!$A$5:$A$1270,D$3)</f>
        <v>45145.02</v>
      </c>
      <c r="E29" s="15" t="n">
        <f aca="false">SUMIFS('NF x Centro de Custo'!$H$5:$H$1270,'NF x Centro de Custo'!$E$5:$E$1270,$A29,'NF x Centro de Custo'!$A$5:$A$1270,E$3)</f>
        <v>35256.57</v>
      </c>
      <c r="F29" s="15" t="n">
        <f aca="false">SUMIFS('NF x Centro de Custo'!$H$5:$H$1270,'NF x Centro de Custo'!$E$5:$E$1270,$A29,'NF x Centro de Custo'!$A$5:$A$1270,F$3)</f>
        <v>10052.47</v>
      </c>
      <c r="G29" s="15" t="n">
        <f aca="false">SUMIFS('NF x Centro de Custo'!$H$5:$H$1270,'NF x Centro de Custo'!$E$5:$E$1270,$A29,'NF x Centro de Custo'!$A$5:$A$1270,G$3)</f>
        <v>19893.32</v>
      </c>
      <c r="H29" s="15" t="n">
        <f aca="false">SUMIFS('NF x Centro de Custo'!$H$5:$H$1270,'NF x Centro de Custo'!$E$5:$E$1270,$A29,'NF x Centro de Custo'!$A$5:$A$1270,H$3)</f>
        <v>0</v>
      </c>
      <c r="I29" s="15" t="n">
        <f aca="false">SUM(B29:H29)</f>
        <v>199422.54</v>
      </c>
      <c r="J29" s="16" t="n">
        <f aca="false">IFERROR(I29/I$94,0)</f>
        <v>0.0060262722222498</v>
      </c>
    </row>
    <row r="30" customFormat="false" ht="15" hidden="false" customHeight="false" outlineLevel="0" collapsed="false">
      <c r="A30" s="3" t="s">
        <v>133</v>
      </c>
      <c r="B30" s="15" t="n">
        <f aca="false">SUMIFS('NF x Centro de Custo'!$H$5:$H$1270,'NF x Centro de Custo'!$E$5:$E$1270,$A30,'NF x Centro de Custo'!$A$5:$A$1270,B$3)</f>
        <v>12870.28</v>
      </c>
      <c r="C30" s="15" t="n">
        <f aca="false">SUMIFS('NF x Centro de Custo'!$H$5:$H$1270,'NF x Centro de Custo'!$E$5:$E$1270,$A30,'NF x Centro de Custo'!$A$5:$A$1270,C$3)</f>
        <v>52941.3</v>
      </c>
      <c r="D30" s="15" t="n">
        <f aca="false">SUMIFS('NF x Centro de Custo'!$H$5:$H$1270,'NF x Centro de Custo'!$E$5:$E$1270,$A30,'NF x Centro de Custo'!$A$5:$A$1270,D$3)</f>
        <v>34022.63</v>
      </c>
      <c r="E30" s="15" t="n">
        <f aca="false">SUMIFS('NF x Centro de Custo'!$H$5:$H$1270,'NF x Centro de Custo'!$E$5:$E$1270,$A30,'NF x Centro de Custo'!$A$5:$A$1270,E$3)</f>
        <v>23897.32</v>
      </c>
      <c r="F30" s="15" t="n">
        <f aca="false">SUMIFS('NF x Centro de Custo'!$H$5:$H$1270,'NF x Centro de Custo'!$E$5:$E$1270,$A30,'NF x Centro de Custo'!$A$5:$A$1270,F$3)</f>
        <v>25542.5</v>
      </c>
      <c r="G30" s="15" t="n">
        <f aca="false">SUMIFS('NF x Centro de Custo'!$H$5:$H$1270,'NF x Centro de Custo'!$E$5:$E$1270,$A30,'NF x Centro de Custo'!$A$5:$A$1270,G$3)</f>
        <v>29120.74</v>
      </c>
      <c r="H30" s="15" t="n">
        <f aca="false">SUMIFS('NF x Centro de Custo'!$H$5:$H$1270,'NF x Centro de Custo'!$E$5:$E$1270,$A30,'NF x Centro de Custo'!$A$5:$A$1270,H$3)</f>
        <v>0</v>
      </c>
      <c r="I30" s="15" t="n">
        <f aca="false">SUM(B30:H30)</f>
        <v>178394.77</v>
      </c>
      <c r="J30" s="16" t="n">
        <f aca="false">IFERROR(I30/I$94,0)</f>
        <v>0.00539084221395256</v>
      </c>
    </row>
    <row r="31" customFormat="false" ht="15" hidden="false" customHeight="false" outlineLevel="0" collapsed="false">
      <c r="A31" s="3" t="s">
        <v>134</v>
      </c>
      <c r="B31" s="15" t="n">
        <f aca="false">SUMIFS('NF x Centro de Custo'!$H$5:$H$1270,'NF x Centro de Custo'!$E$5:$E$1270,$A31,'NF x Centro de Custo'!$A$5:$A$1270,B$3)</f>
        <v>28153.82</v>
      </c>
      <c r="C31" s="15" t="n">
        <f aca="false">SUMIFS('NF x Centro de Custo'!$H$5:$H$1270,'NF x Centro de Custo'!$E$5:$E$1270,$A31,'NF x Centro de Custo'!$A$5:$A$1270,C$3)</f>
        <v>30845.18</v>
      </c>
      <c r="D31" s="15" t="n">
        <f aca="false">SUMIFS('NF x Centro de Custo'!$H$5:$H$1270,'NF x Centro de Custo'!$E$5:$E$1270,$A31,'NF x Centro de Custo'!$A$5:$A$1270,D$3)</f>
        <v>35081.08</v>
      </c>
      <c r="E31" s="15" t="n">
        <f aca="false">SUMIFS('NF x Centro de Custo'!$H$5:$H$1270,'NF x Centro de Custo'!$E$5:$E$1270,$A31,'NF x Centro de Custo'!$A$5:$A$1270,E$3)</f>
        <v>31078.89</v>
      </c>
      <c r="F31" s="15" t="n">
        <f aca="false">SUMIFS('NF x Centro de Custo'!$H$5:$H$1270,'NF x Centro de Custo'!$E$5:$E$1270,$A31,'NF x Centro de Custo'!$A$5:$A$1270,F$3)</f>
        <v>19115.36</v>
      </c>
      <c r="G31" s="15" t="n">
        <f aca="false">SUMIFS('NF x Centro de Custo'!$H$5:$H$1270,'NF x Centro de Custo'!$E$5:$E$1270,$A31,'NF x Centro de Custo'!$A$5:$A$1270,G$3)</f>
        <v>8069.72</v>
      </c>
      <c r="H31" s="15" t="n">
        <f aca="false">SUMIFS('NF x Centro de Custo'!$H$5:$H$1270,'NF x Centro de Custo'!$E$5:$E$1270,$A31,'NF x Centro de Custo'!$A$5:$A$1270,H$3)</f>
        <v>4295.93</v>
      </c>
      <c r="I31" s="15" t="n">
        <f aca="false">SUM(B31:H31)</f>
        <v>156639.98</v>
      </c>
      <c r="J31" s="16" t="n">
        <f aca="false">IFERROR(I31/I$94,0)</f>
        <v>0.0047334426708624</v>
      </c>
    </row>
    <row r="32" customFormat="false" ht="15" hidden="false" customHeight="false" outlineLevel="0" collapsed="false">
      <c r="A32" s="3" t="s">
        <v>135</v>
      </c>
      <c r="B32" s="15" t="n">
        <f aca="false">SUMIFS('NF x Centro de Custo'!$H$5:$H$1270,'NF x Centro de Custo'!$E$5:$E$1270,$A32,'NF x Centro de Custo'!$A$5:$A$1270,B$3)</f>
        <v>0</v>
      </c>
      <c r="C32" s="15" t="n">
        <f aca="false">SUMIFS('NF x Centro de Custo'!$H$5:$H$1270,'NF x Centro de Custo'!$E$5:$E$1270,$A32,'NF x Centro de Custo'!$A$5:$A$1270,C$3)</f>
        <v>20286.2</v>
      </c>
      <c r="D32" s="15" t="n">
        <f aca="false">SUMIFS('NF x Centro de Custo'!$H$5:$H$1270,'NF x Centro de Custo'!$E$5:$E$1270,$A32,'NF x Centro de Custo'!$A$5:$A$1270,D$3)</f>
        <v>22112.71</v>
      </c>
      <c r="E32" s="15" t="n">
        <f aca="false">SUMIFS('NF x Centro de Custo'!$H$5:$H$1270,'NF x Centro de Custo'!$E$5:$E$1270,$A32,'NF x Centro de Custo'!$A$5:$A$1270,E$3)</f>
        <v>22042.26</v>
      </c>
      <c r="F32" s="15" t="n">
        <f aca="false">SUMIFS('NF x Centro de Custo'!$H$5:$H$1270,'NF x Centro de Custo'!$E$5:$E$1270,$A32,'NF x Centro de Custo'!$A$5:$A$1270,F$3)</f>
        <v>804.9</v>
      </c>
      <c r="G32" s="15" t="n">
        <f aca="false">SUMIFS('NF x Centro de Custo'!$H$5:$H$1270,'NF x Centro de Custo'!$E$5:$E$1270,$A32,'NF x Centro de Custo'!$A$5:$A$1270,G$3)</f>
        <v>23884.3</v>
      </c>
      <c r="H32" s="15" t="n">
        <f aca="false">SUMIFS('NF x Centro de Custo'!$H$5:$H$1270,'NF x Centro de Custo'!$E$5:$E$1270,$A32,'NF x Centro de Custo'!$A$5:$A$1270,H$3)</f>
        <v>45206.229192</v>
      </c>
      <c r="I32" s="15" t="n">
        <f aca="false">SUM(B32:H32)</f>
        <v>134336.599192</v>
      </c>
      <c r="J32" s="16" t="n">
        <f aca="false">IFERROR(I32/I$94,0)</f>
        <v>0.00405946547537834</v>
      </c>
    </row>
    <row r="33" customFormat="false" ht="15" hidden="false" customHeight="false" outlineLevel="0" collapsed="false">
      <c r="A33" s="3" t="s">
        <v>136</v>
      </c>
      <c r="B33" s="15" t="n">
        <f aca="false">SUMIFS('NF x Centro de Custo'!$H$5:$H$1270,'NF x Centro de Custo'!$E$5:$E$1270,$A33,'NF x Centro de Custo'!$A$5:$A$1270,B$3)</f>
        <v>29762.88</v>
      </c>
      <c r="C33" s="15" t="n">
        <f aca="false">SUMIFS('NF x Centro de Custo'!$H$5:$H$1270,'NF x Centro de Custo'!$E$5:$E$1270,$A33,'NF x Centro de Custo'!$A$5:$A$1270,C$3)</f>
        <v>28219.95</v>
      </c>
      <c r="D33" s="15" t="n">
        <f aca="false">SUMIFS('NF x Centro de Custo'!$H$5:$H$1270,'NF x Centro de Custo'!$E$5:$E$1270,$A33,'NF x Centro de Custo'!$A$5:$A$1270,D$3)</f>
        <v>21555.59</v>
      </c>
      <c r="E33" s="15" t="n">
        <f aca="false">SUMIFS('NF x Centro de Custo'!$H$5:$H$1270,'NF x Centro de Custo'!$E$5:$E$1270,$A33,'NF x Centro de Custo'!$A$5:$A$1270,E$3)</f>
        <v>9266.25</v>
      </c>
      <c r="F33" s="15" t="n">
        <f aca="false">SUMIFS('NF x Centro de Custo'!$H$5:$H$1270,'NF x Centro de Custo'!$E$5:$E$1270,$A33,'NF x Centro de Custo'!$A$5:$A$1270,F$3)</f>
        <v>14366.92</v>
      </c>
      <c r="G33" s="15" t="n">
        <f aca="false">SUMIFS('NF x Centro de Custo'!$H$5:$H$1270,'NF x Centro de Custo'!$E$5:$E$1270,$A33,'NF x Centro de Custo'!$A$5:$A$1270,G$3)</f>
        <v>13323.8</v>
      </c>
      <c r="H33" s="15" t="n">
        <f aca="false">SUMIFS('NF x Centro de Custo'!$H$5:$H$1270,'NF x Centro de Custo'!$E$5:$E$1270,$A33,'NF x Centro de Custo'!$A$5:$A$1270,H$3)</f>
        <v>3482.81</v>
      </c>
      <c r="I33" s="15" t="n">
        <f aca="false">SUM(B33:H33)</f>
        <v>119978.2</v>
      </c>
      <c r="J33" s="16" t="n">
        <f aca="false">IFERROR(I33/I$94,0)</f>
        <v>0.00362557459119481</v>
      </c>
    </row>
    <row r="34" customFormat="false" ht="15" hidden="false" customHeight="false" outlineLevel="0" collapsed="false">
      <c r="A34" s="3" t="s">
        <v>137</v>
      </c>
      <c r="B34" s="15" t="n">
        <f aca="false">SUMIFS('NF x Centro de Custo'!$H$5:$H$1270,'NF x Centro de Custo'!$E$5:$E$1270,$A34,'NF x Centro de Custo'!$A$5:$A$1270,B$3)</f>
        <v>44741.53</v>
      </c>
      <c r="C34" s="15" t="n">
        <f aca="false">SUMIFS('NF x Centro de Custo'!$H$5:$H$1270,'NF x Centro de Custo'!$E$5:$E$1270,$A34,'NF x Centro de Custo'!$A$5:$A$1270,C$3)</f>
        <v>32208.65</v>
      </c>
      <c r="D34" s="15" t="n">
        <f aca="false">SUMIFS('NF x Centro de Custo'!$H$5:$H$1270,'NF x Centro de Custo'!$E$5:$E$1270,$A34,'NF x Centro de Custo'!$A$5:$A$1270,D$3)</f>
        <v>21879.36</v>
      </c>
      <c r="E34" s="15" t="n">
        <f aca="false">SUMIFS('NF x Centro de Custo'!$H$5:$H$1270,'NF x Centro de Custo'!$E$5:$E$1270,$A34,'NF x Centro de Custo'!$A$5:$A$1270,E$3)</f>
        <v>11446.33</v>
      </c>
      <c r="F34" s="15" t="n">
        <f aca="false">SUMIFS('NF x Centro de Custo'!$H$5:$H$1270,'NF x Centro de Custo'!$E$5:$E$1270,$A34,'NF x Centro de Custo'!$A$5:$A$1270,F$3)</f>
        <v>4199.08</v>
      </c>
      <c r="G34" s="15" t="n">
        <f aca="false">SUMIFS('NF x Centro de Custo'!$H$5:$H$1270,'NF x Centro de Custo'!$E$5:$E$1270,$A34,'NF x Centro de Custo'!$A$5:$A$1270,G$3)</f>
        <v>0</v>
      </c>
      <c r="H34" s="15" t="n">
        <f aca="false">SUMIFS('NF x Centro de Custo'!$H$5:$H$1270,'NF x Centro de Custo'!$E$5:$E$1270,$A34,'NF x Centro de Custo'!$A$5:$A$1270,H$3)</f>
        <v>0</v>
      </c>
      <c r="I34" s="15" t="n">
        <f aca="false">SUM(B34:H34)</f>
        <v>114474.95</v>
      </c>
      <c r="J34" s="16" t="n">
        <f aca="false">IFERROR(I34/I$94,0)</f>
        <v>0.00345927401851584</v>
      </c>
    </row>
    <row r="35" customFormat="false" ht="15" hidden="false" customHeight="false" outlineLevel="0" collapsed="false">
      <c r="A35" s="3" t="s">
        <v>138</v>
      </c>
      <c r="B35" s="15" t="n">
        <f aca="false">SUMIFS('NF x Centro de Custo'!$H$5:$H$1270,'NF x Centro de Custo'!$E$5:$E$1270,$A35,'NF x Centro de Custo'!$A$5:$A$1270,B$3)</f>
        <v>0</v>
      </c>
      <c r="C35" s="15" t="n">
        <f aca="false">SUMIFS('NF x Centro de Custo'!$H$5:$H$1270,'NF x Centro de Custo'!$E$5:$E$1270,$A35,'NF x Centro de Custo'!$A$5:$A$1270,C$3)</f>
        <v>23948.740176</v>
      </c>
      <c r="D35" s="15" t="n">
        <f aca="false">SUMIFS('NF x Centro de Custo'!$H$5:$H$1270,'NF x Centro de Custo'!$E$5:$E$1270,$A35,'NF x Centro de Custo'!$A$5:$A$1270,D$3)</f>
        <v>16180.97</v>
      </c>
      <c r="E35" s="15" t="n">
        <f aca="false">SUMIFS('NF x Centro de Custo'!$H$5:$H$1270,'NF x Centro de Custo'!$E$5:$E$1270,$A35,'NF x Centro de Custo'!$A$5:$A$1270,E$3)</f>
        <v>16324.18</v>
      </c>
      <c r="F35" s="15" t="n">
        <f aca="false">SUMIFS('NF x Centro de Custo'!$H$5:$H$1270,'NF x Centro de Custo'!$E$5:$E$1270,$A35,'NF x Centro de Custo'!$A$5:$A$1270,F$3)</f>
        <v>16638.79</v>
      </c>
      <c r="G35" s="15" t="n">
        <f aca="false">SUMIFS('NF x Centro de Custo'!$H$5:$H$1270,'NF x Centro de Custo'!$E$5:$E$1270,$A35,'NF x Centro de Custo'!$A$5:$A$1270,G$3)</f>
        <v>16876.853984</v>
      </c>
      <c r="H35" s="15" t="n">
        <f aca="false">SUMIFS('NF x Centro de Custo'!$H$5:$H$1270,'NF x Centro de Custo'!$E$5:$E$1270,$A35,'NF x Centro de Custo'!$A$5:$A$1270,H$3)</f>
        <v>15539</v>
      </c>
      <c r="I35" s="15" t="n">
        <f aca="false">SUM(B35:H35)</f>
        <v>105508.53416</v>
      </c>
      <c r="J35" s="16" t="n">
        <f aca="false">IFERROR(I35/I$94,0)</f>
        <v>0.00318832138342387</v>
      </c>
    </row>
    <row r="36" customFormat="false" ht="15" hidden="false" customHeight="false" outlineLevel="0" collapsed="false">
      <c r="A36" s="3" t="s">
        <v>139</v>
      </c>
      <c r="B36" s="15" t="n">
        <f aca="false">SUMIFS('NF x Centro de Custo'!$H$5:$H$1270,'NF x Centro de Custo'!$E$5:$E$1270,$A36,'NF x Centro de Custo'!$A$5:$A$1270,B$3)</f>
        <v>0</v>
      </c>
      <c r="C36" s="15" t="n">
        <f aca="false">SUMIFS('NF x Centro de Custo'!$H$5:$H$1270,'NF x Centro de Custo'!$E$5:$E$1270,$A36,'NF x Centro de Custo'!$A$5:$A$1270,C$3)</f>
        <v>0</v>
      </c>
      <c r="D36" s="15" t="n">
        <f aca="false">SUMIFS('NF x Centro de Custo'!$H$5:$H$1270,'NF x Centro de Custo'!$E$5:$E$1270,$A36,'NF x Centro de Custo'!$A$5:$A$1270,D$3)</f>
        <v>0</v>
      </c>
      <c r="E36" s="15" t="n">
        <f aca="false">SUMIFS('NF x Centro de Custo'!$H$5:$H$1270,'NF x Centro de Custo'!$E$5:$E$1270,$A36,'NF x Centro de Custo'!$A$5:$A$1270,E$3)</f>
        <v>21434.41</v>
      </c>
      <c r="F36" s="15" t="n">
        <f aca="false">SUMIFS('NF x Centro de Custo'!$H$5:$H$1270,'NF x Centro de Custo'!$E$5:$E$1270,$A36,'NF x Centro de Custo'!$A$5:$A$1270,F$3)</f>
        <v>28494.09</v>
      </c>
      <c r="G36" s="15" t="n">
        <f aca="false">SUMIFS('NF x Centro de Custo'!$H$5:$H$1270,'NF x Centro de Custo'!$E$5:$E$1270,$A36,'NF x Centro de Custo'!$A$5:$A$1270,G$3)</f>
        <v>29944.726945</v>
      </c>
      <c r="H36" s="15" t="n">
        <f aca="false">SUMIFS('NF x Centro de Custo'!$H$5:$H$1270,'NF x Centro de Custo'!$E$5:$E$1270,$A36,'NF x Centro de Custo'!$A$5:$A$1270,H$3)</f>
        <v>19204.04</v>
      </c>
      <c r="I36" s="15" t="n">
        <f aca="false">SUM(B36:H36)</f>
        <v>99077.266945</v>
      </c>
      <c r="J36" s="16" t="n">
        <f aca="false">IFERROR(I36/I$94,0)</f>
        <v>0.00299397741923798</v>
      </c>
    </row>
    <row r="37" customFormat="false" ht="15" hidden="false" customHeight="false" outlineLevel="0" collapsed="false">
      <c r="A37" s="3" t="s">
        <v>140</v>
      </c>
      <c r="B37" s="15" t="n">
        <f aca="false">SUMIFS('NF x Centro de Custo'!$H$5:$H$1270,'NF x Centro de Custo'!$E$5:$E$1270,$A37,'NF x Centro de Custo'!$A$5:$A$1270,B$3)</f>
        <v>16909.21</v>
      </c>
      <c r="C37" s="15" t="n">
        <f aca="false">SUMIFS('NF x Centro de Custo'!$H$5:$H$1270,'NF x Centro de Custo'!$E$5:$E$1270,$A37,'NF x Centro de Custo'!$A$5:$A$1270,C$3)</f>
        <v>14897.38</v>
      </c>
      <c r="D37" s="15" t="n">
        <f aca="false">SUMIFS('NF x Centro de Custo'!$H$5:$H$1270,'NF x Centro de Custo'!$E$5:$E$1270,$A37,'NF x Centro de Custo'!$A$5:$A$1270,D$3)</f>
        <v>21536.38</v>
      </c>
      <c r="E37" s="15" t="n">
        <f aca="false">SUMIFS('NF x Centro de Custo'!$H$5:$H$1270,'NF x Centro de Custo'!$E$5:$E$1270,$A37,'NF x Centro de Custo'!$A$5:$A$1270,E$3)</f>
        <v>19137.09</v>
      </c>
      <c r="F37" s="15" t="n">
        <f aca="false">SUMIFS('NF x Centro de Custo'!$H$5:$H$1270,'NF x Centro de Custo'!$E$5:$E$1270,$A37,'NF x Centro de Custo'!$A$5:$A$1270,F$3)</f>
        <v>11614.52</v>
      </c>
      <c r="G37" s="15" t="n">
        <f aca="false">SUMIFS('NF x Centro de Custo'!$H$5:$H$1270,'NF x Centro de Custo'!$E$5:$E$1270,$A37,'NF x Centro de Custo'!$A$5:$A$1270,G$3)</f>
        <v>8791.6</v>
      </c>
      <c r="H37" s="15" t="n">
        <f aca="false">SUMIFS('NF x Centro de Custo'!$H$5:$H$1270,'NF x Centro de Custo'!$E$5:$E$1270,$A37,'NF x Centro de Custo'!$A$5:$A$1270,H$3)</f>
        <v>1296.02</v>
      </c>
      <c r="I37" s="15" t="n">
        <f aca="false">SUM(B37:H37)</f>
        <v>94182.2</v>
      </c>
      <c r="J37" s="16" t="n">
        <f aca="false">IFERROR(I37/I$94,0)</f>
        <v>0.00284605529390196</v>
      </c>
    </row>
    <row r="38" customFormat="false" ht="15" hidden="false" customHeight="false" outlineLevel="0" collapsed="false">
      <c r="A38" s="3" t="s">
        <v>141</v>
      </c>
      <c r="B38" s="15" t="n">
        <f aca="false">SUMIFS('NF x Centro de Custo'!$H$5:$H$1270,'NF x Centro de Custo'!$E$5:$E$1270,$A38,'NF x Centro de Custo'!$A$5:$A$1270,B$3)</f>
        <v>24848.03</v>
      </c>
      <c r="C38" s="15" t="n">
        <f aca="false">SUMIFS('NF x Centro de Custo'!$H$5:$H$1270,'NF x Centro de Custo'!$E$5:$E$1270,$A38,'NF x Centro de Custo'!$A$5:$A$1270,C$3)</f>
        <v>28973.41</v>
      </c>
      <c r="D38" s="15" t="n">
        <f aca="false">SUMIFS('NF x Centro de Custo'!$H$5:$H$1270,'NF x Centro de Custo'!$E$5:$E$1270,$A38,'NF x Centro de Custo'!$A$5:$A$1270,D$3)</f>
        <v>21865.87</v>
      </c>
      <c r="E38" s="15" t="n">
        <f aca="false">SUMIFS('NF x Centro de Custo'!$H$5:$H$1270,'NF x Centro de Custo'!$E$5:$E$1270,$A38,'NF x Centro de Custo'!$A$5:$A$1270,E$3)</f>
        <v>9095.31</v>
      </c>
      <c r="F38" s="15" t="n">
        <f aca="false">SUMIFS('NF x Centro de Custo'!$H$5:$H$1270,'NF x Centro de Custo'!$E$5:$E$1270,$A38,'NF x Centro de Custo'!$A$5:$A$1270,F$3)</f>
        <v>5113.28</v>
      </c>
      <c r="G38" s="15" t="n">
        <f aca="false">SUMIFS('NF x Centro de Custo'!$H$5:$H$1270,'NF x Centro de Custo'!$E$5:$E$1270,$A38,'NF x Centro de Custo'!$A$5:$A$1270,G$3)</f>
        <v>0</v>
      </c>
      <c r="H38" s="15" t="n">
        <f aca="false">SUMIFS('NF x Centro de Custo'!$H$5:$H$1270,'NF x Centro de Custo'!$E$5:$E$1270,$A38,'NF x Centro de Custo'!$A$5:$A$1270,H$3)</f>
        <v>0</v>
      </c>
      <c r="I38" s="15" t="n">
        <f aca="false">SUM(B38:H38)</f>
        <v>89895.9</v>
      </c>
      <c r="J38" s="16" t="n">
        <f aca="false">IFERROR(I38/I$94,0)</f>
        <v>0.00271652926025386</v>
      </c>
    </row>
    <row r="39" customFormat="false" ht="15" hidden="false" customHeight="false" outlineLevel="0" collapsed="false">
      <c r="A39" s="3" t="s">
        <v>142</v>
      </c>
      <c r="B39" s="15" t="n">
        <f aca="false">SUMIFS('NF x Centro de Custo'!$H$5:$H$1270,'NF x Centro de Custo'!$E$5:$E$1270,$A39,'NF x Centro de Custo'!$A$5:$A$1270,B$3)</f>
        <v>12240.73</v>
      </c>
      <c r="C39" s="15" t="n">
        <f aca="false">SUMIFS('NF x Centro de Custo'!$H$5:$H$1270,'NF x Centro de Custo'!$E$5:$E$1270,$A39,'NF x Centro de Custo'!$A$5:$A$1270,C$3)</f>
        <v>13854.54</v>
      </c>
      <c r="D39" s="15" t="n">
        <f aca="false">SUMIFS('NF x Centro de Custo'!$H$5:$H$1270,'NF x Centro de Custo'!$E$5:$E$1270,$A39,'NF x Centro de Custo'!$A$5:$A$1270,D$3)</f>
        <v>13694.34</v>
      </c>
      <c r="E39" s="15" t="n">
        <f aca="false">SUMIFS('NF x Centro de Custo'!$H$5:$H$1270,'NF x Centro de Custo'!$E$5:$E$1270,$A39,'NF x Centro de Custo'!$A$5:$A$1270,E$3)</f>
        <v>13845.28</v>
      </c>
      <c r="F39" s="15" t="n">
        <f aca="false">SUMIFS('NF x Centro de Custo'!$H$5:$H$1270,'NF x Centro de Custo'!$E$5:$E$1270,$A39,'NF x Centro de Custo'!$A$5:$A$1270,F$3)</f>
        <v>2429</v>
      </c>
      <c r="G39" s="15" t="n">
        <f aca="false">SUMIFS('NF x Centro de Custo'!$H$5:$H$1270,'NF x Centro de Custo'!$E$5:$E$1270,$A39,'NF x Centro de Custo'!$A$5:$A$1270,G$3)</f>
        <v>14755.29</v>
      </c>
      <c r="H39" s="15" t="n">
        <f aca="false">SUMIFS('NF x Centro de Custo'!$H$5:$H$1270,'NF x Centro de Custo'!$E$5:$E$1270,$A39,'NF x Centro de Custo'!$A$5:$A$1270,H$3)</f>
        <v>13760.517264</v>
      </c>
      <c r="I39" s="15" t="n">
        <f aca="false">SUM(B39:H39)</f>
        <v>84579.697264</v>
      </c>
      <c r="J39" s="16" t="n">
        <f aca="false">IFERROR(I39/I$94,0)</f>
        <v>0.00255588099614186</v>
      </c>
    </row>
    <row r="40" customFormat="false" ht="15" hidden="false" customHeight="false" outlineLevel="0" collapsed="false">
      <c r="A40" s="3" t="s">
        <v>143</v>
      </c>
      <c r="B40" s="15" t="n">
        <f aca="false">SUMIFS('NF x Centro de Custo'!$H$5:$H$1270,'NF x Centro de Custo'!$E$5:$E$1270,$A40,'NF x Centro de Custo'!$A$5:$A$1270,B$3)</f>
        <v>7088.72</v>
      </c>
      <c r="C40" s="15" t="n">
        <f aca="false">SUMIFS('NF x Centro de Custo'!$H$5:$H$1270,'NF x Centro de Custo'!$E$5:$E$1270,$A40,'NF x Centro de Custo'!$A$5:$A$1270,C$3)</f>
        <v>16265.41</v>
      </c>
      <c r="D40" s="15" t="n">
        <f aca="false">SUMIFS('NF x Centro de Custo'!$H$5:$H$1270,'NF x Centro de Custo'!$E$5:$E$1270,$A40,'NF x Centro de Custo'!$A$5:$A$1270,D$3)</f>
        <v>2113.61</v>
      </c>
      <c r="E40" s="15" t="n">
        <f aca="false">SUMIFS('NF x Centro de Custo'!$H$5:$H$1270,'NF x Centro de Custo'!$E$5:$E$1270,$A40,'NF x Centro de Custo'!$A$5:$A$1270,E$3)</f>
        <v>20170.47</v>
      </c>
      <c r="F40" s="15" t="n">
        <f aca="false">SUMIFS('NF x Centro de Custo'!$H$5:$H$1270,'NF x Centro de Custo'!$E$5:$E$1270,$A40,'NF x Centro de Custo'!$A$5:$A$1270,F$3)</f>
        <v>17781.315815</v>
      </c>
      <c r="G40" s="15" t="n">
        <f aca="false">SUMIFS('NF x Centro de Custo'!$H$5:$H$1270,'NF x Centro de Custo'!$E$5:$E$1270,$A40,'NF x Centro de Custo'!$A$5:$A$1270,G$3)</f>
        <v>16763.64</v>
      </c>
      <c r="H40" s="15" t="n">
        <f aca="false">SUMIFS('NF x Centro de Custo'!$H$5:$H$1270,'NF x Centro de Custo'!$E$5:$E$1270,$A40,'NF x Centro de Custo'!$A$5:$A$1270,H$3)</f>
        <v>0</v>
      </c>
      <c r="I40" s="15" t="n">
        <f aca="false">SUM(B40:H40)</f>
        <v>80183.165815</v>
      </c>
      <c r="J40" s="16" t="n">
        <f aca="false">IFERROR(I40/I$94,0)</f>
        <v>0.00242302392118255</v>
      </c>
    </row>
    <row r="41" customFormat="false" ht="15" hidden="false" customHeight="false" outlineLevel="0" collapsed="false">
      <c r="A41" s="3" t="s">
        <v>144</v>
      </c>
      <c r="B41" s="15" t="n">
        <f aca="false">SUMIFS('NF x Centro de Custo'!$H$5:$H$1270,'NF x Centro de Custo'!$E$5:$E$1270,$A41,'NF x Centro de Custo'!$A$5:$A$1270,B$3)</f>
        <v>21763.4</v>
      </c>
      <c r="C41" s="15" t="n">
        <f aca="false">SUMIFS('NF x Centro de Custo'!$H$5:$H$1270,'NF x Centro de Custo'!$E$5:$E$1270,$A41,'NF x Centro de Custo'!$A$5:$A$1270,C$3)</f>
        <v>10083.45</v>
      </c>
      <c r="D41" s="15" t="n">
        <f aca="false">SUMIFS('NF x Centro de Custo'!$H$5:$H$1270,'NF x Centro de Custo'!$E$5:$E$1270,$A41,'NF x Centro de Custo'!$A$5:$A$1270,D$3)</f>
        <v>9111.11</v>
      </c>
      <c r="E41" s="15" t="n">
        <f aca="false">SUMIFS('NF x Centro de Custo'!$H$5:$H$1270,'NF x Centro de Custo'!$E$5:$E$1270,$A41,'NF x Centro de Custo'!$A$5:$A$1270,E$3)</f>
        <v>9530.34</v>
      </c>
      <c r="F41" s="15" t="n">
        <f aca="false">SUMIFS('NF x Centro de Custo'!$H$5:$H$1270,'NF x Centro de Custo'!$E$5:$E$1270,$A41,'NF x Centro de Custo'!$A$5:$A$1270,F$3)</f>
        <v>804.9</v>
      </c>
      <c r="G41" s="15" t="n">
        <f aca="false">SUMIFS('NF x Centro de Custo'!$H$5:$H$1270,'NF x Centro de Custo'!$E$5:$E$1270,$A41,'NF x Centro de Custo'!$A$5:$A$1270,G$3)</f>
        <v>9469.33</v>
      </c>
      <c r="H41" s="15" t="n">
        <f aca="false">SUMIFS('NF x Centro de Custo'!$H$5:$H$1270,'NF x Centro de Custo'!$E$5:$E$1270,$A41,'NF x Centro de Custo'!$A$5:$A$1270,H$3)</f>
        <v>17785.2696</v>
      </c>
      <c r="I41" s="15" t="n">
        <f aca="false">SUM(B41:H41)</f>
        <v>78547.7996</v>
      </c>
      <c r="J41" s="16" t="n">
        <f aca="false">IFERROR(I41/I$94,0)</f>
        <v>0.00237360542518576</v>
      </c>
    </row>
    <row r="42" customFormat="false" ht="15" hidden="false" customHeight="false" outlineLevel="0" collapsed="false">
      <c r="A42" s="3" t="s">
        <v>145</v>
      </c>
      <c r="B42" s="15" t="n">
        <f aca="false">SUMIFS('NF x Centro de Custo'!$H$5:$H$1270,'NF x Centro de Custo'!$E$5:$E$1270,$A42,'NF x Centro de Custo'!$A$5:$A$1270,B$3)</f>
        <v>9016.79</v>
      </c>
      <c r="C42" s="15" t="n">
        <f aca="false">SUMIFS('NF x Centro de Custo'!$H$5:$H$1270,'NF x Centro de Custo'!$E$5:$E$1270,$A42,'NF x Centro de Custo'!$A$5:$A$1270,C$3)</f>
        <v>19036.8</v>
      </c>
      <c r="D42" s="15" t="n">
        <f aca="false">SUMIFS('NF x Centro de Custo'!$H$5:$H$1270,'NF x Centro de Custo'!$E$5:$E$1270,$A42,'NF x Centro de Custo'!$A$5:$A$1270,D$3)</f>
        <v>22238.57</v>
      </c>
      <c r="E42" s="15" t="n">
        <f aca="false">SUMIFS('NF x Centro de Custo'!$H$5:$H$1270,'NF x Centro de Custo'!$E$5:$E$1270,$A42,'NF x Centro de Custo'!$A$5:$A$1270,E$3)</f>
        <v>17911.04</v>
      </c>
      <c r="F42" s="15" t="n">
        <f aca="false">SUMIFS('NF x Centro de Custo'!$H$5:$H$1270,'NF x Centro de Custo'!$E$5:$E$1270,$A42,'NF x Centro de Custo'!$A$5:$A$1270,F$3)</f>
        <v>4203.65</v>
      </c>
      <c r="G42" s="15" t="n">
        <f aca="false">SUMIFS('NF x Centro de Custo'!$H$5:$H$1270,'NF x Centro de Custo'!$E$5:$E$1270,$A42,'NF x Centro de Custo'!$A$5:$A$1270,G$3)</f>
        <v>4813.27</v>
      </c>
      <c r="H42" s="15" t="n">
        <f aca="false">SUMIFS('NF x Centro de Custo'!$H$5:$H$1270,'NF x Centro de Custo'!$E$5:$E$1270,$A42,'NF x Centro de Custo'!$A$5:$A$1270,H$3)</f>
        <v>0</v>
      </c>
      <c r="I42" s="15" t="n">
        <f aca="false">SUM(B42:H42)</f>
        <v>77220.12</v>
      </c>
      <c r="J42" s="16" t="n">
        <f aca="false">IFERROR(I42/I$94,0)</f>
        <v>0.00233348479141223</v>
      </c>
    </row>
    <row r="43" customFormat="false" ht="15" hidden="false" customHeight="false" outlineLevel="0" collapsed="false">
      <c r="A43" s="3" t="s">
        <v>146</v>
      </c>
      <c r="B43" s="15" t="n">
        <f aca="false">SUMIFS('NF x Centro de Custo'!$H$5:$H$1270,'NF x Centro de Custo'!$E$5:$E$1270,$A43,'NF x Centro de Custo'!$A$5:$A$1270,B$3)</f>
        <v>18962.21</v>
      </c>
      <c r="C43" s="15" t="n">
        <f aca="false">SUMIFS('NF x Centro de Custo'!$H$5:$H$1270,'NF x Centro de Custo'!$E$5:$E$1270,$A43,'NF x Centro de Custo'!$A$5:$A$1270,C$3)</f>
        <v>18844.62</v>
      </c>
      <c r="D43" s="15" t="n">
        <f aca="false">SUMIFS('NF x Centro de Custo'!$H$5:$H$1270,'NF x Centro de Custo'!$E$5:$E$1270,$A43,'NF x Centro de Custo'!$A$5:$A$1270,D$3)</f>
        <v>7851.75</v>
      </c>
      <c r="E43" s="15" t="n">
        <f aca="false">SUMIFS('NF x Centro de Custo'!$H$5:$H$1270,'NF x Centro de Custo'!$E$5:$E$1270,$A43,'NF x Centro de Custo'!$A$5:$A$1270,E$3)</f>
        <v>281.12</v>
      </c>
      <c r="F43" s="15" t="n">
        <f aca="false">SUMIFS('NF x Centro de Custo'!$H$5:$H$1270,'NF x Centro de Custo'!$E$5:$E$1270,$A43,'NF x Centro de Custo'!$A$5:$A$1270,F$3)</f>
        <v>8100.41</v>
      </c>
      <c r="G43" s="15" t="n">
        <f aca="false">SUMIFS('NF x Centro de Custo'!$H$5:$H$1270,'NF x Centro de Custo'!$E$5:$E$1270,$A43,'NF x Centro de Custo'!$A$5:$A$1270,G$3)</f>
        <v>10257.77</v>
      </c>
      <c r="H43" s="15" t="n">
        <f aca="false">SUMIFS('NF x Centro de Custo'!$H$5:$H$1270,'NF x Centro de Custo'!$E$5:$E$1270,$A43,'NF x Centro de Custo'!$A$5:$A$1270,H$3)</f>
        <v>10286.24</v>
      </c>
      <c r="I43" s="15" t="n">
        <f aca="false">SUM(B43:H43)</f>
        <v>74584.12</v>
      </c>
      <c r="J43" s="16" t="n">
        <f aca="false">IFERROR(I43/I$94,0)</f>
        <v>0.00225382853200519</v>
      </c>
    </row>
    <row r="44" customFormat="false" ht="15" hidden="false" customHeight="false" outlineLevel="0" collapsed="false">
      <c r="A44" s="3" t="s">
        <v>147</v>
      </c>
      <c r="B44" s="15" t="n">
        <f aca="false">SUMIFS('NF x Centro de Custo'!$H$5:$H$1270,'NF x Centro de Custo'!$E$5:$E$1270,$A44,'NF x Centro de Custo'!$A$5:$A$1270,B$3)</f>
        <v>0</v>
      </c>
      <c r="C44" s="15" t="n">
        <f aca="false">SUMIFS('NF x Centro de Custo'!$H$5:$H$1270,'NF x Centro de Custo'!$E$5:$E$1270,$A44,'NF x Centro de Custo'!$A$5:$A$1270,C$3)</f>
        <v>12745.17</v>
      </c>
      <c r="D44" s="15" t="n">
        <f aca="false">SUMIFS('NF x Centro de Custo'!$H$5:$H$1270,'NF x Centro de Custo'!$E$5:$E$1270,$A44,'NF x Centro de Custo'!$A$5:$A$1270,D$3)</f>
        <v>12065.07</v>
      </c>
      <c r="E44" s="15" t="n">
        <f aca="false">SUMIFS('NF x Centro de Custo'!$H$5:$H$1270,'NF x Centro de Custo'!$E$5:$E$1270,$A44,'NF x Centro de Custo'!$A$5:$A$1270,E$3)</f>
        <v>11957.75</v>
      </c>
      <c r="F44" s="15" t="n">
        <f aca="false">SUMIFS('NF x Centro de Custo'!$H$5:$H$1270,'NF x Centro de Custo'!$E$5:$E$1270,$A44,'NF x Centro de Custo'!$A$5:$A$1270,F$3)</f>
        <v>652.9</v>
      </c>
      <c r="G44" s="15" t="n">
        <f aca="false">SUMIFS('NF x Centro de Custo'!$H$5:$H$1270,'NF x Centro de Custo'!$E$5:$E$1270,$A44,'NF x Centro de Custo'!$A$5:$A$1270,G$3)</f>
        <v>12011.78</v>
      </c>
      <c r="H44" s="15" t="n">
        <f aca="false">SUMIFS('NF x Centro de Custo'!$H$5:$H$1270,'NF x Centro de Custo'!$E$5:$E$1270,$A44,'NF x Centro de Custo'!$A$5:$A$1270,H$3)</f>
        <v>21935.870272</v>
      </c>
      <c r="I44" s="15" t="n">
        <f aca="false">SUM(B44:H44)</f>
        <v>71368.540272</v>
      </c>
      <c r="J44" s="16" t="n">
        <f aca="false">IFERROR(I44/I$94,0)</f>
        <v>0.00215665817807591</v>
      </c>
    </row>
    <row r="45" customFormat="false" ht="15" hidden="false" customHeight="false" outlineLevel="0" collapsed="false">
      <c r="A45" s="3" t="s">
        <v>148</v>
      </c>
      <c r="B45" s="15" t="n">
        <f aca="false">SUMIFS('NF x Centro de Custo'!$H$5:$H$1270,'NF x Centro de Custo'!$E$5:$E$1270,$A45,'NF x Centro de Custo'!$A$5:$A$1270,B$3)</f>
        <v>9885.51</v>
      </c>
      <c r="C45" s="15" t="n">
        <f aca="false">SUMIFS('NF x Centro de Custo'!$H$5:$H$1270,'NF x Centro de Custo'!$E$5:$E$1270,$A45,'NF x Centro de Custo'!$A$5:$A$1270,C$3)</f>
        <v>9299.32</v>
      </c>
      <c r="D45" s="15" t="n">
        <f aca="false">SUMIFS('NF x Centro de Custo'!$H$5:$H$1270,'NF x Centro de Custo'!$E$5:$E$1270,$A45,'NF x Centro de Custo'!$A$5:$A$1270,D$3)</f>
        <v>9194.4</v>
      </c>
      <c r="E45" s="15" t="n">
        <f aca="false">SUMIFS('NF x Centro de Custo'!$H$5:$H$1270,'NF x Centro de Custo'!$E$5:$E$1270,$A45,'NF x Centro de Custo'!$A$5:$A$1270,E$3)</f>
        <v>9294.52</v>
      </c>
      <c r="F45" s="15" t="n">
        <f aca="false">SUMIFS('NF x Centro de Custo'!$H$5:$H$1270,'NF x Centro de Custo'!$E$5:$E$1270,$A45,'NF x Centro de Custo'!$A$5:$A$1270,F$3)</f>
        <v>804.9</v>
      </c>
      <c r="G45" s="15" t="n">
        <f aca="false">SUMIFS('NF x Centro de Custo'!$H$5:$H$1270,'NF x Centro de Custo'!$E$5:$E$1270,$A45,'NF x Centro de Custo'!$A$5:$A$1270,G$3)</f>
        <v>17701.61</v>
      </c>
      <c r="H45" s="15" t="n">
        <f aca="false">SUMIFS('NF x Centro de Custo'!$H$5:$H$1270,'NF x Centro de Custo'!$E$5:$E$1270,$A45,'NF x Centro de Custo'!$A$5:$A$1270,H$3)</f>
        <v>3242.903976</v>
      </c>
      <c r="I45" s="15" t="n">
        <f aca="false">SUM(B45:H45)</f>
        <v>59423.163976</v>
      </c>
      <c r="J45" s="16" t="n">
        <f aca="false">IFERROR(I45/I$94,0)</f>
        <v>0.00179568549486314</v>
      </c>
    </row>
    <row r="46" customFormat="false" ht="15" hidden="false" customHeight="false" outlineLevel="0" collapsed="false">
      <c r="A46" s="3" t="s">
        <v>149</v>
      </c>
      <c r="B46" s="15" t="n">
        <f aca="false">SUMIFS('NF x Centro de Custo'!$H$5:$H$1270,'NF x Centro de Custo'!$E$5:$E$1270,$A46,'NF x Centro de Custo'!$A$5:$A$1270,B$3)</f>
        <v>0</v>
      </c>
      <c r="C46" s="15" t="n">
        <f aca="false">SUMIFS('NF x Centro de Custo'!$H$5:$H$1270,'NF x Centro de Custo'!$E$5:$E$1270,$A46,'NF x Centro de Custo'!$A$5:$A$1270,C$3)</f>
        <v>0</v>
      </c>
      <c r="D46" s="15" t="n">
        <f aca="false">SUMIFS('NF x Centro de Custo'!$H$5:$H$1270,'NF x Centro de Custo'!$E$5:$E$1270,$A46,'NF x Centro de Custo'!$A$5:$A$1270,D$3)</f>
        <v>0</v>
      </c>
      <c r="E46" s="15" t="n">
        <f aca="false">SUMIFS('NF x Centro de Custo'!$H$5:$H$1270,'NF x Centro de Custo'!$E$5:$E$1270,$A46,'NF x Centro de Custo'!$A$5:$A$1270,E$3)</f>
        <v>240.3</v>
      </c>
      <c r="F46" s="15" t="n">
        <f aca="false">SUMIFS('NF x Centro de Custo'!$H$5:$H$1270,'NF x Centro de Custo'!$E$5:$E$1270,$A46,'NF x Centro de Custo'!$A$5:$A$1270,F$3)</f>
        <v>36170.02</v>
      </c>
      <c r="G46" s="15" t="n">
        <f aca="false">SUMIFS('NF x Centro de Custo'!$H$5:$H$1270,'NF x Centro de Custo'!$E$5:$E$1270,$A46,'NF x Centro de Custo'!$A$5:$A$1270,G$3)</f>
        <v>22906.13</v>
      </c>
      <c r="H46" s="15" t="n">
        <f aca="false">SUMIFS('NF x Centro de Custo'!$H$5:$H$1270,'NF x Centro de Custo'!$E$5:$E$1270,$A46,'NF x Centro de Custo'!$A$5:$A$1270,H$3)</f>
        <v>0</v>
      </c>
      <c r="I46" s="15" t="n">
        <f aca="false">SUM(B46:H46)</f>
        <v>59316.45</v>
      </c>
      <c r="J46" s="16" t="n">
        <f aca="false">IFERROR(I46/I$94,0)</f>
        <v>0.0017924607467013</v>
      </c>
    </row>
    <row r="47" customFormat="false" ht="15" hidden="false" customHeight="false" outlineLevel="0" collapsed="false">
      <c r="A47" s="3" t="s">
        <v>150</v>
      </c>
      <c r="B47" s="15" t="n">
        <f aca="false">SUMIFS('NF x Centro de Custo'!$H$5:$H$1270,'NF x Centro de Custo'!$E$5:$E$1270,$A47,'NF x Centro de Custo'!$A$5:$A$1270,B$3)</f>
        <v>5745.35</v>
      </c>
      <c r="C47" s="15" t="n">
        <f aca="false">SUMIFS('NF x Centro de Custo'!$H$5:$H$1270,'NF x Centro de Custo'!$E$5:$E$1270,$A47,'NF x Centro de Custo'!$A$5:$A$1270,C$3)</f>
        <v>6981.76</v>
      </c>
      <c r="D47" s="15" t="n">
        <f aca="false">SUMIFS('NF x Centro de Custo'!$H$5:$H$1270,'NF x Centro de Custo'!$E$5:$E$1270,$A47,'NF x Centro de Custo'!$A$5:$A$1270,D$3)</f>
        <v>6727.51</v>
      </c>
      <c r="E47" s="15" t="n">
        <f aca="false">SUMIFS('NF x Centro de Custo'!$H$5:$H$1270,'NF x Centro de Custo'!$E$5:$E$1270,$A47,'NF x Centro de Custo'!$A$5:$A$1270,E$3)</f>
        <v>198.4</v>
      </c>
      <c r="F47" s="15" t="n">
        <f aca="false">SUMIFS('NF x Centro de Custo'!$H$5:$H$1270,'NF x Centro de Custo'!$E$5:$E$1270,$A47,'NF x Centro de Custo'!$A$5:$A$1270,F$3)</f>
        <v>0</v>
      </c>
      <c r="G47" s="15" t="n">
        <f aca="false">SUMIFS('NF x Centro de Custo'!$H$5:$H$1270,'NF x Centro de Custo'!$E$5:$E$1270,$A47,'NF x Centro de Custo'!$A$5:$A$1270,G$3)</f>
        <v>4256.1</v>
      </c>
      <c r="H47" s="15" t="n">
        <f aca="false">SUMIFS('NF x Centro de Custo'!$H$5:$H$1270,'NF x Centro de Custo'!$E$5:$E$1270,$A47,'NF x Centro de Custo'!$A$5:$A$1270,H$3)</f>
        <v>34832.82</v>
      </c>
      <c r="I47" s="15" t="n">
        <f aca="false">SUM(B47:H47)</f>
        <v>58741.94</v>
      </c>
      <c r="J47" s="16" t="n">
        <f aca="false">IFERROR(I47/I$94,0)</f>
        <v>0.00177509985231892</v>
      </c>
    </row>
    <row r="48" customFormat="false" ht="15" hidden="false" customHeight="false" outlineLevel="0" collapsed="false">
      <c r="A48" s="3" t="s">
        <v>151</v>
      </c>
      <c r="B48" s="15" t="n">
        <f aca="false">SUMIFS('NF x Centro de Custo'!$H$5:$H$1270,'NF x Centro de Custo'!$E$5:$E$1270,$A48,'NF x Centro de Custo'!$A$5:$A$1270,B$3)</f>
        <v>7761.83</v>
      </c>
      <c r="C48" s="15" t="n">
        <f aca="false">SUMIFS('NF x Centro de Custo'!$H$5:$H$1270,'NF x Centro de Custo'!$E$5:$E$1270,$A48,'NF x Centro de Custo'!$A$5:$A$1270,C$3)</f>
        <v>9223.21</v>
      </c>
      <c r="D48" s="15" t="n">
        <f aca="false">SUMIFS('NF x Centro de Custo'!$H$5:$H$1270,'NF x Centro de Custo'!$E$5:$E$1270,$A48,'NF x Centro de Custo'!$A$5:$A$1270,D$3)</f>
        <v>9204.2</v>
      </c>
      <c r="E48" s="15" t="n">
        <f aca="false">SUMIFS('NF x Centro de Custo'!$H$5:$H$1270,'NF x Centro de Custo'!$E$5:$E$1270,$A48,'NF x Centro de Custo'!$A$5:$A$1270,E$3)</f>
        <v>8596.23</v>
      </c>
      <c r="F48" s="15" t="n">
        <f aca="false">SUMIFS('NF x Centro de Custo'!$H$5:$H$1270,'NF x Centro de Custo'!$E$5:$E$1270,$A48,'NF x Centro de Custo'!$A$5:$A$1270,F$3)</f>
        <v>7672.3</v>
      </c>
      <c r="G48" s="15" t="n">
        <f aca="false">SUMIFS('NF x Centro de Custo'!$H$5:$H$1270,'NF x Centro de Custo'!$E$5:$E$1270,$A48,'NF x Centro de Custo'!$A$5:$A$1270,G$3)</f>
        <v>260.4</v>
      </c>
      <c r="H48" s="15" t="n">
        <f aca="false">SUMIFS('NF x Centro de Custo'!$H$5:$H$1270,'NF x Centro de Custo'!$E$5:$E$1270,$A48,'NF x Centro de Custo'!$A$5:$A$1270,H$3)</f>
        <v>15796.56</v>
      </c>
      <c r="I48" s="15" t="n">
        <f aca="false">SUM(B48:H48)</f>
        <v>58514.73</v>
      </c>
      <c r="J48" s="16" t="n">
        <f aca="false">IFERROR(I48/I$94,0)</f>
        <v>0.00176823388164371</v>
      </c>
    </row>
    <row r="49" customFormat="false" ht="15" hidden="false" customHeight="false" outlineLevel="0" collapsed="false">
      <c r="A49" s="3" t="s">
        <v>152</v>
      </c>
      <c r="B49" s="15" t="n">
        <f aca="false">SUMIFS('NF x Centro de Custo'!$H$5:$H$1270,'NF x Centro de Custo'!$E$5:$E$1270,$A49,'NF x Centro de Custo'!$A$5:$A$1270,B$3)</f>
        <v>14597.89</v>
      </c>
      <c r="C49" s="15" t="n">
        <f aca="false">SUMIFS('NF x Centro de Custo'!$H$5:$H$1270,'NF x Centro de Custo'!$E$5:$E$1270,$A49,'NF x Centro de Custo'!$A$5:$A$1270,C$3)</f>
        <v>25225.41</v>
      </c>
      <c r="D49" s="15" t="n">
        <f aca="false">SUMIFS('NF x Centro de Custo'!$H$5:$H$1270,'NF x Centro de Custo'!$E$5:$E$1270,$A49,'NF x Centro de Custo'!$A$5:$A$1270,D$3)</f>
        <v>4098.45</v>
      </c>
      <c r="E49" s="15" t="n">
        <f aca="false">SUMIFS('NF x Centro de Custo'!$H$5:$H$1270,'NF x Centro de Custo'!$E$5:$E$1270,$A49,'NF x Centro de Custo'!$A$5:$A$1270,E$3)</f>
        <v>4634.44</v>
      </c>
      <c r="F49" s="15" t="n">
        <f aca="false">SUMIFS('NF x Centro de Custo'!$H$5:$H$1270,'NF x Centro de Custo'!$E$5:$E$1270,$A49,'NF x Centro de Custo'!$A$5:$A$1270,F$3)</f>
        <v>4585.95</v>
      </c>
      <c r="G49" s="15" t="n">
        <f aca="false">SUMIFS('NF x Centro de Custo'!$H$5:$H$1270,'NF x Centro de Custo'!$E$5:$E$1270,$A49,'NF x Centro de Custo'!$A$5:$A$1270,G$3)</f>
        <v>4867.23</v>
      </c>
      <c r="H49" s="15" t="n">
        <f aca="false">SUMIFS('NF x Centro de Custo'!$H$5:$H$1270,'NF x Centro de Custo'!$E$5:$E$1270,$A49,'NF x Centro de Custo'!$A$5:$A$1270,H$3)</f>
        <v>486.22</v>
      </c>
      <c r="I49" s="15" t="n">
        <f aca="false">SUM(B49:H49)</f>
        <v>58495.59</v>
      </c>
      <c r="J49" s="16" t="n">
        <f aca="false">IFERROR(I49/I$94,0)</f>
        <v>0.00176765549742328</v>
      </c>
    </row>
    <row r="50" customFormat="false" ht="15" hidden="false" customHeight="false" outlineLevel="0" collapsed="false">
      <c r="A50" s="3" t="s">
        <v>153</v>
      </c>
      <c r="B50" s="15" t="n">
        <f aca="false">SUMIFS('NF x Centro de Custo'!$H$5:$H$1270,'NF x Centro de Custo'!$E$5:$E$1270,$A50,'NF x Centro de Custo'!$A$5:$A$1270,B$3)</f>
        <v>10841.98</v>
      </c>
      <c r="C50" s="15" t="n">
        <f aca="false">SUMIFS('NF x Centro de Custo'!$H$5:$H$1270,'NF x Centro de Custo'!$E$5:$E$1270,$A50,'NF x Centro de Custo'!$A$5:$A$1270,C$3)</f>
        <v>23478.44</v>
      </c>
      <c r="D50" s="15" t="n">
        <f aca="false">SUMIFS('NF x Centro de Custo'!$H$5:$H$1270,'NF x Centro de Custo'!$E$5:$E$1270,$A50,'NF x Centro de Custo'!$A$5:$A$1270,D$3)</f>
        <v>20262.12</v>
      </c>
      <c r="E50" s="15" t="n">
        <f aca="false">SUMIFS('NF x Centro de Custo'!$H$5:$H$1270,'NF x Centro de Custo'!$E$5:$E$1270,$A50,'NF x Centro de Custo'!$A$5:$A$1270,E$3)</f>
        <v>924.38</v>
      </c>
      <c r="F50" s="15" t="n">
        <f aca="false">SUMIFS('NF x Centro de Custo'!$H$5:$H$1270,'NF x Centro de Custo'!$E$5:$E$1270,$A50,'NF x Centro de Custo'!$A$5:$A$1270,F$3)</f>
        <v>2498.19</v>
      </c>
      <c r="G50" s="15" t="n">
        <f aca="false">SUMIFS('NF x Centro de Custo'!$H$5:$H$1270,'NF x Centro de Custo'!$E$5:$E$1270,$A50,'NF x Centro de Custo'!$A$5:$A$1270,G$3)</f>
        <v>0</v>
      </c>
      <c r="H50" s="15" t="n">
        <f aca="false">SUMIFS('NF x Centro de Custo'!$H$5:$H$1270,'NF x Centro de Custo'!$E$5:$E$1270,$A50,'NF x Centro de Custo'!$A$5:$A$1270,H$3)</f>
        <v>0</v>
      </c>
      <c r="I50" s="15" t="n">
        <f aca="false">SUM(B50:H50)</f>
        <v>58005.11</v>
      </c>
      <c r="J50" s="16" t="n">
        <f aca="false">IFERROR(I50/I$94,0)</f>
        <v>0.00175283387294909</v>
      </c>
    </row>
    <row r="51" customFormat="false" ht="15" hidden="false" customHeight="false" outlineLevel="0" collapsed="false">
      <c r="A51" s="3" t="s">
        <v>154</v>
      </c>
      <c r="B51" s="15" t="n">
        <f aca="false">SUMIFS('NF x Centro de Custo'!$H$5:$H$1270,'NF x Centro de Custo'!$E$5:$E$1270,$A51,'NF x Centro de Custo'!$A$5:$A$1270,B$3)</f>
        <v>18653.48</v>
      </c>
      <c r="C51" s="15" t="n">
        <f aca="false">SUMIFS('NF x Centro de Custo'!$H$5:$H$1270,'NF x Centro de Custo'!$E$5:$E$1270,$A51,'NF x Centro de Custo'!$A$5:$A$1270,C$3)</f>
        <v>29479.349048</v>
      </c>
      <c r="D51" s="15" t="n">
        <f aca="false">SUMIFS('NF x Centro de Custo'!$H$5:$H$1270,'NF x Centro de Custo'!$E$5:$E$1270,$A51,'NF x Centro de Custo'!$A$5:$A$1270,D$3)</f>
        <v>9110.56</v>
      </c>
      <c r="E51" s="15" t="n">
        <f aca="false">SUMIFS('NF x Centro de Custo'!$H$5:$H$1270,'NF x Centro de Custo'!$E$5:$E$1270,$A51,'NF x Centro de Custo'!$A$5:$A$1270,E$3)</f>
        <v>0</v>
      </c>
      <c r="F51" s="15" t="n">
        <f aca="false">SUMIFS('NF x Centro de Custo'!$H$5:$H$1270,'NF x Centro de Custo'!$E$5:$E$1270,$A51,'NF x Centro de Custo'!$A$5:$A$1270,F$3)</f>
        <v>0</v>
      </c>
      <c r="G51" s="15" t="n">
        <f aca="false">SUMIFS('NF x Centro de Custo'!$H$5:$H$1270,'NF x Centro de Custo'!$E$5:$E$1270,$A51,'NF x Centro de Custo'!$A$5:$A$1270,G$3)</f>
        <v>0</v>
      </c>
      <c r="H51" s="15" t="n">
        <f aca="false">SUMIFS('NF x Centro de Custo'!$H$5:$H$1270,'NF x Centro de Custo'!$E$5:$E$1270,$A51,'NF x Centro de Custo'!$A$5:$A$1270,H$3)</f>
        <v>0</v>
      </c>
      <c r="I51" s="15" t="n">
        <f aca="false">SUM(B51:H51)</f>
        <v>57243.389048</v>
      </c>
      <c r="J51" s="16" t="n">
        <f aca="false">IFERROR(I51/I$94,0)</f>
        <v>0.00172981572357569</v>
      </c>
    </row>
    <row r="52" customFormat="false" ht="15" hidden="false" customHeight="false" outlineLevel="0" collapsed="false">
      <c r="A52" s="3" t="s">
        <v>155</v>
      </c>
      <c r="B52" s="15" t="n">
        <f aca="false">SUMIFS('NF x Centro de Custo'!$H$5:$H$1270,'NF x Centro de Custo'!$E$5:$E$1270,$A52,'NF x Centro de Custo'!$A$5:$A$1270,B$3)</f>
        <v>16897.34</v>
      </c>
      <c r="C52" s="15" t="n">
        <f aca="false">SUMIFS('NF x Centro de Custo'!$H$5:$H$1270,'NF x Centro de Custo'!$E$5:$E$1270,$A52,'NF x Centro de Custo'!$A$5:$A$1270,C$3)</f>
        <v>19081.96</v>
      </c>
      <c r="D52" s="15" t="n">
        <f aca="false">SUMIFS('NF x Centro de Custo'!$H$5:$H$1270,'NF x Centro de Custo'!$E$5:$E$1270,$A52,'NF x Centro de Custo'!$A$5:$A$1270,D$3)</f>
        <v>17924.3</v>
      </c>
      <c r="E52" s="15" t="n">
        <f aca="false">SUMIFS('NF x Centro de Custo'!$H$5:$H$1270,'NF x Centro de Custo'!$E$5:$E$1270,$A52,'NF x Centro de Custo'!$A$5:$A$1270,E$3)</f>
        <v>2495.93</v>
      </c>
      <c r="F52" s="15" t="n">
        <f aca="false">SUMIFS('NF x Centro de Custo'!$H$5:$H$1270,'NF x Centro de Custo'!$E$5:$E$1270,$A52,'NF x Centro de Custo'!$A$5:$A$1270,F$3)</f>
        <v>504.52</v>
      </c>
      <c r="G52" s="15" t="n">
        <f aca="false">SUMIFS('NF x Centro de Custo'!$H$5:$H$1270,'NF x Centro de Custo'!$E$5:$E$1270,$A52,'NF x Centro de Custo'!$A$5:$A$1270,G$3)</f>
        <v>0</v>
      </c>
      <c r="H52" s="15" t="n">
        <f aca="false">SUMIFS('NF x Centro de Custo'!$H$5:$H$1270,'NF x Centro de Custo'!$E$5:$E$1270,$A52,'NF x Centro de Custo'!$A$5:$A$1270,H$3)</f>
        <v>0</v>
      </c>
      <c r="I52" s="15" t="n">
        <f aca="false">SUM(B52:H52)</f>
        <v>56904.05</v>
      </c>
      <c r="J52" s="16" t="n">
        <f aca="false">IFERROR(I52/I$94,0)</f>
        <v>0.00171956136878266</v>
      </c>
    </row>
    <row r="53" customFormat="false" ht="15" hidden="false" customHeight="false" outlineLevel="0" collapsed="false">
      <c r="A53" s="3" t="s">
        <v>156</v>
      </c>
      <c r="B53" s="15" t="n">
        <f aca="false">SUMIFS('NF x Centro de Custo'!$H$5:$H$1270,'NF x Centro de Custo'!$E$5:$E$1270,$A53,'NF x Centro de Custo'!$A$5:$A$1270,B$3)</f>
        <v>0</v>
      </c>
      <c r="C53" s="15" t="n">
        <f aca="false">SUMIFS('NF x Centro de Custo'!$H$5:$H$1270,'NF x Centro de Custo'!$E$5:$E$1270,$A53,'NF x Centro de Custo'!$A$5:$A$1270,C$3)</f>
        <v>0</v>
      </c>
      <c r="D53" s="15" t="n">
        <f aca="false">SUMIFS('NF x Centro de Custo'!$H$5:$H$1270,'NF x Centro de Custo'!$E$5:$E$1270,$A53,'NF x Centro de Custo'!$A$5:$A$1270,D$3)</f>
        <v>0</v>
      </c>
      <c r="E53" s="15" t="n">
        <f aca="false">SUMIFS('NF x Centro de Custo'!$H$5:$H$1270,'NF x Centro de Custo'!$E$5:$E$1270,$A53,'NF x Centro de Custo'!$A$5:$A$1270,E$3)</f>
        <v>0</v>
      </c>
      <c r="F53" s="15" t="n">
        <f aca="false">SUMIFS('NF x Centro de Custo'!$H$5:$H$1270,'NF x Centro de Custo'!$E$5:$E$1270,$A53,'NF x Centro de Custo'!$A$5:$A$1270,F$3)</f>
        <v>1201.5</v>
      </c>
      <c r="G53" s="15" t="n">
        <f aca="false">SUMIFS('NF x Centro de Custo'!$H$5:$H$1270,'NF x Centro de Custo'!$E$5:$E$1270,$A53,'NF x Centro de Custo'!$A$5:$A$1270,G$3)</f>
        <v>32806.73</v>
      </c>
      <c r="H53" s="15" t="n">
        <f aca="false">SUMIFS('NF x Centro de Custo'!$H$5:$H$1270,'NF x Centro de Custo'!$E$5:$E$1270,$A53,'NF x Centro de Custo'!$A$5:$A$1270,H$3)</f>
        <v>21870.506952</v>
      </c>
      <c r="I53" s="15" t="n">
        <f aca="false">SUM(B53:H53)</f>
        <v>55878.736952</v>
      </c>
      <c r="J53" s="16" t="n">
        <f aca="false">IFERROR(I53/I$94,0)</f>
        <v>0.00168857783231645</v>
      </c>
    </row>
    <row r="54" customFormat="false" ht="15" hidden="false" customHeight="false" outlineLevel="0" collapsed="false">
      <c r="A54" s="3" t="s">
        <v>157</v>
      </c>
      <c r="B54" s="15" t="n">
        <f aca="false">SUMIFS('NF x Centro de Custo'!$H$5:$H$1270,'NF x Centro de Custo'!$E$5:$E$1270,$A54,'NF x Centro de Custo'!$A$5:$A$1270,B$3)</f>
        <v>5578.73</v>
      </c>
      <c r="C54" s="15" t="n">
        <f aca="false">SUMIFS('NF x Centro de Custo'!$H$5:$H$1270,'NF x Centro de Custo'!$E$5:$E$1270,$A54,'NF x Centro de Custo'!$A$5:$A$1270,C$3)</f>
        <v>9469</v>
      </c>
      <c r="D54" s="15" t="n">
        <f aca="false">SUMIFS('NF x Centro de Custo'!$H$5:$H$1270,'NF x Centro de Custo'!$E$5:$E$1270,$A54,'NF x Centro de Custo'!$A$5:$A$1270,D$3)</f>
        <v>10377.76</v>
      </c>
      <c r="E54" s="15" t="n">
        <f aca="false">SUMIFS('NF x Centro de Custo'!$H$5:$H$1270,'NF x Centro de Custo'!$E$5:$E$1270,$A54,'NF x Centro de Custo'!$A$5:$A$1270,E$3)</f>
        <v>8210.98</v>
      </c>
      <c r="F54" s="15" t="n">
        <f aca="false">SUMIFS('NF x Centro de Custo'!$H$5:$H$1270,'NF x Centro de Custo'!$E$5:$E$1270,$A54,'NF x Centro de Custo'!$A$5:$A$1270,F$3)</f>
        <v>7073.58</v>
      </c>
      <c r="G54" s="15" t="n">
        <f aca="false">SUMIFS('NF x Centro de Custo'!$H$5:$H$1270,'NF x Centro de Custo'!$E$5:$E$1270,$A54,'NF x Centro de Custo'!$A$5:$A$1270,G$3)</f>
        <v>8581.209125</v>
      </c>
      <c r="H54" s="15" t="n">
        <f aca="false">SUMIFS('NF x Centro de Custo'!$H$5:$H$1270,'NF x Centro de Custo'!$E$5:$E$1270,$A54,'NF x Centro de Custo'!$A$5:$A$1270,H$3)</f>
        <v>5928.88</v>
      </c>
      <c r="I54" s="15" t="n">
        <f aca="false">SUM(B54:H54)</f>
        <v>55220.139125</v>
      </c>
      <c r="J54" s="16" t="n">
        <f aca="false">IFERROR(I54/I$94,0)</f>
        <v>0.00166867592057426</v>
      </c>
    </row>
    <row r="55" customFormat="false" ht="15" hidden="false" customHeight="false" outlineLevel="0" collapsed="false">
      <c r="A55" s="3" t="s">
        <v>158</v>
      </c>
      <c r="B55" s="15" t="n">
        <f aca="false">SUMIFS('NF x Centro de Custo'!$H$5:$H$1270,'NF x Centro de Custo'!$E$5:$E$1270,$A55,'NF x Centro de Custo'!$A$5:$A$1270,B$3)</f>
        <v>0</v>
      </c>
      <c r="C55" s="15" t="n">
        <f aca="false">SUMIFS('NF x Centro de Custo'!$H$5:$H$1270,'NF x Centro de Custo'!$E$5:$E$1270,$A55,'NF x Centro de Custo'!$A$5:$A$1270,C$3)</f>
        <v>15015.6</v>
      </c>
      <c r="D55" s="15" t="n">
        <f aca="false">SUMIFS('NF x Centro de Custo'!$H$5:$H$1270,'NF x Centro de Custo'!$E$5:$E$1270,$A55,'NF x Centro de Custo'!$A$5:$A$1270,D$3)</f>
        <v>21804.1</v>
      </c>
      <c r="E55" s="15" t="n">
        <f aca="false">SUMIFS('NF x Centro de Custo'!$H$5:$H$1270,'NF x Centro de Custo'!$E$5:$E$1270,$A55,'NF x Centro de Custo'!$A$5:$A$1270,E$3)</f>
        <v>17855.5</v>
      </c>
      <c r="F55" s="15" t="n">
        <f aca="false">SUMIFS('NF x Centro de Custo'!$H$5:$H$1270,'NF x Centro de Custo'!$E$5:$E$1270,$A55,'NF x Centro de Custo'!$A$5:$A$1270,F$3)</f>
        <v>0</v>
      </c>
      <c r="G55" s="15" t="n">
        <f aca="false">SUMIFS('NF x Centro de Custo'!$H$5:$H$1270,'NF x Centro de Custo'!$E$5:$E$1270,$A55,'NF x Centro de Custo'!$A$5:$A$1270,G$3)</f>
        <v>0</v>
      </c>
      <c r="H55" s="15" t="n">
        <f aca="false">SUMIFS('NF x Centro de Custo'!$H$5:$H$1270,'NF x Centro de Custo'!$E$5:$E$1270,$A55,'NF x Centro de Custo'!$A$5:$A$1270,H$3)</f>
        <v>0</v>
      </c>
      <c r="I55" s="15" t="n">
        <f aca="false">SUM(B55:H55)</f>
        <v>54675.2</v>
      </c>
      <c r="J55" s="16" t="n">
        <f aca="false">IFERROR(I55/I$94,0)</f>
        <v>0.00165220861696954</v>
      </c>
    </row>
    <row r="56" customFormat="false" ht="15" hidden="false" customHeight="false" outlineLevel="0" collapsed="false">
      <c r="A56" s="3" t="s">
        <v>159</v>
      </c>
      <c r="B56" s="15" t="n">
        <f aca="false">SUMIFS('NF x Centro de Custo'!$H$5:$H$1270,'NF x Centro de Custo'!$E$5:$E$1270,$A56,'NF x Centro de Custo'!$A$5:$A$1270,B$3)</f>
        <v>0</v>
      </c>
      <c r="C56" s="15" t="n">
        <f aca="false">SUMIFS('NF x Centro de Custo'!$H$5:$H$1270,'NF x Centro de Custo'!$E$5:$E$1270,$A56,'NF x Centro de Custo'!$A$5:$A$1270,C$3)</f>
        <v>9394.68</v>
      </c>
      <c r="D56" s="15" t="n">
        <f aca="false">SUMIFS('NF x Centro de Custo'!$H$5:$H$1270,'NF x Centro de Custo'!$E$5:$E$1270,$A56,'NF x Centro de Custo'!$A$5:$A$1270,D$3)</f>
        <v>5953.95</v>
      </c>
      <c r="E56" s="15" t="n">
        <f aca="false">SUMIFS('NF x Centro de Custo'!$H$5:$H$1270,'NF x Centro de Custo'!$E$5:$E$1270,$A56,'NF x Centro de Custo'!$A$5:$A$1270,E$3)</f>
        <v>11621.84</v>
      </c>
      <c r="F56" s="15" t="n">
        <f aca="false">SUMIFS('NF x Centro de Custo'!$H$5:$H$1270,'NF x Centro de Custo'!$E$5:$E$1270,$A56,'NF x Centro de Custo'!$A$5:$A$1270,F$3)</f>
        <v>9207.17</v>
      </c>
      <c r="G56" s="15" t="n">
        <f aca="false">SUMIFS('NF x Centro de Custo'!$H$5:$H$1270,'NF x Centro de Custo'!$E$5:$E$1270,$A56,'NF x Centro de Custo'!$A$5:$A$1270,G$3)</f>
        <v>9416.54</v>
      </c>
      <c r="H56" s="15" t="n">
        <f aca="false">SUMIFS('NF x Centro de Custo'!$H$5:$H$1270,'NF x Centro de Custo'!$E$5:$E$1270,$A56,'NF x Centro de Custo'!$A$5:$A$1270,H$3)</f>
        <v>8226.9</v>
      </c>
      <c r="I56" s="15" t="n">
        <f aca="false">SUM(B56:H56)</f>
        <v>53821.08</v>
      </c>
      <c r="J56" s="16" t="n">
        <f aca="false">IFERROR(I56/I$94,0)</f>
        <v>0.00162639829667942</v>
      </c>
    </row>
    <row r="57" customFormat="false" ht="15" hidden="false" customHeight="false" outlineLevel="0" collapsed="false">
      <c r="A57" s="3" t="s">
        <v>160</v>
      </c>
      <c r="B57" s="15" t="n">
        <f aca="false">SUMIFS('NF x Centro de Custo'!$H$5:$H$1270,'NF x Centro de Custo'!$E$5:$E$1270,$A57,'NF x Centro de Custo'!$A$5:$A$1270,B$3)</f>
        <v>11631.25</v>
      </c>
      <c r="C57" s="15" t="n">
        <f aca="false">SUMIFS('NF x Centro de Custo'!$H$5:$H$1270,'NF x Centro de Custo'!$E$5:$E$1270,$A57,'NF x Centro de Custo'!$A$5:$A$1270,C$3)</f>
        <v>12382.26</v>
      </c>
      <c r="D57" s="15" t="n">
        <f aca="false">SUMIFS('NF x Centro de Custo'!$H$5:$H$1270,'NF x Centro de Custo'!$E$5:$E$1270,$A57,'NF x Centro de Custo'!$A$5:$A$1270,D$3)</f>
        <v>11169.48</v>
      </c>
      <c r="E57" s="15" t="n">
        <f aca="false">SUMIFS('NF x Centro de Custo'!$H$5:$H$1270,'NF x Centro de Custo'!$E$5:$E$1270,$A57,'NF x Centro de Custo'!$A$5:$A$1270,E$3)</f>
        <v>8513.94</v>
      </c>
      <c r="F57" s="15" t="n">
        <f aca="false">SUMIFS('NF x Centro de Custo'!$H$5:$H$1270,'NF x Centro de Custo'!$E$5:$E$1270,$A57,'NF x Centro de Custo'!$A$5:$A$1270,F$3)</f>
        <v>2877.49</v>
      </c>
      <c r="G57" s="15" t="n">
        <f aca="false">SUMIFS('NF x Centro de Custo'!$H$5:$H$1270,'NF x Centro de Custo'!$E$5:$E$1270,$A57,'NF x Centro de Custo'!$A$5:$A$1270,G$3)</f>
        <v>5232.98</v>
      </c>
      <c r="H57" s="15" t="n">
        <f aca="false">SUMIFS('NF x Centro de Custo'!$H$5:$H$1270,'NF x Centro de Custo'!$E$5:$E$1270,$A57,'NF x Centro de Custo'!$A$5:$A$1270,H$3)</f>
        <v>0</v>
      </c>
      <c r="I57" s="15" t="n">
        <f aca="false">SUM(B57:H57)</f>
        <v>51807.4</v>
      </c>
      <c r="J57" s="16" t="n">
        <f aca="false">IFERROR(I57/I$94,0)</f>
        <v>0.00156554768346138</v>
      </c>
    </row>
    <row r="58" customFormat="false" ht="15" hidden="false" customHeight="false" outlineLevel="0" collapsed="false">
      <c r="A58" s="3" t="s">
        <v>161</v>
      </c>
      <c r="B58" s="15" t="n">
        <f aca="false">SUMIFS('NF x Centro de Custo'!$H$5:$H$1270,'NF x Centro de Custo'!$E$5:$E$1270,$A58,'NF x Centro de Custo'!$A$5:$A$1270,B$3)</f>
        <v>8084.92</v>
      </c>
      <c r="C58" s="15" t="n">
        <f aca="false">SUMIFS('NF x Centro de Custo'!$H$5:$H$1270,'NF x Centro de Custo'!$E$5:$E$1270,$A58,'NF x Centro de Custo'!$A$5:$A$1270,C$3)</f>
        <v>9866.09</v>
      </c>
      <c r="D58" s="15" t="n">
        <f aca="false">SUMIFS('NF x Centro de Custo'!$H$5:$H$1270,'NF x Centro de Custo'!$E$5:$E$1270,$A58,'NF x Centro de Custo'!$A$5:$A$1270,D$3)</f>
        <v>10456.14</v>
      </c>
      <c r="E58" s="15" t="n">
        <f aca="false">SUMIFS('NF x Centro de Custo'!$H$5:$H$1270,'NF x Centro de Custo'!$E$5:$E$1270,$A58,'NF x Centro de Custo'!$A$5:$A$1270,E$3)</f>
        <v>9267.24</v>
      </c>
      <c r="F58" s="15" t="n">
        <f aca="false">SUMIFS('NF x Centro de Custo'!$H$5:$H$1270,'NF x Centro de Custo'!$E$5:$E$1270,$A58,'NF x Centro de Custo'!$A$5:$A$1270,F$3)</f>
        <v>5443.86</v>
      </c>
      <c r="G58" s="15" t="n">
        <f aca="false">SUMIFS('NF x Centro de Custo'!$H$5:$H$1270,'NF x Centro de Custo'!$E$5:$E$1270,$A58,'NF x Centro de Custo'!$A$5:$A$1270,G$3)</f>
        <v>281.57</v>
      </c>
      <c r="H58" s="15" t="n">
        <f aca="false">SUMIFS('NF x Centro de Custo'!$H$5:$H$1270,'NF x Centro de Custo'!$E$5:$E$1270,$A58,'NF x Centro de Custo'!$A$5:$A$1270,H$3)</f>
        <v>0</v>
      </c>
      <c r="I58" s="15" t="n">
        <f aca="false">SUM(B58:H58)</f>
        <v>43399.82</v>
      </c>
      <c r="J58" s="16" t="n">
        <f aca="false">IFERROR(I58/I$94,0)</f>
        <v>0.00131148229140318</v>
      </c>
    </row>
    <row r="59" customFormat="false" ht="15" hidden="false" customHeight="false" outlineLevel="0" collapsed="false">
      <c r="A59" s="3" t="s">
        <v>162</v>
      </c>
      <c r="B59" s="15" t="n">
        <f aca="false">SUMIFS('NF x Centro de Custo'!$H$5:$H$1270,'NF x Centro de Custo'!$E$5:$E$1270,$A59,'NF x Centro de Custo'!$A$5:$A$1270,B$3)</f>
        <v>5987.77</v>
      </c>
      <c r="C59" s="15" t="n">
        <f aca="false">SUMIFS('NF x Centro de Custo'!$H$5:$H$1270,'NF x Centro de Custo'!$E$5:$E$1270,$A59,'NF x Centro de Custo'!$A$5:$A$1270,C$3)</f>
        <v>13371.38</v>
      </c>
      <c r="D59" s="15" t="n">
        <f aca="false">SUMIFS('NF x Centro de Custo'!$H$5:$H$1270,'NF x Centro de Custo'!$E$5:$E$1270,$A59,'NF x Centro de Custo'!$A$5:$A$1270,D$3)</f>
        <v>6921.99</v>
      </c>
      <c r="E59" s="15" t="n">
        <f aca="false">SUMIFS('NF x Centro de Custo'!$H$5:$H$1270,'NF x Centro de Custo'!$E$5:$E$1270,$A59,'NF x Centro de Custo'!$A$5:$A$1270,E$3)</f>
        <v>4347.88</v>
      </c>
      <c r="F59" s="15" t="n">
        <f aca="false">SUMIFS('NF x Centro de Custo'!$H$5:$H$1270,'NF x Centro de Custo'!$E$5:$E$1270,$A59,'NF x Centro de Custo'!$A$5:$A$1270,F$3)</f>
        <v>0</v>
      </c>
      <c r="G59" s="15" t="n">
        <f aca="false">SUMIFS('NF x Centro de Custo'!$H$5:$H$1270,'NF x Centro de Custo'!$E$5:$E$1270,$A59,'NF x Centro de Custo'!$A$5:$A$1270,G$3)</f>
        <v>8744.212311</v>
      </c>
      <c r="H59" s="15" t="n">
        <f aca="false">SUMIFS('NF x Centro de Custo'!$H$5:$H$1270,'NF x Centro de Custo'!$E$5:$E$1270,$A59,'NF x Centro de Custo'!$A$5:$A$1270,H$3)</f>
        <v>3394.38</v>
      </c>
      <c r="I59" s="15" t="n">
        <f aca="false">SUM(B59:H59)</f>
        <v>42767.612311</v>
      </c>
      <c r="J59" s="16" t="n">
        <f aca="false">IFERROR(I59/I$94,0)</f>
        <v>0.00129237785298356</v>
      </c>
    </row>
    <row r="60" customFormat="false" ht="15" hidden="false" customHeight="false" outlineLevel="0" collapsed="false">
      <c r="A60" s="3" t="s">
        <v>163</v>
      </c>
      <c r="B60" s="15" t="n">
        <f aca="false">SUMIFS('NF x Centro de Custo'!$H$5:$H$1270,'NF x Centro de Custo'!$E$5:$E$1270,$A60,'NF x Centro de Custo'!$A$5:$A$1270,B$3)</f>
        <v>0</v>
      </c>
      <c r="C60" s="15" t="n">
        <f aca="false">SUMIFS('NF x Centro de Custo'!$H$5:$H$1270,'NF x Centro de Custo'!$E$5:$E$1270,$A60,'NF x Centro de Custo'!$A$5:$A$1270,C$3)</f>
        <v>12498.294448</v>
      </c>
      <c r="D60" s="15" t="n">
        <f aca="false">SUMIFS('NF x Centro de Custo'!$H$5:$H$1270,'NF x Centro de Custo'!$E$5:$E$1270,$A60,'NF x Centro de Custo'!$A$5:$A$1270,D$3)</f>
        <v>7606.53</v>
      </c>
      <c r="E60" s="15" t="n">
        <f aca="false">SUMIFS('NF x Centro de Custo'!$H$5:$H$1270,'NF x Centro de Custo'!$E$5:$E$1270,$A60,'NF x Centro de Custo'!$A$5:$A$1270,E$3)</f>
        <v>7499.69</v>
      </c>
      <c r="F60" s="15" t="n">
        <f aca="false">SUMIFS('NF x Centro de Custo'!$H$5:$H$1270,'NF x Centro de Custo'!$E$5:$E$1270,$A60,'NF x Centro de Custo'!$A$5:$A$1270,F$3)</f>
        <v>7535.68</v>
      </c>
      <c r="G60" s="15" t="n">
        <f aca="false">SUMIFS('NF x Centro de Custo'!$H$5:$H$1270,'NF x Centro de Custo'!$E$5:$E$1270,$A60,'NF x Centro de Custo'!$A$5:$A$1270,G$3)</f>
        <v>7606.530504</v>
      </c>
      <c r="H60" s="15" t="n">
        <f aca="false">SUMIFS('NF x Centro de Custo'!$H$5:$H$1270,'NF x Centro de Custo'!$E$5:$E$1270,$A60,'NF x Centro de Custo'!$A$5:$A$1270,H$3)</f>
        <v>0</v>
      </c>
      <c r="I60" s="15" t="n">
        <f aca="false">SUM(B60:H60)</f>
        <v>42746.724952</v>
      </c>
      <c r="J60" s="16" t="n">
        <f aca="false">IFERROR(I60/I$94,0)</f>
        <v>0.00129174666600069</v>
      </c>
    </row>
    <row r="61" customFormat="false" ht="15" hidden="false" customHeight="false" outlineLevel="0" collapsed="false">
      <c r="A61" s="3" t="s">
        <v>164</v>
      </c>
      <c r="B61" s="15" t="n">
        <f aca="false">SUMIFS('NF x Centro de Custo'!$H$5:$H$1270,'NF x Centro de Custo'!$E$5:$E$1270,$A61,'NF x Centro de Custo'!$A$5:$A$1270,B$3)</f>
        <v>7927.27</v>
      </c>
      <c r="C61" s="15" t="n">
        <f aca="false">SUMIFS('NF x Centro de Custo'!$H$5:$H$1270,'NF x Centro de Custo'!$E$5:$E$1270,$A61,'NF x Centro de Custo'!$A$5:$A$1270,C$3)</f>
        <v>9876.36</v>
      </c>
      <c r="D61" s="15" t="n">
        <f aca="false">SUMIFS('NF x Centro de Custo'!$H$5:$H$1270,'NF x Centro de Custo'!$E$5:$E$1270,$A61,'NF x Centro de Custo'!$A$5:$A$1270,D$3)</f>
        <v>8671.6</v>
      </c>
      <c r="E61" s="15" t="n">
        <f aca="false">SUMIFS('NF x Centro de Custo'!$H$5:$H$1270,'NF x Centro de Custo'!$E$5:$E$1270,$A61,'NF x Centro de Custo'!$A$5:$A$1270,E$3)</f>
        <v>4255.45</v>
      </c>
      <c r="F61" s="15" t="n">
        <f aca="false">SUMIFS('NF x Centro de Custo'!$H$5:$H$1270,'NF x Centro de Custo'!$E$5:$E$1270,$A61,'NF x Centro de Custo'!$A$5:$A$1270,F$3)</f>
        <v>0</v>
      </c>
      <c r="G61" s="15" t="n">
        <f aca="false">SUMIFS('NF x Centro de Custo'!$H$5:$H$1270,'NF x Centro de Custo'!$E$5:$E$1270,$A61,'NF x Centro de Custo'!$A$5:$A$1270,G$3)</f>
        <v>8337.314817</v>
      </c>
      <c r="H61" s="15" t="n">
        <f aca="false">SUMIFS('NF x Centro de Custo'!$H$5:$H$1270,'NF x Centro de Custo'!$E$5:$E$1270,$A61,'NF x Centro de Custo'!$A$5:$A$1270,H$3)</f>
        <v>3328.01</v>
      </c>
      <c r="I61" s="15" t="n">
        <f aca="false">SUM(B61:H61)</f>
        <v>42396.004817</v>
      </c>
      <c r="J61" s="16" t="n">
        <f aca="false">IFERROR(I61/I$94,0)</f>
        <v>0.00128114839056335</v>
      </c>
    </row>
    <row r="62" customFormat="false" ht="15" hidden="false" customHeight="false" outlineLevel="0" collapsed="false">
      <c r="A62" s="3" t="s">
        <v>165</v>
      </c>
      <c r="B62" s="15" t="n">
        <f aca="false">SUMIFS('NF x Centro de Custo'!$H$5:$H$1270,'NF x Centro de Custo'!$E$5:$E$1270,$A62,'NF x Centro de Custo'!$A$5:$A$1270,B$3)</f>
        <v>3014.71</v>
      </c>
      <c r="C62" s="15" t="n">
        <f aca="false">SUMIFS('NF x Centro de Custo'!$H$5:$H$1270,'NF x Centro de Custo'!$E$5:$E$1270,$A62,'NF x Centro de Custo'!$A$5:$A$1270,C$3)</f>
        <v>9722.7</v>
      </c>
      <c r="D62" s="15" t="n">
        <f aca="false">SUMIFS('NF x Centro de Custo'!$H$5:$H$1270,'NF x Centro de Custo'!$E$5:$E$1270,$A62,'NF x Centro de Custo'!$A$5:$A$1270,D$3)</f>
        <v>9597.75</v>
      </c>
      <c r="E62" s="15" t="n">
        <f aca="false">SUMIFS('NF x Centro de Custo'!$H$5:$H$1270,'NF x Centro de Custo'!$E$5:$E$1270,$A62,'NF x Centro de Custo'!$A$5:$A$1270,E$3)</f>
        <v>5005.19</v>
      </c>
      <c r="F62" s="15" t="n">
        <f aca="false">SUMIFS('NF x Centro de Custo'!$H$5:$H$1270,'NF x Centro de Custo'!$E$5:$E$1270,$A62,'NF x Centro de Custo'!$A$5:$A$1270,F$3)</f>
        <v>4463</v>
      </c>
      <c r="G62" s="15" t="n">
        <f aca="false">SUMIFS('NF x Centro de Custo'!$H$5:$H$1270,'NF x Centro de Custo'!$E$5:$E$1270,$A62,'NF x Centro de Custo'!$A$5:$A$1270,G$3)</f>
        <v>4561.18</v>
      </c>
      <c r="H62" s="15" t="n">
        <f aca="false">SUMIFS('NF x Centro de Custo'!$H$5:$H$1270,'NF x Centro de Custo'!$E$5:$E$1270,$A62,'NF x Centro de Custo'!$A$5:$A$1270,H$3)</f>
        <v>4433.05</v>
      </c>
      <c r="I62" s="15" t="n">
        <f aca="false">SUM(B62:H62)</f>
        <v>40797.58</v>
      </c>
      <c r="J62" s="16" t="n">
        <f aca="false">IFERROR(I62/I$94,0)</f>
        <v>0.00123284621231388</v>
      </c>
    </row>
    <row r="63" customFormat="false" ht="15" hidden="false" customHeight="false" outlineLevel="0" collapsed="false">
      <c r="A63" s="3" t="s">
        <v>166</v>
      </c>
      <c r="B63" s="15" t="n">
        <f aca="false">SUMIFS('NF x Centro de Custo'!$H$5:$H$1270,'NF x Centro de Custo'!$E$5:$E$1270,$A63,'NF x Centro de Custo'!$A$5:$A$1270,B$3)</f>
        <v>8125.3</v>
      </c>
      <c r="C63" s="15" t="n">
        <f aca="false">SUMIFS('NF x Centro de Custo'!$H$5:$H$1270,'NF x Centro de Custo'!$E$5:$E$1270,$A63,'NF x Centro de Custo'!$A$5:$A$1270,C$3)</f>
        <v>8864.45</v>
      </c>
      <c r="D63" s="15" t="n">
        <f aca="false">SUMIFS('NF x Centro de Custo'!$H$5:$H$1270,'NF x Centro de Custo'!$E$5:$E$1270,$A63,'NF x Centro de Custo'!$A$5:$A$1270,D$3)</f>
        <v>9028.25</v>
      </c>
      <c r="E63" s="15" t="n">
        <f aca="false">SUMIFS('NF x Centro de Custo'!$H$5:$H$1270,'NF x Centro de Custo'!$E$5:$E$1270,$A63,'NF x Centro de Custo'!$A$5:$A$1270,E$3)</f>
        <v>4949.59</v>
      </c>
      <c r="F63" s="15" t="n">
        <f aca="false">SUMIFS('NF x Centro de Custo'!$H$5:$H$1270,'NF x Centro de Custo'!$E$5:$E$1270,$A63,'NF x Centro de Custo'!$A$5:$A$1270,F$3)</f>
        <v>4404.84</v>
      </c>
      <c r="G63" s="15" t="n">
        <f aca="false">SUMIFS('NF x Centro de Custo'!$H$5:$H$1270,'NF x Centro de Custo'!$E$5:$E$1270,$A63,'NF x Centro de Custo'!$A$5:$A$1270,G$3)</f>
        <v>4423.7</v>
      </c>
      <c r="H63" s="15" t="n">
        <f aca="false">SUMIFS('NF x Centro de Custo'!$H$5:$H$1270,'NF x Centro de Custo'!$E$5:$E$1270,$A63,'NF x Centro de Custo'!$A$5:$A$1270,H$3)</f>
        <v>0</v>
      </c>
      <c r="I63" s="15" t="n">
        <f aca="false">SUM(B63:H63)</f>
        <v>39796.13</v>
      </c>
      <c r="J63" s="16" t="n">
        <f aca="false">IFERROR(I63/I$94,0)</f>
        <v>0.00120258378401981</v>
      </c>
    </row>
    <row r="64" customFormat="false" ht="15" hidden="false" customHeight="false" outlineLevel="0" collapsed="false">
      <c r="A64" s="3" t="s">
        <v>167</v>
      </c>
      <c r="B64" s="15" t="n">
        <f aca="false">SUMIFS('NF x Centro de Custo'!$H$5:$H$1270,'NF x Centro de Custo'!$E$5:$E$1270,$A64,'NF x Centro de Custo'!$A$5:$A$1270,B$3)</f>
        <v>0</v>
      </c>
      <c r="C64" s="15" t="n">
        <f aca="false">SUMIFS('NF x Centro de Custo'!$H$5:$H$1270,'NF x Centro de Custo'!$E$5:$E$1270,$A64,'NF x Centro de Custo'!$A$5:$A$1270,C$3)</f>
        <v>19758.88</v>
      </c>
      <c r="D64" s="15" t="n">
        <f aca="false">SUMIFS('NF x Centro de Custo'!$H$5:$H$1270,'NF x Centro de Custo'!$E$5:$E$1270,$A64,'NF x Centro de Custo'!$A$5:$A$1270,D$3)</f>
        <v>19725.76</v>
      </c>
      <c r="E64" s="15" t="n">
        <f aca="false">SUMIFS('NF x Centro de Custo'!$H$5:$H$1270,'NF x Centro de Custo'!$E$5:$E$1270,$A64,'NF x Centro de Custo'!$A$5:$A$1270,E$3)</f>
        <v>128.16</v>
      </c>
      <c r="F64" s="15" t="n">
        <f aca="false">SUMIFS('NF x Centro de Custo'!$H$5:$H$1270,'NF x Centro de Custo'!$E$5:$E$1270,$A64,'NF x Centro de Custo'!$A$5:$A$1270,F$3)</f>
        <v>0</v>
      </c>
      <c r="G64" s="15" t="n">
        <f aca="false">SUMIFS('NF x Centro de Custo'!$H$5:$H$1270,'NF x Centro de Custo'!$E$5:$E$1270,$A64,'NF x Centro de Custo'!$A$5:$A$1270,G$3)</f>
        <v>0</v>
      </c>
      <c r="H64" s="15" t="n">
        <f aca="false">SUMIFS('NF x Centro de Custo'!$H$5:$H$1270,'NF x Centro de Custo'!$E$5:$E$1270,$A64,'NF x Centro de Custo'!$A$5:$A$1270,H$3)</f>
        <v>0</v>
      </c>
      <c r="I64" s="15" t="n">
        <f aca="false">SUM(B64:H64)</f>
        <v>39612.8</v>
      </c>
      <c r="J64" s="16" t="n">
        <f aca="false">IFERROR(I64/I$94,0)</f>
        <v>0.00119704380600877</v>
      </c>
    </row>
    <row r="65" customFormat="false" ht="15" hidden="false" customHeight="false" outlineLevel="0" collapsed="false">
      <c r="A65" s="3" t="s">
        <v>168</v>
      </c>
      <c r="B65" s="15" t="n">
        <f aca="false">SUMIFS('NF x Centro de Custo'!$H$5:$H$1270,'NF x Centro de Custo'!$E$5:$E$1270,$A65,'NF x Centro de Custo'!$A$5:$A$1270,B$3)</f>
        <v>11528.24</v>
      </c>
      <c r="C65" s="15" t="n">
        <f aca="false">SUMIFS('NF x Centro de Custo'!$H$5:$H$1270,'NF x Centro de Custo'!$E$5:$E$1270,$A65,'NF x Centro de Custo'!$A$5:$A$1270,C$3)</f>
        <v>11233.89</v>
      </c>
      <c r="D65" s="15" t="n">
        <f aca="false">SUMIFS('NF x Centro de Custo'!$H$5:$H$1270,'NF x Centro de Custo'!$E$5:$E$1270,$A65,'NF x Centro de Custo'!$A$5:$A$1270,D$3)</f>
        <v>10922.13</v>
      </c>
      <c r="E65" s="15" t="n">
        <f aca="false">SUMIFS('NF x Centro de Custo'!$H$5:$H$1270,'NF x Centro de Custo'!$E$5:$E$1270,$A65,'NF x Centro de Custo'!$A$5:$A$1270,E$3)</f>
        <v>4733.68</v>
      </c>
      <c r="F65" s="15" t="n">
        <f aca="false">SUMIFS('NF x Centro de Custo'!$H$5:$H$1270,'NF x Centro de Custo'!$E$5:$E$1270,$A65,'NF x Centro de Custo'!$A$5:$A$1270,F$3)</f>
        <v>21.53</v>
      </c>
      <c r="G65" s="15" t="n">
        <f aca="false">SUMIFS('NF x Centro de Custo'!$H$5:$H$1270,'NF x Centro de Custo'!$E$5:$E$1270,$A65,'NF x Centro de Custo'!$A$5:$A$1270,G$3)</f>
        <v>50</v>
      </c>
      <c r="H65" s="15" t="n">
        <f aca="false">SUMIFS('NF x Centro de Custo'!$H$5:$H$1270,'NF x Centro de Custo'!$E$5:$E$1270,$A65,'NF x Centro de Custo'!$A$5:$A$1270,H$3)</f>
        <v>0</v>
      </c>
      <c r="I65" s="15" t="n">
        <f aca="false">SUM(B65:H65)</f>
        <v>38489.47</v>
      </c>
      <c r="J65" s="16" t="n">
        <f aca="false">IFERROR(I65/I$94,0)</f>
        <v>0.00116309833336852</v>
      </c>
    </row>
    <row r="66" customFormat="false" ht="15" hidden="false" customHeight="false" outlineLevel="0" collapsed="false">
      <c r="A66" s="3" t="s">
        <v>169</v>
      </c>
      <c r="B66" s="15" t="n">
        <f aca="false">SUMIFS('NF x Centro de Custo'!$H$5:$H$1270,'NF x Centro de Custo'!$E$5:$E$1270,$A66,'NF x Centro de Custo'!$A$5:$A$1270,B$3)</f>
        <v>4547.58</v>
      </c>
      <c r="C66" s="15" t="n">
        <f aca="false">SUMIFS('NF x Centro de Custo'!$H$5:$H$1270,'NF x Centro de Custo'!$E$5:$E$1270,$A66,'NF x Centro de Custo'!$A$5:$A$1270,C$3)</f>
        <v>12638.17</v>
      </c>
      <c r="D66" s="15" t="n">
        <f aca="false">SUMIFS('NF x Centro de Custo'!$H$5:$H$1270,'NF x Centro de Custo'!$E$5:$E$1270,$A66,'NF x Centro de Custo'!$A$5:$A$1270,D$3)</f>
        <v>9913.87</v>
      </c>
      <c r="E66" s="15" t="n">
        <f aca="false">SUMIFS('NF x Centro de Custo'!$H$5:$H$1270,'NF x Centro de Custo'!$E$5:$E$1270,$A66,'NF x Centro de Custo'!$A$5:$A$1270,E$3)</f>
        <v>4982.62</v>
      </c>
      <c r="F66" s="15" t="n">
        <f aca="false">SUMIFS('NF x Centro de Custo'!$H$5:$H$1270,'NF x Centro de Custo'!$E$5:$E$1270,$A66,'NF x Centro de Custo'!$A$5:$A$1270,F$3)</f>
        <v>4874.95</v>
      </c>
      <c r="G66" s="15" t="n">
        <f aca="false">SUMIFS('NF x Centro de Custo'!$H$5:$H$1270,'NF x Centro de Custo'!$E$5:$E$1270,$A66,'NF x Centro de Custo'!$A$5:$A$1270,G$3)</f>
        <v>891.3</v>
      </c>
      <c r="H66" s="15" t="n">
        <f aca="false">SUMIFS('NF x Centro de Custo'!$H$5:$H$1270,'NF x Centro de Custo'!$E$5:$E$1270,$A66,'NF x Centro de Custo'!$A$5:$A$1270,H$3)</f>
        <v>0</v>
      </c>
      <c r="I66" s="15" t="n">
        <f aca="false">SUM(B66:H66)</f>
        <v>37848.49</v>
      </c>
      <c r="J66" s="16" t="n">
        <f aca="false">IFERROR(I66/I$94,0)</f>
        <v>0.00114372880789253</v>
      </c>
    </row>
    <row r="67" customFormat="false" ht="15" hidden="false" customHeight="false" outlineLevel="0" collapsed="false">
      <c r="A67" s="3" t="s">
        <v>170</v>
      </c>
      <c r="B67" s="15" t="n">
        <f aca="false">SUMIFS('NF x Centro de Custo'!$H$5:$H$1270,'NF x Centro de Custo'!$E$5:$E$1270,$A67,'NF x Centro de Custo'!$A$5:$A$1270,B$3)</f>
        <v>0</v>
      </c>
      <c r="C67" s="15" t="n">
        <f aca="false">SUMIFS('NF x Centro de Custo'!$H$5:$H$1270,'NF x Centro de Custo'!$E$5:$E$1270,$A67,'NF x Centro de Custo'!$A$5:$A$1270,C$3)</f>
        <v>0</v>
      </c>
      <c r="D67" s="15" t="n">
        <f aca="false">SUMIFS('NF x Centro de Custo'!$H$5:$H$1270,'NF x Centro de Custo'!$E$5:$E$1270,$A67,'NF x Centro de Custo'!$A$5:$A$1270,D$3)</f>
        <v>0</v>
      </c>
      <c r="E67" s="15" t="n">
        <f aca="false">SUMIFS('NF x Centro de Custo'!$H$5:$H$1270,'NF x Centro de Custo'!$E$5:$E$1270,$A67,'NF x Centro de Custo'!$A$5:$A$1270,E$3)</f>
        <v>0</v>
      </c>
      <c r="F67" s="15" t="n">
        <f aca="false">SUMIFS('NF x Centro de Custo'!$H$5:$H$1270,'NF x Centro de Custo'!$E$5:$E$1270,$A67,'NF x Centro de Custo'!$A$5:$A$1270,F$3)</f>
        <v>0</v>
      </c>
      <c r="G67" s="15" t="n">
        <f aca="false">SUMIFS('NF x Centro de Custo'!$H$5:$H$1270,'NF x Centro de Custo'!$E$5:$E$1270,$A67,'NF x Centro de Custo'!$A$5:$A$1270,G$3)</f>
        <v>0</v>
      </c>
      <c r="H67" s="15" t="n">
        <f aca="false">SUMIFS('NF x Centro de Custo'!$H$5:$H$1270,'NF x Centro de Custo'!$E$5:$E$1270,$A67,'NF x Centro de Custo'!$A$5:$A$1270,H$3)</f>
        <v>35129.6</v>
      </c>
      <c r="I67" s="15" t="n">
        <f aca="false">SUM(B67:H67)</f>
        <v>35129.6</v>
      </c>
      <c r="J67" s="16" t="n">
        <f aca="false">IFERROR(I67/I$94,0)</f>
        <v>0.00106156772779419</v>
      </c>
    </row>
    <row r="68" customFormat="false" ht="15" hidden="false" customHeight="false" outlineLevel="0" collapsed="false">
      <c r="A68" s="3" t="s">
        <v>171</v>
      </c>
      <c r="B68" s="15" t="n">
        <f aca="false">SUMIFS('NF x Centro de Custo'!$H$5:$H$1270,'NF x Centro de Custo'!$E$5:$E$1270,$A68,'NF x Centro de Custo'!$A$5:$A$1270,B$3)</f>
        <v>7995.56</v>
      </c>
      <c r="C68" s="15" t="n">
        <f aca="false">SUMIFS('NF x Centro de Custo'!$H$5:$H$1270,'NF x Centro de Custo'!$E$5:$E$1270,$A68,'NF x Centro de Custo'!$A$5:$A$1270,C$3)</f>
        <v>8494.51</v>
      </c>
      <c r="D68" s="15" t="n">
        <f aca="false">SUMIFS('NF x Centro de Custo'!$H$5:$H$1270,'NF x Centro de Custo'!$E$5:$E$1270,$A68,'NF x Centro de Custo'!$A$5:$A$1270,D$3)</f>
        <v>9010.33</v>
      </c>
      <c r="E68" s="15" t="n">
        <f aca="false">SUMIFS('NF x Centro de Custo'!$H$5:$H$1270,'NF x Centro de Custo'!$E$5:$E$1270,$A68,'NF x Centro de Custo'!$A$5:$A$1270,E$3)</f>
        <v>4864.82</v>
      </c>
      <c r="F68" s="15" t="n">
        <f aca="false">SUMIFS('NF x Centro de Custo'!$H$5:$H$1270,'NF x Centro de Custo'!$E$5:$E$1270,$A68,'NF x Centro de Custo'!$A$5:$A$1270,F$3)</f>
        <v>2180.33</v>
      </c>
      <c r="G68" s="15" t="n">
        <f aca="false">SUMIFS('NF x Centro de Custo'!$H$5:$H$1270,'NF x Centro de Custo'!$E$5:$E$1270,$A68,'NF x Centro de Custo'!$A$5:$A$1270,G$3)</f>
        <v>0</v>
      </c>
      <c r="H68" s="15" t="n">
        <f aca="false">SUMIFS('NF x Centro de Custo'!$H$5:$H$1270,'NF x Centro de Custo'!$E$5:$E$1270,$A68,'NF x Centro de Custo'!$A$5:$A$1270,H$3)</f>
        <v>0</v>
      </c>
      <c r="I68" s="15" t="n">
        <f aca="false">SUM(B68:H68)</f>
        <v>32545.55</v>
      </c>
      <c r="J68" s="16" t="n">
        <f aca="false">IFERROR(I68/I$94,0)</f>
        <v>0.000983481325244589</v>
      </c>
    </row>
    <row r="69" customFormat="false" ht="15" hidden="false" customHeight="false" outlineLevel="0" collapsed="false">
      <c r="A69" s="3" t="s">
        <v>172</v>
      </c>
      <c r="B69" s="15" t="n">
        <f aca="false">SUMIFS('NF x Centro de Custo'!$H$5:$H$1270,'NF x Centro de Custo'!$E$5:$E$1270,$A69,'NF x Centro de Custo'!$A$5:$A$1270,B$3)</f>
        <v>2972.41</v>
      </c>
      <c r="C69" s="15" t="n">
        <f aca="false">SUMIFS('NF x Centro de Custo'!$H$5:$H$1270,'NF x Centro de Custo'!$E$5:$E$1270,$A69,'NF x Centro de Custo'!$A$5:$A$1270,C$3)</f>
        <v>5464.11</v>
      </c>
      <c r="D69" s="15" t="n">
        <f aca="false">SUMIFS('NF x Centro de Custo'!$H$5:$H$1270,'NF x Centro de Custo'!$E$5:$E$1270,$A69,'NF x Centro de Custo'!$A$5:$A$1270,D$3)</f>
        <v>5412.56</v>
      </c>
      <c r="E69" s="15" t="n">
        <f aca="false">SUMIFS('NF x Centro de Custo'!$H$5:$H$1270,'NF x Centro de Custo'!$E$5:$E$1270,$A69,'NF x Centro de Custo'!$A$5:$A$1270,E$3)</f>
        <v>4170.78</v>
      </c>
      <c r="F69" s="15" t="n">
        <f aca="false">SUMIFS('NF x Centro de Custo'!$H$5:$H$1270,'NF x Centro de Custo'!$E$5:$E$1270,$A69,'NF x Centro de Custo'!$A$5:$A$1270,F$3)</f>
        <v>0</v>
      </c>
      <c r="G69" s="15" t="n">
        <f aca="false">SUMIFS('NF x Centro de Custo'!$H$5:$H$1270,'NF x Centro de Custo'!$E$5:$E$1270,$A69,'NF x Centro de Custo'!$A$5:$A$1270,G$3)</f>
        <v>8510.97106</v>
      </c>
      <c r="H69" s="15" t="n">
        <f aca="false">SUMIFS('NF x Centro de Custo'!$H$5:$H$1270,'NF x Centro de Custo'!$E$5:$E$1270,$A69,'NF x Centro de Custo'!$A$5:$A$1270,H$3)</f>
        <v>3199.56</v>
      </c>
      <c r="I69" s="15" t="n">
        <f aca="false">SUM(B69:H69)</f>
        <v>29730.39106</v>
      </c>
      <c r="J69" s="16" t="n">
        <f aca="false">IFERROR(I69/I$94,0)</f>
        <v>0.000898411131467395</v>
      </c>
    </row>
    <row r="70" customFormat="false" ht="15" hidden="false" customHeight="false" outlineLevel="0" collapsed="false">
      <c r="A70" s="3" t="s">
        <v>173</v>
      </c>
      <c r="B70" s="15" t="n">
        <f aca="false">SUMIFS('NF x Centro de Custo'!$H$5:$H$1270,'NF x Centro de Custo'!$E$5:$E$1270,$A70,'NF x Centro de Custo'!$A$5:$A$1270,B$3)</f>
        <v>0</v>
      </c>
      <c r="C70" s="15" t="n">
        <f aca="false">SUMIFS('NF x Centro de Custo'!$H$5:$H$1270,'NF x Centro de Custo'!$E$5:$E$1270,$A70,'NF x Centro de Custo'!$A$5:$A$1270,C$3)</f>
        <v>0</v>
      </c>
      <c r="D70" s="15" t="n">
        <f aca="false">SUMIFS('NF x Centro de Custo'!$H$5:$H$1270,'NF x Centro de Custo'!$E$5:$E$1270,$A70,'NF x Centro de Custo'!$A$5:$A$1270,D$3)</f>
        <v>0</v>
      </c>
      <c r="E70" s="15" t="n">
        <f aca="false">SUMIFS('NF x Centro de Custo'!$H$5:$H$1270,'NF x Centro de Custo'!$E$5:$E$1270,$A70,'NF x Centro de Custo'!$A$5:$A$1270,E$3)</f>
        <v>0</v>
      </c>
      <c r="F70" s="15" t="n">
        <f aca="false">SUMIFS('NF x Centro de Custo'!$H$5:$H$1270,'NF x Centro de Custo'!$E$5:$E$1270,$A70,'NF x Centro de Custo'!$A$5:$A$1270,F$3)</f>
        <v>3926.65</v>
      </c>
      <c r="G70" s="15" t="n">
        <f aca="false">SUMIFS('NF x Centro de Custo'!$H$5:$H$1270,'NF x Centro de Custo'!$E$5:$E$1270,$A70,'NF x Centro de Custo'!$A$5:$A$1270,G$3)</f>
        <v>20754.69</v>
      </c>
      <c r="H70" s="15" t="n">
        <f aca="false">SUMIFS('NF x Centro de Custo'!$H$5:$H$1270,'NF x Centro de Custo'!$E$5:$E$1270,$A70,'NF x Centro de Custo'!$A$5:$A$1270,H$3)</f>
        <v>5047.57368</v>
      </c>
      <c r="I70" s="15" t="n">
        <f aca="false">SUM(B70:H70)</f>
        <v>29728.91368</v>
      </c>
      <c r="J70" s="16" t="n">
        <f aca="false">IFERROR(I70/I$94,0)</f>
        <v>0.000898366487095422</v>
      </c>
    </row>
    <row r="71" customFormat="false" ht="15" hidden="false" customHeight="false" outlineLevel="0" collapsed="false">
      <c r="A71" s="3" t="s">
        <v>174</v>
      </c>
      <c r="B71" s="15" t="n">
        <f aca="false">SUMIFS('NF x Centro de Custo'!$H$5:$H$1270,'NF x Centro de Custo'!$E$5:$E$1270,$A71,'NF x Centro de Custo'!$A$5:$A$1270,B$3)</f>
        <v>6153.77</v>
      </c>
      <c r="C71" s="15" t="n">
        <f aca="false">SUMIFS('NF x Centro de Custo'!$H$5:$H$1270,'NF x Centro de Custo'!$E$5:$E$1270,$A71,'NF x Centro de Custo'!$A$5:$A$1270,C$3)</f>
        <v>10879.95</v>
      </c>
      <c r="D71" s="15" t="n">
        <f aca="false">SUMIFS('NF x Centro de Custo'!$H$5:$H$1270,'NF x Centro de Custo'!$E$5:$E$1270,$A71,'NF x Centro de Custo'!$A$5:$A$1270,D$3)</f>
        <v>9146.84</v>
      </c>
      <c r="E71" s="15" t="n">
        <f aca="false">SUMIFS('NF x Centro de Custo'!$H$5:$H$1270,'NF x Centro de Custo'!$E$5:$E$1270,$A71,'NF x Centro de Custo'!$A$5:$A$1270,E$3)</f>
        <v>2713.89</v>
      </c>
      <c r="F71" s="15" t="n">
        <f aca="false">SUMIFS('NF x Centro de Custo'!$H$5:$H$1270,'NF x Centro de Custo'!$E$5:$E$1270,$A71,'NF x Centro de Custo'!$A$5:$A$1270,F$3)</f>
        <v>56.94</v>
      </c>
      <c r="G71" s="15" t="n">
        <f aca="false">SUMIFS('NF x Centro de Custo'!$H$5:$H$1270,'NF x Centro de Custo'!$E$5:$E$1270,$A71,'NF x Centro de Custo'!$A$5:$A$1270,G$3)</f>
        <v>0</v>
      </c>
      <c r="H71" s="15" t="n">
        <f aca="false">SUMIFS('NF x Centro de Custo'!$H$5:$H$1270,'NF x Centro de Custo'!$E$5:$E$1270,$A71,'NF x Centro de Custo'!$A$5:$A$1270,H$3)</f>
        <v>0</v>
      </c>
      <c r="I71" s="15" t="n">
        <f aca="false">SUM(B71:H71)</f>
        <v>28951.39</v>
      </c>
      <c r="J71" s="16" t="n">
        <f aca="false">IFERROR(I71/I$94,0)</f>
        <v>0.000874870801226986</v>
      </c>
    </row>
    <row r="72" customFormat="false" ht="15" hidden="false" customHeight="false" outlineLevel="0" collapsed="false">
      <c r="A72" s="3" t="s">
        <v>175</v>
      </c>
      <c r="B72" s="15" t="n">
        <f aca="false">SUMIFS('NF x Centro de Custo'!$H$5:$H$1270,'NF x Centro de Custo'!$E$5:$E$1270,$A72,'NF x Centro de Custo'!$A$5:$A$1270,B$3)</f>
        <v>0</v>
      </c>
      <c r="C72" s="15" t="n">
        <f aca="false">SUMIFS('NF x Centro de Custo'!$H$5:$H$1270,'NF x Centro de Custo'!$E$5:$E$1270,$A72,'NF x Centro de Custo'!$A$5:$A$1270,C$3)</f>
        <v>8614.59</v>
      </c>
      <c r="D72" s="15" t="n">
        <f aca="false">SUMIFS('NF x Centro de Custo'!$H$5:$H$1270,'NF x Centro de Custo'!$E$5:$E$1270,$A72,'NF x Centro de Custo'!$A$5:$A$1270,D$3)</f>
        <v>9609.31</v>
      </c>
      <c r="E72" s="15" t="n">
        <f aca="false">SUMIFS('NF x Centro de Custo'!$H$5:$H$1270,'NF x Centro de Custo'!$E$5:$E$1270,$A72,'NF x Centro de Custo'!$A$5:$A$1270,E$3)</f>
        <v>6837.32</v>
      </c>
      <c r="F72" s="15" t="n">
        <f aca="false">SUMIFS('NF x Centro de Custo'!$H$5:$H$1270,'NF x Centro de Custo'!$E$5:$E$1270,$A72,'NF x Centro de Custo'!$A$5:$A$1270,F$3)</f>
        <v>609.81</v>
      </c>
      <c r="G72" s="15" t="n">
        <f aca="false">SUMIFS('NF x Centro de Custo'!$H$5:$H$1270,'NF x Centro de Custo'!$E$5:$E$1270,$A72,'NF x Centro de Custo'!$A$5:$A$1270,G$3)</f>
        <v>0</v>
      </c>
      <c r="H72" s="15" t="n">
        <f aca="false">SUMIFS('NF x Centro de Custo'!$H$5:$H$1270,'NF x Centro de Custo'!$E$5:$E$1270,$A72,'NF x Centro de Custo'!$A$5:$A$1270,H$3)</f>
        <v>0</v>
      </c>
      <c r="I72" s="15" t="n">
        <f aca="false">SUM(B72:H72)</f>
        <v>25671.03</v>
      </c>
      <c r="J72" s="16" t="n">
        <f aca="false">IFERROR(I72/I$94,0)</f>
        <v>0.000775742877437733</v>
      </c>
    </row>
    <row r="73" customFormat="false" ht="15" hidden="false" customHeight="false" outlineLevel="0" collapsed="false">
      <c r="A73" s="3" t="s">
        <v>176</v>
      </c>
      <c r="B73" s="15" t="n">
        <f aca="false">SUMIFS('NF x Centro de Custo'!$H$5:$H$1270,'NF x Centro de Custo'!$E$5:$E$1270,$A73,'NF x Centro de Custo'!$A$5:$A$1270,B$3)</f>
        <v>12469.08</v>
      </c>
      <c r="C73" s="15" t="n">
        <f aca="false">SUMIFS('NF x Centro de Custo'!$H$5:$H$1270,'NF x Centro de Custo'!$E$5:$E$1270,$A73,'NF x Centro de Custo'!$A$5:$A$1270,C$3)</f>
        <v>12485.76</v>
      </c>
      <c r="D73" s="15" t="n">
        <f aca="false">SUMIFS('NF x Centro de Custo'!$H$5:$H$1270,'NF x Centro de Custo'!$E$5:$E$1270,$A73,'NF x Centro de Custo'!$A$5:$A$1270,D$3)</f>
        <v>-799.75</v>
      </c>
      <c r="E73" s="15" t="n">
        <f aca="false">SUMIFS('NF x Centro de Custo'!$H$5:$H$1270,'NF x Centro de Custo'!$E$5:$E$1270,$A73,'NF x Centro de Custo'!$A$5:$A$1270,E$3)</f>
        <v>0</v>
      </c>
      <c r="F73" s="15" t="n">
        <f aca="false">SUMIFS('NF x Centro de Custo'!$H$5:$H$1270,'NF x Centro de Custo'!$E$5:$E$1270,$A73,'NF x Centro de Custo'!$A$5:$A$1270,F$3)</f>
        <v>0</v>
      </c>
      <c r="G73" s="15" t="n">
        <f aca="false">SUMIFS('NF x Centro de Custo'!$H$5:$H$1270,'NF x Centro de Custo'!$E$5:$E$1270,$A73,'NF x Centro de Custo'!$A$5:$A$1270,G$3)</f>
        <v>0</v>
      </c>
      <c r="H73" s="15" t="n">
        <f aca="false">SUMIFS('NF x Centro de Custo'!$H$5:$H$1270,'NF x Centro de Custo'!$E$5:$E$1270,$A73,'NF x Centro de Custo'!$A$5:$A$1270,H$3)</f>
        <v>0</v>
      </c>
      <c r="I73" s="15" t="n">
        <f aca="false">SUM(B73:H73)</f>
        <v>24155.09</v>
      </c>
      <c r="J73" s="16" t="n">
        <f aca="false">IFERROR(I73/I$94,0)</f>
        <v>0.000729933275811972</v>
      </c>
    </row>
    <row r="74" customFormat="false" ht="15" hidden="false" customHeight="false" outlineLevel="0" collapsed="false">
      <c r="A74" s="3" t="s">
        <v>177</v>
      </c>
      <c r="B74" s="15" t="n">
        <f aca="false">SUMIFS('NF x Centro de Custo'!$H$5:$H$1270,'NF x Centro de Custo'!$E$5:$E$1270,$A74,'NF x Centro de Custo'!$A$5:$A$1270,B$3)</f>
        <v>0</v>
      </c>
      <c r="C74" s="15" t="n">
        <f aca="false">SUMIFS('NF x Centro de Custo'!$H$5:$H$1270,'NF x Centro de Custo'!$E$5:$E$1270,$A74,'NF x Centro de Custo'!$A$5:$A$1270,C$3)</f>
        <v>0</v>
      </c>
      <c r="D74" s="15" t="n">
        <f aca="false">SUMIFS('NF x Centro de Custo'!$H$5:$H$1270,'NF x Centro de Custo'!$E$5:$E$1270,$A74,'NF x Centro de Custo'!$A$5:$A$1270,D$3)</f>
        <v>0</v>
      </c>
      <c r="E74" s="15" t="n">
        <f aca="false">SUMIFS('NF x Centro de Custo'!$H$5:$H$1270,'NF x Centro de Custo'!$E$5:$E$1270,$A74,'NF x Centro de Custo'!$A$5:$A$1270,E$3)</f>
        <v>0</v>
      </c>
      <c r="F74" s="15" t="n">
        <f aca="false">SUMIFS('NF x Centro de Custo'!$H$5:$H$1270,'NF x Centro de Custo'!$E$5:$E$1270,$A74,'NF x Centro de Custo'!$A$5:$A$1270,F$3)</f>
        <v>400.5</v>
      </c>
      <c r="G74" s="15" t="n">
        <f aca="false">SUMIFS('NF x Centro de Custo'!$H$5:$H$1270,'NF x Centro de Custo'!$E$5:$E$1270,$A74,'NF x Centro de Custo'!$A$5:$A$1270,G$3)</f>
        <v>12515.19</v>
      </c>
      <c r="H74" s="15" t="n">
        <f aca="false">SUMIFS('NF x Centro de Custo'!$H$5:$H$1270,'NF x Centro de Custo'!$E$5:$E$1270,$A74,'NF x Centro de Custo'!$A$5:$A$1270,H$3)</f>
        <v>8806.669632</v>
      </c>
      <c r="I74" s="15" t="n">
        <f aca="false">SUM(B74:H74)</f>
        <v>21722.359632</v>
      </c>
      <c r="J74" s="16" t="n">
        <f aca="false">IFERROR(I74/I$94,0)</f>
        <v>0.000656419542404996</v>
      </c>
    </row>
    <row r="75" customFormat="false" ht="15" hidden="false" customHeight="false" outlineLevel="0" collapsed="false">
      <c r="A75" s="3" t="s">
        <v>178</v>
      </c>
      <c r="B75" s="15" t="n">
        <f aca="false">SUMIFS('NF x Centro de Custo'!$H$5:$H$1270,'NF x Centro de Custo'!$E$5:$E$1270,$A75,'NF x Centro de Custo'!$A$5:$A$1270,B$3)</f>
        <v>16729.34</v>
      </c>
      <c r="C75" s="15" t="n">
        <f aca="false">SUMIFS('NF x Centro de Custo'!$H$5:$H$1270,'NF x Centro de Custo'!$E$5:$E$1270,$A75,'NF x Centro de Custo'!$A$5:$A$1270,C$3)</f>
        <v>1194.48</v>
      </c>
      <c r="D75" s="15" t="n">
        <f aca="false">SUMIFS('NF x Centro de Custo'!$H$5:$H$1270,'NF x Centro de Custo'!$E$5:$E$1270,$A75,'NF x Centro de Custo'!$A$5:$A$1270,D$3)</f>
        <v>0</v>
      </c>
      <c r="E75" s="15" t="n">
        <f aca="false">SUMIFS('NF x Centro de Custo'!$H$5:$H$1270,'NF x Centro de Custo'!$E$5:$E$1270,$A75,'NF x Centro de Custo'!$A$5:$A$1270,E$3)</f>
        <v>0</v>
      </c>
      <c r="F75" s="15" t="n">
        <f aca="false">SUMIFS('NF x Centro de Custo'!$H$5:$H$1270,'NF x Centro de Custo'!$E$5:$E$1270,$A75,'NF x Centro de Custo'!$A$5:$A$1270,F$3)</f>
        <v>0</v>
      </c>
      <c r="G75" s="15" t="n">
        <f aca="false">SUMIFS('NF x Centro de Custo'!$H$5:$H$1270,'NF x Centro de Custo'!$E$5:$E$1270,$A75,'NF x Centro de Custo'!$A$5:$A$1270,G$3)</f>
        <v>0</v>
      </c>
      <c r="H75" s="15" t="n">
        <f aca="false">SUMIFS('NF x Centro de Custo'!$H$5:$H$1270,'NF x Centro de Custo'!$E$5:$E$1270,$A75,'NF x Centro de Custo'!$A$5:$A$1270,H$3)</f>
        <v>0</v>
      </c>
      <c r="I75" s="15" t="n">
        <f aca="false">SUM(B75:H75)</f>
        <v>17923.82</v>
      </c>
      <c r="J75" s="16" t="n">
        <f aca="false">IFERROR(I75/I$94,0)</f>
        <v>0.000541632949728779</v>
      </c>
    </row>
    <row r="76" customFormat="false" ht="15" hidden="false" customHeight="false" outlineLevel="0" collapsed="false">
      <c r="A76" s="3" t="s">
        <v>179</v>
      </c>
      <c r="B76" s="15" t="n">
        <f aca="false">SUMIFS('NF x Centro de Custo'!$H$5:$H$1270,'NF x Centro de Custo'!$E$5:$E$1270,$A76,'NF x Centro de Custo'!$A$5:$A$1270,B$3)</f>
        <v>14956.37</v>
      </c>
      <c r="C76" s="15" t="n">
        <f aca="false">SUMIFS('NF x Centro de Custo'!$H$5:$H$1270,'NF x Centro de Custo'!$E$5:$E$1270,$A76,'NF x Centro de Custo'!$A$5:$A$1270,C$3)</f>
        <v>0</v>
      </c>
      <c r="D76" s="15" t="n">
        <f aca="false">SUMIFS('NF x Centro de Custo'!$H$5:$H$1270,'NF x Centro de Custo'!$E$5:$E$1270,$A76,'NF x Centro de Custo'!$A$5:$A$1270,D$3)</f>
        <v>0</v>
      </c>
      <c r="E76" s="15" t="n">
        <f aca="false">SUMIFS('NF x Centro de Custo'!$H$5:$H$1270,'NF x Centro de Custo'!$E$5:$E$1270,$A76,'NF x Centro de Custo'!$A$5:$A$1270,E$3)</f>
        <v>0</v>
      </c>
      <c r="F76" s="15" t="n">
        <f aca="false">SUMIFS('NF x Centro de Custo'!$H$5:$H$1270,'NF x Centro de Custo'!$E$5:$E$1270,$A76,'NF x Centro de Custo'!$A$5:$A$1270,F$3)</f>
        <v>0</v>
      </c>
      <c r="G76" s="15" t="n">
        <f aca="false">SUMIFS('NF x Centro de Custo'!$H$5:$H$1270,'NF x Centro de Custo'!$E$5:$E$1270,$A76,'NF x Centro de Custo'!$A$5:$A$1270,G$3)</f>
        <v>0</v>
      </c>
      <c r="H76" s="15" t="n">
        <f aca="false">SUMIFS('NF x Centro de Custo'!$H$5:$H$1270,'NF x Centro de Custo'!$E$5:$E$1270,$A76,'NF x Centro de Custo'!$A$5:$A$1270,H$3)</f>
        <v>0</v>
      </c>
      <c r="I76" s="15" t="n">
        <f aca="false">SUM(B76:H76)</f>
        <v>14956.37</v>
      </c>
      <c r="J76" s="16" t="n">
        <f aca="false">IFERROR(I76/I$94,0)</f>
        <v>0.000451960731603811</v>
      </c>
    </row>
    <row r="77" customFormat="false" ht="15" hidden="false" customHeight="false" outlineLevel="0" collapsed="false">
      <c r="A77" s="3" t="s">
        <v>180</v>
      </c>
      <c r="B77" s="15" t="n">
        <f aca="false">SUMIFS('NF x Centro de Custo'!$H$5:$H$1270,'NF x Centro de Custo'!$E$5:$E$1270,$A77,'NF x Centro de Custo'!$A$5:$A$1270,B$3)</f>
        <v>4017.74</v>
      </c>
      <c r="C77" s="15" t="n">
        <f aca="false">SUMIFS('NF x Centro de Custo'!$H$5:$H$1270,'NF x Centro de Custo'!$E$5:$E$1270,$A77,'NF x Centro de Custo'!$A$5:$A$1270,C$3)</f>
        <v>4574.33</v>
      </c>
      <c r="D77" s="15" t="n">
        <f aca="false">SUMIFS('NF x Centro de Custo'!$H$5:$H$1270,'NF x Centro de Custo'!$E$5:$E$1270,$A77,'NF x Centro de Custo'!$A$5:$A$1270,D$3)</f>
        <v>4446.72</v>
      </c>
      <c r="E77" s="15" t="n">
        <f aca="false">SUMIFS('NF x Centro de Custo'!$H$5:$H$1270,'NF x Centro de Custo'!$E$5:$E$1270,$A77,'NF x Centro de Custo'!$A$5:$A$1270,E$3)</f>
        <v>-265.74</v>
      </c>
      <c r="F77" s="15" t="n">
        <f aca="false">SUMIFS('NF x Centro de Custo'!$H$5:$H$1270,'NF x Centro de Custo'!$E$5:$E$1270,$A77,'NF x Centro de Custo'!$A$5:$A$1270,F$3)</f>
        <v>0</v>
      </c>
      <c r="G77" s="15" t="n">
        <f aca="false">SUMIFS('NF x Centro de Custo'!$H$5:$H$1270,'NF x Centro de Custo'!$E$5:$E$1270,$A77,'NF x Centro de Custo'!$A$5:$A$1270,G$3)</f>
        <v>0</v>
      </c>
      <c r="H77" s="15" t="n">
        <f aca="false">SUMIFS('NF x Centro de Custo'!$H$5:$H$1270,'NF x Centro de Custo'!$E$5:$E$1270,$A77,'NF x Centro de Custo'!$A$5:$A$1270,H$3)</f>
        <v>0</v>
      </c>
      <c r="I77" s="15" t="n">
        <f aca="false">SUM(B77:H77)</f>
        <v>12773.05</v>
      </c>
      <c r="J77" s="16" t="n">
        <f aca="false">IFERROR(I77/I$94,0)</f>
        <v>0.000385983833163532</v>
      </c>
    </row>
    <row r="78" customFormat="false" ht="15" hidden="false" customHeight="false" outlineLevel="0" collapsed="false">
      <c r="A78" s="3" t="s">
        <v>181</v>
      </c>
      <c r="B78" s="15" t="n">
        <f aca="false">SUMIFS('NF x Centro de Custo'!$H$5:$H$1270,'NF x Centro de Custo'!$E$5:$E$1270,$A78,'NF x Centro de Custo'!$A$5:$A$1270,B$3)</f>
        <v>0</v>
      </c>
      <c r="C78" s="15" t="n">
        <f aca="false">SUMIFS('NF x Centro de Custo'!$H$5:$H$1270,'NF x Centro de Custo'!$E$5:$E$1270,$A78,'NF x Centro de Custo'!$A$5:$A$1270,C$3)</f>
        <v>12641.47</v>
      </c>
      <c r="D78" s="15" t="n">
        <f aca="false">SUMIFS('NF x Centro de Custo'!$H$5:$H$1270,'NF x Centro de Custo'!$E$5:$E$1270,$A78,'NF x Centro de Custo'!$A$5:$A$1270,D$3)</f>
        <v>0</v>
      </c>
      <c r="E78" s="15" t="n">
        <f aca="false">SUMIFS('NF x Centro de Custo'!$H$5:$H$1270,'NF x Centro de Custo'!$E$5:$E$1270,$A78,'NF x Centro de Custo'!$A$5:$A$1270,E$3)</f>
        <v>0</v>
      </c>
      <c r="F78" s="15" t="n">
        <f aca="false">SUMIFS('NF x Centro de Custo'!$H$5:$H$1270,'NF x Centro de Custo'!$E$5:$E$1270,$A78,'NF x Centro de Custo'!$A$5:$A$1270,F$3)</f>
        <v>0</v>
      </c>
      <c r="G78" s="15" t="n">
        <f aca="false">SUMIFS('NF x Centro de Custo'!$H$5:$H$1270,'NF x Centro de Custo'!$E$5:$E$1270,$A78,'NF x Centro de Custo'!$A$5:$A$1270,G$3)</f>
        <v>0</v>
      </c>
      <c r="H78" s="15" t="n">
        <f aca="false">SUMIFS('NF x Centro de Custo'!$H$5:$H$1270,'NF x Centro de Custo'!$E$5:$E$1270,$A78,'NF x Centro de Custo'!$A$5:$A$1270,H$3)</f>
        <v>0</v>
      </c>
      <c r="I78" s="15" t="n">
        <f aca="false">SUM(B78:H78)</f>
        <v>12641.47</v>
      </c>
      <c r="J78" s="16" t="n">
        <f aca="false">IFERROR(I78/I$94,0)</f>
        <v>0.000382007668287668</v>
      </c>
    </row>
    <row r="79" customFormat="false" ht="15" hidden="false" customHeight="false" outlineLevel="0" collapsed="false">
      <c r="A79" s="3" t="s">
        <v>182</v>
      </c>
      <c r="B79" s="15" t="n">
        <f aca="false">SUMIFS('NF x Centro de Custo'!$H$5:$H$1270,'NF x Centro de Custo'!$E$5:$E$1270,$A79,'NF x Centro de Custo'!$A$5:$A$1270,B$3)</f>
        <v>4180.19</v>
      </c>
      <c r="C79" s="15" t="n">
        <f aca="false">SUMIFS('NF x Centro de Custo'!$H$5:$H$1270,'NF x Centro de Custo'!$E$5:$E$1270,$A79,'NF x Centro de Custo'!$A$5:$A$1270,C$3)</f>
        <v>4746.19</v>
      </c>
      <c r="D79" s="15" t="n">
        <f aca="false">SUMIFS('NF x Centro de Custo'!$H$5:$H$1270,'NF x Centro de Custo'!$E$5:$E$1270,$A79,'NF x Centro de Custo'!$A$5:$A$1270,D$3)</f>
        <v>3027.61</v>
      </c>
      <c r="E79" s="15" t="n">
        <f aca="false">SUMIFS('NF x Centro de Custo'!$H$5:$H$1270,'NF x Centro de Custo'!$E$5:$E$1270,$A79,'NF x Centro de Custo'!$A$5:$A$1270,E$3)</f>
        <v>0</v>
      </c>
      <c r="F79" s="15" t="n">
        <f aca="false">SUMIFS('NF x Centro de Custo'!$H$5:$H$1270,'NF x Centro de Custo'!$E$5:$E$1270,$A79,'NF x Centro de Custo'!$A$5:$A$1270,F$3)</f>
        <v>0</v>
      </c>
      <c r="G79" s="15" t="n">
        <f aca="false">SUMIFS('NF x Centro de Custo'!$H$5:$H$1270,'NF x Centro de Custo'!$E$5:$E$1270,$A79,'NF x Centro de Custo'!$A$5:$A$1270,G$3)</f>
        <v>0</v>
      </c>
      <c r="H79" s="15" t="n">
        <f aca="false">SUMIFS('NF x Centro de Custo'!$H$5:$H$1270,'NF x Centro de Custo'!$E$5:$E$1270,$A79,'NF x Centro de Custo'!$A$5:$A$1270,H$3)</f>
        <v>0</v>
      </c>
      <c r="I79" s="15" t="n">
        <f aca="false">SUM(B79:H79)</f>
        <v>11953.99</v>
      </c>
      <c r="J79" s="16" t="n">
        <f aca="false">IFERROR(I79/I$94,0)</f>
        <v>0.000361232977385866</v>
      </c>
    </row>
    <row r="80" customFormat="false" ht="15" hidden="false" customHeight="false" outlineLevel="0" collapsed="false">
      <c r="A80" s="3" t="s">
        <v>183</v>
      </c>
      <c r="B80" s="15" t="n">
        <f aca="false">SUMIFS('NF x Centro de Custo'!$H$5:$H$1270,'NF x Centro de Custo'!$E$5:$E$1270,$A80,'NF x Centro de Custo'!$A$5:$A$1270,B$3)</f>
        <v>8279.19</v>
      </c>
      <c r="C80" s="15" t="n">
        <f aca="false">SUMIFS('NF x Centro de Custo'!$H$5:$H$1270,'NF x Centro de Custo'!$E$5:$E$1270,$A80,'NF x Centro de Custo'!$A$5:$A$1270,C$3)</f>
        <v>2029.16</v>
      </c>
      <c r="D80" s="15" t="n">
        <f aca="false">SUMIFS('NF x Centro de Custo'!$H$5:$H$1270,'NF x Centro de Custo'!$E$5:$E$1270,$A80,'NF x Centro de Custo'!$A$5:$A$1270,D$3)</f>
        <v>0</v>
      </c>
      <c r="E80" s="15" t="n">
        <f aca="false">SUMIFS('NF x Centro de Custo'!$H$5:$H$1270,'NF x Centro de Custo'!$E$5:$E$1270,$A80,'NF x Centro de Custo'!$A$5:$A$1270,E$3)</f>
        <v>0</v>
      </c>
      <c r="F80" s="15" t="n">
        <f aca="false">SUMIFS('NF x Centro de Custo'!$H$5:$H$1270,'NF x Centro de Custo'!$E$5:$E$1270,$A80,'NF x Centro de Custo'!$A$5:$A$1270,F$3)</f>
        <v>0</v>
      </c>
      <c r="G80" s="15" t="n">
        <f aca="false">SUMIFS('NF x Centro de Custo'!$H$5:$H$1270,'NF x Centro de Custo'!$E$5:$E$1270,$A80,'NF x Centro de Custo'!$A$5:$A$1270,G$3)</f>
        <v>0</v>
      </c>
      <c r="H80" s="15" t="n">
        <f aca="false">SUMIFS('NF x Centro de Custo'!$H$5:$H$1270,'NF x Centro de Custo'!$E$5:$E$1270,$A80,'NF x Centro de Custo'!$A$5:$A$1270,H$3)</f>
        <v>0</v>
      </c>
      <c r="I80" s="15" t="n">
        <f aca="false">SUM(B80:H80)</f>
        <v>10308.35</v>
      </c>
      <c r="J80" s="16" t="n">
        <f aca="false">IFERROR(I80/I$94,0)</f>
        <v>0.000311504021873499</v>
      </c>
    </row>
    <row r="81" customFormat="false" ht="15" hidden="false" customHeight="false" outlineLevel="0" collapsed="false">
      <c r="A81" s="3" t="s">
        <v>184</v>
      </c>
      <c r="B81" s="15" t="n">
        <f aca="false">SUMIFS('NF x Centro de Custo'!$H$5:$H$1270,'NF x Centro de Custo'!$E$5:$E$1270,$A81,'NF x Centro de Custo'!$A$5:$A$1270,B$3)</f>
        <v>6184.79</v>
      </c>
      <c r="C81" s="15" t="n">
        <f aca="false">SUMIFS('NF x Centro de Custo'!$H$5:$H$1270,'NF x Centro de Custo'!$E$5:$E$1270,$A81,'NF x Centro de Custo'!$A$5:$A$1270,C$3)</f>
        <v>0</v>
      </c>
      <c r="D81" s="15" t="n">
        <f aca="false">SUMIFS('NF x Centro de Custo'!$H$5:$H$1270,'NF x Centro de Custo'!$E$5:$E$1270,$A81,'NF x Centro de Custo'!$A$5:$A$1270,D$3)</f>
        <v>0</v>
      </c>
      <c r="E81" s="15" t="n">
        <f aca="false">SUMIFS('NF x Centro de Custo'!$H$5:$H$1270,'NF x Centro de Custo'!$E$5:$E$1270,$A81,'NF x Centro de Custo'!$A$5:$A$1270,E$3)</f>
        <v>0</v>
      </c>
      <c r="F81" s="15" t="n">
        <f aca="false">SUMIFS('NF x Centro de Custo'!$H$5:$H$1270,'NF x Centro de Custo'!$E$5:$E$1270,$A81,'NF x Centro de Custo'!$A$5:$A$1270,F$3)</f>
        <v>0</v>
      </c>
      <c r="G81" s="15" t="n">
        <f aca="false">SUMIFS('NF x Centro de Custo'!$H$5:$H$1270,'NF x Centro de Custo'!$E$5:$E$1270,$A81,'NF x Centro de Custo'!$A$5:$A$1270,G$3)</f>
        <v>0</v>
      </c>
      <c r="H81" s="15" t="n">
        <f aca="false">SUMIFS('NF x Centro de Custo'!$H$5:$H$1270,'NF x Centro de Custo'!$E$5:$E$1270,$A81,'NF x Centro de Custo'!$A$5:$A$1270,H$3)</f>
        <v>0</v>
      </c>
      <c r="I81" s="15" t="n">
        <f aca="false">SUM(B81:H81)</f>
        <v>6184.79</v>
      </c>
      <c r="J81" s="16" t="n">
        <f aca="false">IFERROR(I81/I$94,0)</f>
        <v>0.000186895765029612</v>
      </c>
    </row>
    <row r="82" customFormat="false" ht="15" hidden="false" customHeight="false" outlineLevel="0" collapsed="false">
      <c r="A82" s="3" t="s">
        <v>185</v>
      </c>
      <c r="B82" s="15" t="n">
        <f aca="false">SUMIFS('NF x Centro de Custo'!$H$5:$H$1270,'NF x Centro de Custo'!$E$5:$E$1270,$A82,'NF x Centro de Custo'!$A$5:$A$1270,B$3)</f>
        <v>5925.46</v>
      </c>
      <c r="C82" s="15" t="n">
        <f aca="false">SUMIFS('NF x Centro de Custo'!$H$5:$H$1270,'NF x Centro de Custo'!$E$5:$E$1270,$A82,'NF x Centro de Custo'!$A$5:$A$1270,C$3)</f>
        <v>0</v>
      </c>
      <c r="D82" s="15" t="n">
        <f aca="false">SUMIFS('NF x Centro de Custo'!$H$5:$H$1270,'NF x Centro de Custo'!$E$5:$E$1270,$A82,'NF x Centro de Custo'!$A$5:$A$1270,D$3)</f>
        <v>0</v>
      </c>
      <c r="E82" s="15" t="n">
        <f aca="false">SUMIFS('NF x Centro de Custo'!$H$5:$H$1270,'NF x Centro de Custo'!$E$5:$E$1270,$A82,'NF x Centro de Custo'!$A$5:$A$1270,E$3)</f>
        <v>0</v>
      </c>
      <c r="F82" s="15" t="n">
        <f aca="false">SUMIFS('NF x Centro de Custo'!$H$5:$H$1270,'NF x Centro de Custo'!$E$5:$E$1270,$A82,'NF x Centro de Custo'!$A$5:$A$1270,F$3)</f>
        <v>0</v>
      </c>
      <c r="G82" s="15" t="n">
        <f aca="false">SUMIFS('NF x Centro de Custo'!$H$5:$H$1270,'NF x Centro de Custo'!$E$5:$E$1270,$A82,'NF x Centro de Custo'!$A$5:$A$1270,G$3)</f>
        <v>0</v>
      </c>
      <c r="H82" s="15" t="n">
        <f aca="false">SUMIFS('NF x Centro de Custo'!$H$5:$H$1270,'NF x Centro de Custo'!$E$5:$E$1270,$A82,'NF x Centro de Custo'!$A$5:$A$1270,H$3)</f>
        <v>0</v>
      </c>
      <c r="I82" s="15" t="n">
        <f aca="false">SUM(B82:H82)</f>
        <v>5925.46</v>
      </c>
      <c r="J82" s="16" t="n">
        <f aca="false">IFERROR(I82/I$94,0)</f>
        <v>0.000179059172559192</v>
      </c>
    </row>
    <row r="83" customFormat="false" ht="15" hidden="false" customHeight="false" outlineLevel="0" collapsed="false">
      <c r="A83" s="3" t="s">
        <v>186</v>
      </c>
      <c r="B83" s="15" t="n">
        <f aca="false">SUMIFS('NF x Centro de Custo'!$H$5:$H$1270,'NF x Centro de Custo'!$E$5:$E$1270,$A83,'NF x Centro de Custo'!$A$5:$A$1270,B$3)</f>
        <v>918.55</v>
      </c>
      <c r="C83" s="15" t="n">
        <f aca="false">SUMIFS('NF x Centro de Custo'!$H$5:$H$1270,'NF x Centro de Custo'!$E$5:$E$1270,$A83,'NF x Centro de Custo'!$A$5:$A$1270,C$3)</f>
        <v>383.86</v>
      </c>
      <c r="D83" s="15" t="n">
        <f aca="false">SUMIFS('NF x Centro de Custo'!$H$5:$H$1270,'NF x Centro de Custo'!$E$5:$E$1270,$A83,'NF x Centro de Custo'!$A$5:$A$1270,D$3)</f>
        <v>0</v>
      </c>
      <c r="E83" s="15" t="n">
        <f aca="false">SUMIFS('NF x Centro de Custo'!$H$5:$H$1270,'NF x Centro de Custo'!$E$5:$E$1270,$A83,'NF x Centro de Custo'!$A$5:$A$1270,E$3)</f>
        <v>2773.71</v>
      </c>
      <c r="F83" s="15" t="n">
        <f aca="false">SUMIFS('NF x Centro de Custo'!$H$5:$H$1270,'NF x Centro de Custo'!$E$5:$E$1270,$A83,'NF x Centro de Custo'!$A$5:$A$1270,F$3)</f>
        <v>156.6</v>
      </c>
      <c r="G83" s="15" t="n">
        <f aca="false">SUMIFS('NF x Centro de Custo'!$H$5:$H$1270,'NF x Centro de Custo'!$E$5:$E$1270,$A83,'NF x Centro de Custo'!$A$5:$A$1270,G$3)</f>
        <v>119.51</v>
      </c>
      <c r="H83" s="15" t="n">
        <f aca="false">SUMIFS('NF x Centro de Custo'!$H$5:$H$1270,'NF x Centro de Custo'!$E$5:$E$1270,$A83,'NF x Centro de Custo'!$A$5:$A$1270,H$3)</f>
        <v>0</v>
      </c>
      <c r="I83" s="15" t="n">
        <f aca="false">SUM(B83:H83)</f>
        <v>4352.23</v>
      </c>
      <c r="J83" s="16" t="n">
        <f aca="false">IFERROR(I83/I$94,0)</f>
        <v>0.000131518346691614</v>
      </c>
    </row>
    <row r="84" customFormat="false" ht="15" hidden="false" customHeight="false" outlineLevel="0" collapsed="false">
      <c r="A84" s="3" t="s">
        <v>187</v>
      </c>
      <c r="B84" s="15" t="n">
        <f aca="false">SUMIFS('NF x Centro de Custo'!$H$5:$H$1270,'NF x Centro de Custo'!$E$5:$E$1270,$A84,'NF x Centro de Custo'!$A$5:$A$1270,B$3)</f>
        <v>3384.91</v>
      </c>
      <c r="C84" s="15" t="n">
        <f aca="false">SUMIFS('NF x Centro de Custo'!$H$5:$H$1270,'NF x Centro de Custo'!$E$5:$E$1270,$A84,'NF x Centro de Custo'!$A$5:$A$1270,C$3)</f>
        <v>0</v>
      </c>
      <c r="D84" s="15" t="n">
        <f aca="false">SUMIFS('NF x Centro de Custo'!$H$5:$H$1270,'NF x Centro de Custo'!$E$5:$E$1270,$A84,'NF x Centro de Custo'!$A$5:$A$1270,D$3)</f>
        <v>0</v>
      </c>
      <c r="E84" s="15" t="n">
        <f aca="false">SUMIFS('NF x Centro de Custo'!$H$5:$H$1270,'NF x Centro de Custo'!$E$5:$E$1270,$A84,'NF x Centro de Custo'!$A$5:$A$1270,E$3)</f>
        <v>0</v>
      </c>
      <c r="F84" s="15" t="n">
        <f aca="false">SUMIFS('NF x Centro de Custo'!$H$5:$H$1270,'NF x Centro de Custo'!$E$5:$E$1270,$A84,'NF x Centro de Custo'!$A$5:$A$1270,F$3)</f>
        <v>0</v>
      </c>
      <c r="G84" s="15" t="n">
        <f aca="false">SUMIFS('NF x Centro de Custo'!$H$5:$H$1270,'NF x Centro de Custo'!$E$5:$E$1270,$A84,'NF x Centro de Custo'!$A$5:$A$1270,G$3)</f>
        <v>0</v>
      </c>
      <c r="H84" s="15" t="n">
        <f aca="false">SUMIFS('NF x Centro de Custo'!$H$5:$H$1270,'NF x Centro de Custo'!$E$5:$E$1270,$A84,'NF x Centro de Custo'!$A$5:$A$1270,H$3)</f>
        <v>0</v>
      </c>
      <c r="I84" s="15" t="n">
        <f aca="false">SUM(B84:H84)</f>
        <v>3384.91</v>
      </c>
      <c r="J84" s="16" t="n">
        <f aca="false">IFERROR(I84/I$94,0)</f>
        <v>0.000102287279601471</v>
      </c>
    </row>
    <row r="85" customFormat="false" ht="15" hidden="false" customHeight="false" outlineLevel="0" collapsed="false">
      <c r="A85" s="3" t="s">
        <v>188</v>
      </c>
      <c r="B85" s="15" t="n">
        <f aca="false">SUMIFS('NF x Centro de Custo'!$H$5:$H$1270,'NF x Centro de Custo'!$E$5:$E$1270,$A85,'NF x Centro de Custo'!$A$5:$A$1270,B$3)</f>
        <v>3128.25</v>
      </c>
      <c r="C85" s="15" t="n">
        <f aca="false">SUMIFS('NF x Centro de Custo'!$H$5:$H$1270,'NF x Centro de Custo'!$E$5:$E$1270,$A85,'NF x Centro de Custo'!$A$5:$A$1270,C$3)</f>
        <v>82.52</v>
      </c>
      <c r="D85" s="15" t="n">
        <f aca="false">SUMIFS('NF x Centro de Custo'!$H$5:$H$1270,'NF x Centro de Custo'!$E$5:$E$1270,$A85,'NF x Centro de Custo'!$A$5:$A$1270,D$3)</f>
        <v>0</v>
      </c>
      <c r="E85" s="15" t="n">
        <f aca="false">SUMIFS('NF x Centro de Custo'!$H$5:$H$1270,'NF x Centro de Custo'!$E$5:$E$1270,$A85,'NF x Centro de Custo'!$A$5:$A$1270,E$3)</f>
        <v>0</v>
      </c>
      <c r="F85" s="15" t="n">
        <f aca="false">SUMIFS('NF x Centro de Custo'!$H$5:$H$1270,'NF x Centro de Custo'!$E$5:$E$1270,$A85,'NF x Centro de Custo'!$A$5:$A$1270,F$3)</f>
        <v>0</v>
      </c>
      <c r="G85" s="15" t="n">
        <f aca="false">SUMIFS('NF x Centro de Custo'!$H$5:$H$1270,'NF x Centro de Custo'!$E$5:$E$1270,$A85,'NF x Centro de Custo'!$A$5:$A$1270,G$3)</f>
        <v>0</v>
      </c>
      <c r="H85" s="15" t="n">
        <f aca="false">SUMIFS('NF x Centro de Custo'!$H$5:$H$1270,'NF x Centro de Custo'!$E$5:$E$1270,$A85,'NF x Centro de Custo'!$A$5:$A$1270,H$3)</f>
        <v>0</v>
      </c>
      <c r="I85" s="15" t="n">
        <f aca="false">SUM(B85:H85)</f>
        <v>3210.77</v>
      </c>
      <c r="J85" s="16" t="n">
        <f aca="false">IFERROR(I85/I$94,0)</f>
        <v>9.70250106283522E-005</v>
      </c>
    </row>
    <row r="86" customFormat="false" ht="15" hidden="false" customHeight="false" outlineLevel="0" collapsed="false">
      <c r="A86" s="3" t="s">
        <v>189</v>
      </c>
      <c r="B86" s="15" t="n">
        <f aca="false">SUMIFS('NF x Centro de Custo'!$H$5:$H$1270,'NF x Centro de Custo'!$E$5:$E$1270,$A86,'NF x Centro de Custo'!$A$5:$A$1270,B$3)</f>
        <v>2515.85</v>
      </c>
      <c r="C86" s="15" t="n">
        <f aca="false">SUMIFS('NF x Centro de Custo'!$H$5:$H$1270,'NF x Centro de Custo'!$E$5:$E$1270,$A86,'NF x Centro de Custo'!$A$5:$A$1270,C$3)</f>
        <v>0</v>
      </c>
      <c r="D86" s="15" t="n">
        <f aca="false">SUMIFS('NF x Centro de Custo'!$H$5:$H$1270,'NF x Centro de Custo'!$E$5:$E$1270,$A86,'NF x Centro de Custo'!$A$5:$A$1270,D$3)</f>
        <v>0</v>
      </c>
      <c r="E86" s="15" t="n">
        <f aca="false">SUMIFS('NF x Centro de Custo'!$H$5:$H$1270,'NF x Centro de Custo'!$E$5:$E$1270,$A86,'NF x Centro de Custo'!$A$5:$A$1270,E$3)</f>
        <v>0</v>
      </c>
      <c r="F86" s="15" t="n">
        <f aca="false">SUMIFS('NF x Centro de Custo'!$H$5:$H$1270,'NF x Centro de Custo'!$E$5:$E$1270,$A86,'NF x Centro de Custo'!$A$5:$A$1270,F$3)</f>
        <v>39</v>
      </c>
      <c r="G86" s="15" t="n">
        <f aca="false">SUMIFS('NF x Centro de Custo'!$H$5:$H$1270,'NF x Centro de Custo'!$E$5:$E$1270,$A86,'NF x Centro de Custo'!$A$5:$A$1270,G$3)</f>
        <v>0</v>
      </c>
      <c r="H86" s="15" t="n">
        <f aca="false">SUMIFS('NF x Centro de Custo'!$H$5:$H$1270,'NF x Centro de Custo'!$E$5:$E$1270,$A86,'NF x Centro de Custo'!$A$5:$A$1270,H$3)</f>
        <v>0</v>
      </c>
      <c r="I86" s="15" t="n">
        <f aca="false">SUM(B86:H86)</f>
        <v>2554.85</v>
      </c>
      <c r="J86" s="16" t="n">
        <f aca="false">IFERROR(I86/I$94,0)</f>
        <v>7.72040190994203E-005</v>
      </c>
    </row>
    <row r="87" customFormat="false" ht="15" hidden="false" customHeight="false" outlineLevel="0" collapsed="false">
      <c r="A87" s="3" t="s">
        <v>190</v>
      </c>
      <c r="B87" s="15" t="n">
        <f aca="false">SUMIFS('NF x Centro de Custo'!$H$5:$H$1270,'NF x Centro de Custo'!$E$5:$E$1270,$A87,'NF x Centro de Custo'!$A$5:$A$1270,B$3)</f>
        <v>0</v>
      </c>
      <c r="C87" s="15" t="n">
        <f aca="false">SUMIFS('NF x Centro de Custo'!$H$5:$H$1270,'NF x Centro de Custo'!$E$5:$E$1270,$A87,'NF x Centro de Custo'!$A$5:$A$1270,C$3)</f>
        <v>2362.16</v>
      </c>
      <c r="D87" s="15" t="n">
        <f aca="false">SUMIFS('NF x Centro de Custo'!$H$5:$H$1270,'NF x Centro de Custo'!$E$5:$E$1270,$A87,'NF x Centro de Custo'!$A$5:$A$1270,D$3)</f>
        <v>0</v>
      </c>
      <c r="E87" s="15" t="n">
        <f aca="false">SUMIFS('NF x Centro de Custo'!$H$5:$H$1270,'NF x Centro de Custo'!$E$5:$E$1270,$A87,'NF x Centro de Custo'!$A$5:$A$1270,E$3)</f>
        <v>0</v>
      </c>
      <c r="F87" s="15" t="n">
        <f aca="false">SUMIFS('NF x Centro de Custo'!$H$5:$H$1270,'NF x Centro de Custo'!$E$5:$E$1270,$A87,'NF x Centro de Custo'!$A$5:$A$1270,F$3)</f>
        <v>0</v>
      </c>
      <c r="G87" s="15" t="n">
        <f aca="false">SUMIFS('NF x Centro de Custo'!$H$5:$H$1270,'NF x Centro de Custo'!$E$5:$E$1270,$A87,'NF x Centro de Custo'!$A$5:$A$1270,G$3)</f>
        <v>0</v>
      </c>
      <c r="H87" s="15" t="n">
        <f aca="false">SUMIFS('NF x Centro de Custo'!$H$5:$H$1270,'NF x Centro de Custo'!$E$5:$E$1270,$A87,'NF x Centro de Custo'!$A$5:$A$1270,H$3)</f>
        <v>0</v>
      </c>
      <c r="I87" s="15" t="n">
        <f aca="false">SUM(B87:H87)</f>
        <v>2362.16</v>
      </c>
      <c r="J87" s="16" t="n">
        <f aca="false">IFERROR(I87/I$94,0)</f>
        <v>7.13811948865439E-005</v>
      </c>
    </row>
    <row r="88" customFormat="false" ht="15" hidden="false" customHeight="false" outlineLevel="0" collapsed="false">
      <c r="A88" s="3" t="s">
        <v>191</v>
      </c>
      <c r="B88" s="15" t="n">
        <f aca="false">SUMIFS('NF x Centro de Custo'!$H$5:$H$1270,'NF x Centro de Custo'!$E$5:$E$1270,$A88,'NF x Centro de Custo'!$A$5:$A$1270,B$3)</f>
        <v>2315.73</v>
      </c>
      <c r="C88" s="15" t="n">
        <f aca="false">SUMIFS('NF x Centro de Custo'!$H$5:$H$1270,'NF x Centro de Custo'!$E$5:$E$1270,$A88,'NF x Centro de Custo'!$A$5:$A$1270,C$3)</f>
        <v>0</v>
      </c>
      <c r="D88" s="15" t="n">
        <f aca="false">SUMIFS('NF x Centro de Custo'!$H$5:$H$1270,'NF x Centro de Custo'!$E$5:$E$1270,$A88,'NF x Centro de Custo'!$A$5:$A$1270,D$3)</f>
        <v>0</v>
      </c>
      <c r="E88" s="15" t="n">
        <f aca="false">SUMIFS('NF x Centro de Custo'!$H$5:$H$1270,'NF x Centro de Custo'!$E$5:$E$1270,$A88,'NF x Centro de Custo'!$A$5:$A$1270,E$3)</f>
        <v>0</v>
      </c>
      <c r="F88" s="15" t="n">
        <f aca="false">SUMIFS('NF x Centro de Custo'!$H$5:$H$1270,'NF x Centro de Custo'!$E$5:$E$1270,$A88,'NF x Centro de Custo'!$A$5:$A$1270,F$3)</f>
        <v>0</v>
      </c>
      <c r="G88" s="15" t="n">
        <f aca="false">SUMIFS('NF x Centro de Custo'!$H$5:$H$1270,'NF x Centro de Custo'!$E$5:$E$1270,$A88,'NF x Centro de Custo'!$A$5:$A$1270,G$3)</f>
        <v>0</v>
      </c>
      <c r="H88" s="15" t="n">
        <f aca="false">SUMIFS('NF x Centro de Custo'!$H$5:$H$1270,'NF x Centro de Custo'!$E$5:$E$1270,$A88,'NF x Centro de Custo'!$A$5:$A$1270,H$3)</f>
        <v>0</v>
      </c>
      <c r="I88" s="15" t="n">
        <f aca="false">SUM(B88:H88)</f>
        <v>2315.73</v>
      </c>
      <c r="J88" s="16" t="n">
        <f aca="false">IFERROR(I88/I$94,0)</f>
        <v>6.99781447635284E-005</v>
      </c>
    </row>
    <row r="89" customFormat="false" ht="15" hidden="false" customHeight="false" outlineLevel="0" collapsed="false">
      <c r="A89" s="3" t="s">
        <v>192</v>
      </c>
      <c r="B89" s="15" t="n">
        <f aca="false">SUMIFS('NF x Centro de Custo'!$H$5:$H$1270,'NF x Centro de Custo'!$E$5:$E$1270,$A89,'NF x Centro de Custo'!$A$5:$A$1270,B$3)</f>
        <v>0</v>
      </c>
      <c r="C89" s="15" t="n">
        <f aca="false">SUMIFS('NF x Centro de Custo'!$H$5:$H$1270,'NF x Centro de Custo'!$E$5:$E$1270,$A89,'NF x Centro de Custo'!$A$5:$A$1270,C$3)</f>
        <v>702.94404</v>
      </c>
      <c r="D89" s="15" t="n">
        <f aca="false">SUMIFS('NF x Centro de Custo'!$H$5:$H$1270,'NF x Centro de Custo'!$E$5:$E$1270,$A89,'NF x Centro de Custo'!$A$5:$A$1270,D$3)</f>
        <v>0</v>
      </c>
      <c r="E89" s="15" t="n">
        <f aca="false">SUMIFS('NF x Centro de Custo'!$H$5:$H$1270,'NF x Centro de Custo'!$E$5:$E$1270,$A89,'NF x Centro de Custo'!$A$5:$A$1270,E$3)</f>
        <v>0</v>
      </c>
      <c r="F89" s="15" t="n">
        <f aca="false">SUMIFS('NF x Centro de Custo'!$H$5:$H$1270,'NF x Centro de Custo'!$E$5:$E$1270,$A89,'NF x Centro de Custo'!$A$5:$A$1270,F$3)</f>
        <v>0</v>
      </c>
      <c r="G89" s="15" t="n">
        <f aca="false">SUMIFS('NF x Centro de Custo'!$H$5:$H$1270,'NF x Centro de Custo'!$E$5:$E$1270,$A89,'NF x Centro de Custo'!$A$5:$A$1270,G$3)</f>
        <v>0</v>
      </c>
      <c r="H89" s="15" t="n">
        <f aca="false">SUMIFS('NF x Centro de Custo'!$H$5:$H$1270,'NF x Centro de Custo'!$E$5:$E$1270,$A89,'NF x Centro de Custo'!$A$5:$A$1270,H$3)</f>
        <v>0</v>
      </c>
      <c r="I89" s="15" t="n">
        <f aca="false">SUM(B89:H89)</f>
        <v>702.94404</v>
      </c>
      <c r="J89" s="16" t="n">
        <f aca="false">IFERROR(I89/I$94,0)</f>
        <v>2.12419927158086E-005</v>
      </c>
    </row>
    <row r="90" customFormat="false" ht="15" hidden="false" customHeight="false" outlineLevel="0" collapsed="false">
      <c r="A90" s="3" t="s">
        <v>193</v>
      </c>
      <c r="B90" s="15" t="n">
        <f aca="false">SUMIFS('NF x Centro de Custo'!$H$5:$H$1270,'NF x Centro de Custo'!$E$5:$E$1270,$A90,'NF x Centro de Custo'!$A$5:$A$1270,B$3)</f>
        <v>143.04</v>
      </c>
      <c r="C90" s="15" t="n">
        <f aca="false">SUMIFS('NF x Centro de Custo'!$H$5:$H$1270,'NF x Centro de Custo'!$E$5:$E$1270,$A90,'NF x Centro de Custo'!$A$5:$A$1270,C$3)</f>
        <v>0</v>
      </c>
      <c r="D90" s="15" t="n">
        <f aca="false">SUMIFS('NF x Centro de Custo'!$H$5:$H$1270,'NF x Centro de Custo'!$E$5:$E$1270,$A90,'NF x Centro de Custo'!$A$5:$A$1270,D$3)</f>
        <v>167.85</v>
      </c>
      <c r="E90" s="15" t="n">
        <f aca="false">SUMIFS('NF x Centro de Custo'!$H$5:$H$1270,'NF x Centro de Custo'!$E$5:$E$1270,$A90,'NF x Centro de Custo'!$A$5:$A$1270,E$3)</f>
        <v>0</v>
      </c>
      <c r="F90" s="15" t="n">
        <f aca="false">SUMIFS('NF x Centro de Custo'!$H$5:$H$1270,'NF x Centro de Custo'!$E$5:$E$1270,$A90,'NF x Centro de Custo'!$A$5:$A$1270,F$3)</f>
        <v>0</v>
      </c>
      <c r="G90" s="15" t="n">
        <f aca="false">SUMIFS('NF x Centro de Custo'!$H$5:$H$1270,'NF x Centro de Custo'!$E$5:$E$1270,$A90,'NF x Centro de Custo'!$A$5:$A$1270,G$3)</f>
        <v>0</v>
      </c>
      <c r="H90" s="15" t="n">
        <f aca="false">SUMIFS('NF x Centro de Custo'!$H$5:$H$1270,'NF x Centro de Custo'!$E$5:$E$1270,$A90,'NF x Centro de Custo'!$A$5:$A$1270,H$3)</f>
        <v>0</v>
      </c>
      <c r="I90" s="15" t="n">
        <f aca="false">SUM(B90:H90)</f>
        <v>310.89</v>
      </c>
      <c r="J90" s="16" t="n">
        <f aca="false">IFERROR(I90/I$94,0)</f>
        <v>9.39466406944391E-006</v>
      </c>
    </row>
    <row r="91" customFormat="false" ht="15" hidden="false" customHeight="false" outlineLevel="0" collapsed="false">
      <c r="A91" s="3" t="s">
        <v>194</v>
      </c>
      <c r="B91" s="15" t="n">
        <f aca="false">SUMIFS('NF x Centro de Custo'!$H$5:$H$1270,'NF x Centro de Custo'!$E$5:$E$1270,$A91,'NF x Centro de Custo'!$A$5:$A$1270,B$3)</f>
        <v>0</v>
      </c>
      <c r="C91" s="15" t="n">
        <f aca="false">SUMIFS('NF x Centro de Custo'!$H$5:$H$1270,'NF x Centro de Custo'!$E$5:$E$1270,$A91,'NF x Centro de Custo'!$A$5:$A$1270,C$3)</f>
        <v>0</v>
      </c>
      <c r="D91" s="15" t="n">
        <f aca="false">SUMIFS('NF x Centro de Custo'!$H$5:$H$1270,'NF x Centro de Custo'!$E$5:$E$1270,$A91,'NF x Centro de Custo'!$A$5:$A$1270,D$3)</f>
        <v>0</v>
      </c>
      <c r="E91" s="15" t="n">
        <f aca="false">SUMIFS('NF x Centro de Custo'!$H$5:$H$1270,'NF x Centro de Custo'!$E$5:$E$1270,$A91,'NF x Centro de Custo'!$A$5:$A$1270,E$3)</f>
        <v>52.77</v>
      </c>
      <c r="F91" s="15" t="n">
        <f aca="false">SUMIFS('NF x Centro de Custo'!$H$5:$H$1270,'NF x Centro de Custo'!$E$5:$E$1270,$A91,'NF x Centro de Custo'!$A$5:$A$1270,F$3)</f>
        <v>0</v>
      </c>
      <c r="G91" s="15" t="n">
        <f aca="false">SUMIFS('NF x Centro de Custo'!$H$5:$H$1270,'NF x Centro de Custo'!$E$5:$E$1270,$A91,'NF x Centro de Custo'!$A$5:$A$1270,G$3)</f>
        <v>0</v>
      </c>
      <c r="H91" s="15" t="n">
        <f aca="false">SUMIFS('NF x Centro de Custo'!$H$5:$H$1270,'NF x Centro de Custo'!$E$5:$E$1270,$A91,'NF x Centro de Custo'!$A$5:$A$1270,H$3)</f>
        <v>0</v>
      </c>
      <c r="I91" s="15" t="n">
        <f aca="false">SUM(B91:H91)</f>
        <v>52.77</v>
      </c>
      <c r="J91" s="16" t="n">
        <f aca="false">IFERROR(I91/I$94,0)</f>
        <v>1.59463611870615E-006</v>
      </c>
    </row>
    <row r="92" customFormat="false" ht="15" hidden="false" customHeight="false" outlineLevel="0" collapsed="false">
      <c r="A92" s="3" t="s">
        <v>195</v>
      </c>
      <c r="B92" s="15" t="n">
        <f aca="false">SUMIFS('NF x Centro de Custo'!$H$5:$H$1270,'NF x Centro de Custo'!$E$5:$E$1270,$A92,'NF x Centro de Custo'!$A$5:$A$1270,B$3)</f>
        <v>0</v>
      </c>
      <c r="C92" s="15" t="n">
        <f aca="false">SUMIFS('NF x Centro de Custo'!$H$5:$H$1270,'NF x Centro de Custo'!$E$5:$E$1270,$A92,'NF x Centro de Custo'!$A$5:$A$1270,C$3)</f>
        <v>0</v>
      </c>
      <c r="D92" s="15" t="n">
        <f aca="false">SUMIFS('NF x Centro de Custo'!$H$5:$H$1270,'NF x Centro de Custo'!$E$5:$E$1270,$A92,'NF x Centro de Custo'!$A$5:$A$1270,D$3)</f>
        <v>0</v>
      </c>
      <c r="E92" s="15" t="n">
        <f aca="false">SUMIFS('NF x Centro de Custo'!$H$5:$H$1270,'NF x Centro de Custo'!$E$5:$E$1270,$A92,'NF x Centro de Custo'!$A$5:$A$1270,E$3)</f>
        <v>0</v>
      </c>
      <c r="F92" s="15" t="n">
        <f aca="false">SUMIFS('NF x Centro de Custo'!$H$5:$H$1270,'NF x Centro de Custo'!$E$5:$E$1270,$A92,'NF x Centro de Custo'!$A$5:$A$1270,F$3)</f>
        <v>0</v>
      </c>
      <c r="G92" s="15" t="n">
        <f aca="false">SUMIFS('NF x Centro de Custo'!$H$5:$H$1270,'NF x Centro de Custo'!$E$5:$E$1270,$A92,'NF x Centro de Custo'!$A$5:$A$1270,G$3)</f>
        <v>38</v>
      </c>
      <c r="H92" s="15" t="n">
        <f aca="false">SUMIFS('NF x Centro de Custo'!$H$5:$H$1270,'NF x Centro de Custo'!$E$5:$E$1270,$A92,'NF x Centro de Custo'!$A$5:$A$1270,H$3)</f>
        <v>0</v>
      </c>
      <c r="I92" s="15" t="n">
        <f aca="false">SUM(B92:H92)</f>
        <v>38</v>
      </c>
      <c r="J92" s="16" t="n">
        <f aca="false">IFERROR(I92/I$94,0)</f>
        <v>1.14830722969175E-006</v>
      </c>
    </row>
    <row r="93" customFormat="false" ht="15" hidden="false" customHeight="false" outlineLevel="0" collapsed="false">
      <c r="A93" s="22" t="s">
        <v>196</v>
      </c>
      <c r="B93" s="23" t="n">
        <f aca="false">ROUND(SUMIFS('NF x Centro de Custo'!$H$5:$H$1270,'NF x Centro de Custo'!$A$5:$A$1270,B$3)-SUM(B5:B92),2)</f>
        <v>0</v>
      </c>
      <c r="C93" s="23" t="n">
        <f aca="false">ROUND(SUMIFS('NF x Centro de Custo'!$H$5:$H$1270,'NF x Centro de Custo'!$A$5:$A$1270,C$3)-SUM(C5:C92),2)</f>
        <v>0</v>
      </c>
      <c r="D93" s="23" t="n">
        <f aca="false">ROUND(SUMIFS('NF x Centro de Custo'!$H$5:$H$1270,'NF x Centro de Custo'!$A$5:$A$1270,D$3)-SUM(D5:D92),2)</f>
        <v>0</v>
      </c>
      <c r="E93" s="23" t="n">
        <f aca="false">ROUND(SUMIFS('NF x Centro de Custo'!$H$5:$H$1270,'NF x Centro de Custo'!$A$5:$A$1270,E$3)-SUM(E5:E92),2)</f>
        <v>0</v>
      </c>
      <c r="F93" s="23" t="n">
        <f aca="false">ROUND(SUMIFS('NF x Centro de Custo'!$H$5:$H$1270,'NF x Centro de Custo'!$A$5:$A$1270,F$3)-SUM(F5:F92),2)</f>
        <v>0</v>
      </c>
      <c r="G93" s="23" t="n">
        <f aca="false">ROUND(SUMIFS('NF x Centro de Custo'!$H$5:$H$1270,'NF x Centro de Custo'!$A$5:$A$1270,G$3)-SUM(G5:G92),2)</f>
        <v>0</v>
      </c>
      <c r="H93" s="23" t="n">
        <f aca="false">ROUND(SUMIFS('NF x Centro de Custo'!$H$5:$H$1270,'NF x Centro de Custo'!$A$5:$A$1270,H$3)-SUM(H5:H92),2)</f>
        <v>0</v>
      </c>
      <c r="I93" s="23" t="n">
        <f aca="false">SUM(B93:H93)</f>
        <v>0</v>
      </c>
    </row>
    <row r="94" customFormat="false" ht="15" hidden="false" customHeight="false" outlineLevel="0" collapsed="false">
      <c r="A94" s="17" t="s">
        <v>197</v>
      </c>
      <c r="B94" s="18" t="n">
        <f aca="false">SUM(B5:B93)</f>
        <v>5181417.29</v>
      </c>
      <c r="C94" s="18" t="n">
        <f aca="false">SUM(C5:C93)</f>
        <v>6501329.9781</v>
      </c>
      <c r="D94" s="18" t="n">
        <f aca="false">SUM(D5:D93)</f>
        <v>6431995.76054046</v>
      </c>
      <c r="E94" s="18" t="n">
        <f aca="false">SUM(E5:E93)</f>
        <v>4999516.92690491</v>
      </c>
      <c r="F94" s="18" t="n">
        <f aca="false">SUM(F5:F93)</f>
        <v>3768555.69448</v>
      </c>
      <c r="G94" s="18" t="n">
        <f aca="false">SUM(G5:G93)</f>
        <v>3008975.11824</v>
      </c>
      <c r="H94" s="18" t="n">
        <f aca="false">SUM(H5:H93)</f>
        <v>3200398.340568</v>
      </c>
      <c r="I94" s="18" t="n">
        <f aca="false">SUM(I5:I93)</f>
        <v>33092189.1088334</v>
      </c>
    </row>
    <row r="96" customFormat="false" ht="15" hidden="false" customHeight="false" outlineLevel="0" collapsed="false">
      <c r="A96" s="7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63"/>
    <pageSetUpPr fitToPage="false"/>
  </sheetPr>
  <dimension ref="A1:K6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8" min="7" style="0" width="19"/>
    <col collapsed="false" customWidth="true" hidden="false" outlineLevel="0" max="9" min="9" style="0" width="23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8</v>
      </c>
    </row>
    <row r="2" customFormat="false" ht="15" hidden="false" customHeight="false" outlineLevel="0" collapsed="false">
      <c r="A2" s="7" t="s">
        <v>199</v>
      </c>
    </row>
    <row r="4" customFormat="false" ht="25.5" hidden="false" customHeight="true" outlineLevel="0" collapsed="false">
      <c r="A4" s="13" t="s">
        <v>200</v>
      </c>
      <c r="B4" s="13" t="s">
        <v>201</v>
      </c>
      <c r="C4" s="13" t="s">
        <v>202</v>
      </c>
      <c r="D4" s="13" t="s">
        <v>203</v>
      </c>
      <c r="E4" s="14" t="s">
        <v>204</v>
      </c>
      <c r="F4" s="14" t="s">
        <v>205</v>
      </c>
      <c r="G4" s="14" t="s">
        <v>206</v>
      </c>
      <c r="H4" s="14" t="s">
        <v>207</v>
      </c>
      <c r="I4" s="14" t="s">
        <v>208</v>
      </c>
      <c r="J4" s="14" t="s">
        <v>209</v>
      </c>
      <c r="K4" s="14" t="s">
        <v>210</v>
      </c>
    </row>
    <row r="5" customFormat="false" ht="15" hidden="false" customHeight="false" outlineLevel="0" collapsed="false">
      <c r="A5" s="3" t="n">
        <v>1</v>
      </c>
      <c r="B5" s="24" t="n">
        <v>46023</v>
      </c>
      <c r="C5" s="3" t="s">
        <v>211</v>
      </c>
      <c r="D5" s="3" t="s">
        <v>212</v>
      </c>
      <c r="E5" s="3" t="n">
        <f aca="false">COUNTIF('NF x Centro de Custo'!$C$5:$C$1270,$C5)</f>
        <v>8</v>
      </c>
      <c r="F5" s="15" t="n">
        <f aca="false">SUMIFS('NF x Centro de Custo'!$F$5:$F$1270,'NF x Centro de Custo'!$C$5:$C$1270,$C5)</f>
        <v>21419.9</v>
      </c>
      <c r="G5" s="15" t="n">
        <f aca="false">SUMIFS('NF x Centro de Custo'!$G$5:$G$1270,'NF x Centro de Custo'!$C$5:$C$1270,$C5)</f>
        <v>0</v>
      </c>
      <c r="H5" s="15" t="n">
        <f aca="false">F5+G5</f>
        <v>21419.9</v>
      </c>
      <c r="I5" s="25" t="n">
        <v>21419.9</v>
      </c>
      <c r="J5" s="15" t="n">
        <f aca="false">ROUND(H5-I5,2)</f>
        <v>0</v>
      </c>
      <c r="K5" s="26" t="str">
        <f aca="false">IF(ABS(J5)&lt;0.05,"OK","Verificar")</f>
        <v>OK</v>
      </c>
    </row>
    <row r="6" customFormat="false" ht="15" hidden="false" customHeight="false" outlineLevel="0" collapsed="false">
      <c r="A6" s="3" t="n">
        <v>1</v>
      </c>
      <c r="B6" s="24" t="n">
        <v>46023</v>
      </c>
      <c r="C6" s="3" t="s">
        <v>213</v>
      </c>
      <c r="D6" s="3" t="s">
        <v>214</v>
      </c>
      <c r="E6" s="3" t="n">
        <f aca="false">COUNTIF('NF x Centro de Custo'!$C$5:$C$1270,$C6)</f>
        <v>1</v>
      </c>
      <c r="F6" s="15" t="n">
        <f aca="false">SUMIFS('NF x Centro de Custo'!$F$5:$F$1270,'NF x Centro de Custo'!$C$5:$C$1270,$C6)</f>
        <v>765.45</v>
      </c>
      <c r="G6" s="15" t="n">
        <f aca="false">SUMIFS('NF x Centro de Custo'!$G$5:$G$1270,'NF x Centro de Custo'!$C$5:$C$1270,$C6)</f>
        <v>0</v>
      </c>
      <c r="H6" s="15" t="n">
        <f aca="false">F6+G6</f>
        <v>765.45</v>
      </c>
      <c r="I6" s="25" t="n">
        <v>765.45</v>
      </c>
      <c r="J6" s="15" t="n">
        <f aca="false">ROUND(H6-I6,2)</f>
        <v>0</v>
      </c>
      <c r="K6" s="26" t="str">
        <f aca="false">IF(ABS(J6)&lt;0.05,"OK","Verificar")</f>
        <v>OK</v>
      </c>
    </row>
    <row r="7" customFormat="false" ht="15" hidden="false" customHeight="false" outlineLevel="0" collapsed="false">
      <c r="A7" s="3" t="n">
        <v>1</v>
      </c>
      <c r="B7" s="24" t="n">
        <v>46023</v>
      </c>
      <c r="C7" s="3" t="s">
        <v>215</v>
      </c>
      <c r="D7" s="3" t="s">
        <v>214</v>
      </c>
      <c r="E7" s="3" t="n">
        <f aca="false">COUNTIF('NF x Centro de Custo'!$C$5:$C$1270,$C7)</f>
        <v>1</v>
      </c>
      <c r="F7" s="15" t="n">
        <f aca="false">SUMIFS('NF x Centro de Custo'!$F$5:$F$1270,'NF x Centro de Custo'!$C$5:$C$1270,$C7)</f>
        <v>2456.61</v>
      </c>
      <c r="G7" s="15" t="n">
        <f aca="false">SUMIFS('NF x Centro de Custo'!$G$5:$G$1270,'NF x Centro de Custo'!$C$5:$C$1270,$C7)</f>
        <v>0</v>
      </c>
      <c r="H7" s="15" t="n">
        <f aca="false">F7+G7</f>
        <v>2456.61</v>
      </c>
      <c r="I7" s="25" t="n">
        <v>2456.61</v>
      </c>
      <c r="J7" s="15" t="n">
        <f aca="false">ROUND(H7-I7,2)</f>
        <v>0</v>
      </c>
      <c r="K7" s="26" t="str">
        <f aca="false">IF(ABS(J7)&lt;0.05,"OK","Verificar")</f>
        <v>OK</v>
      </c>
    </row>
    <row r="8" customFormat="false" ht="15" hidden="false" customHeight="false" outlineLevel="0" collapsed="false">
      <c r="A8" s="3" t="n">
        <v>1</v>
      </c>
      <c r="B8" s="24" t="n">
        <v>46023</v>
      </c>
      <c r="C8" s="3" t="s">
        <v>216</v>
      </c>
      <c r="D8" s="3" t="s">
        <v>217</v>
      </c>
      <c r="E8" s="3" t="n">
        <f aca="false">COUNTIF('NF x Centro de Custo'!$C$5:$C$1270,$C8)</f>
        <v>2</v>
      </c>
      <c r="F8" s="15" t="n">
        <f aca="false">SUMIFS('NF x Centro de Custo'!$F$5:$F$1270,'NF x Centro de Custo'!$C$5:$C$1270,$C8)</f>
        <v>2593.35</v>
      </c>
      <c r="G8" s="15" t="n">
        <f aca="false">SUMIFS('NF x Centro de Custo'!$G$5:$G$1270,'NF x Centro de Custo'!$C$5:$C$1270,$C8)</f>
        <v>0</v>
      </c>
      <c r="H8" s="15" t="n">
        <f aca="false">F8+G8</f>
        <v>2593.35</v>
      </c>
      <c r="I8" s="25" t="n">
        <v>2593.35</v>
      </c>
      <c r="J8" s="15" t="n">
        <f aca="false">ROUND(H8-I8,2)</f>
        <v>0</v>
      </c>
      <c r="K8" s="26" t="str">
        <f aca="false">IF(ABS(J8)&lt;0.05,"OK","Verificar")</f>
        <v>OK</v>
      </c>
    </row>
    <row r="9" customFormat="false" ht="15" hidden="false" customHeight="false" outlineLevel="0" collapsed="false">
      <c r="A9" s="3" t="n">
        <v>1</v>
      </c>
      <c r="B9" s="24" t="n">
        <v>46023</v>
      </c>
      <c r="C9" s="3" t="s">
        <v>218</v>
      </c>
      <c r="D9" s="3" t="s">
        <v>219</v>
      </c>
      <c r="E9" s="3" t="n">
        <f aca="false">COUNTIF('NF x Centro de Custo'!$C$5:$C$1270,$C9)</f>
        <v>1</v>
      </c>
      <c r="F9" s="15" t="n">
        <f aca="false">SUMIFS('NF x Centro de Custo'!$F$5:$F$1270,'NF x Centro de Custo'!$C$5:$C$1270,$C9)</f>
        <v>3294.62</v>
      </c>
      <c r="G9" s="15" t="n">
        <f aca="false">SUMIFS('NF x Centro de Custo'!$G$5:$G$1270,'NF x Centro de Custo'!$C$5:$C$1270,$C9)</f>
        <v>0</v>
      </c>
      <c r="H9" s="15" t="n">
        <f aca="false">F9+G9</f>
        <v>3294.62</v>
      </c>
      <c r="I9" s="25" t="n">
        <v>3294.62</v>
      </c>
      <c r="J9" s="15" t="n">
        <f aca="false">ROUND(H9-I9,2)</f>
        <v>0</v>
      </c>
      <c r="K9" s="26" t="str">
        <f aca="false">IF(ABS(J9)&lt;0.05,"OK","Verificar")</f>
        <v>OK</v>
      </c>
    </row>
    <row r="10" customFormat="false" ht="15" hidden="false" customHeight="false" outlineLevel="0" collapsed="false">
      <c r="A10" s="3" t="n">
        <v>1</v>
      </c>
      <c r="B10" s="24" t="n">
        <v>46023</v>
      </c>
      <c r="C10" s="3" t="s">
        <v>220</v>
      </c>
      <c r="D10" s="3" t="s">
        <v>219</v>
      </c>
      <c r="E10" s="3" t="n">
        <f aca="false">COUNTIF('NF x Centro de Custo'!$C$5:$C$1270,$C10)</f>
        <v>1</v>
      </c>
      <c r="F10" s="15" t="n">
        <f aca="false">SUMIFS('NF x Centro de Custo'!$F$5:$F$1270,'NF x Centro de Custo'!$C$5:$C$1270,$C10)</f>
        <v>14813.15</v>
      </c>
      <c r="G10" s="15" t="n">
        <f aca="false">SUMIFS('NF x Centro de Custo'!$G$5:$G$1270,'NF x Centro de Custo'!$C$5:$C$1270,$C10)</f>
        <v>0</v>
      </c>
      <c r="H10" s="15" t="n">
        <f aca="false">F10+G10</f>
        <v>14813.15</v>
      </c>
      <c r="I10" s="25" t="n">
        <v>14813.15</v>
      </c>
      <c r="J10" s="15" t="n">
        <f aca="false">ROUND(H10-I10,2)</f>
        <v>0</v>
      </c>
      <c r="K10" s="26" t="str">
        <f aca="false">IF(ABS(J10)&lt;0.05,"OK","Verificar")</f>
        <v>OK</v>
      </c>
    </row>
    <row r="11" customFormat="false" ht="15" hidden="false" customHeight="false" outlineLevel="0" collapsed="false">
      <c r="A11" s="3" t="n">
        <v>1</v>
      </c>
      <c r="B11" s="24" t="n">
        <v>46023</v>
      </c>
      <c r="C11" s="3" t="s">
        <v>221</v>
      </c>
      <c r="D11" s="3" t="s">
        <v>222</v>
      </c>
      <c r="E11" s="3" t="n">
        <f aca="false">COUNTIF('NF x Centro de Custo'!$C$5:$C$1270,$C11)</f>
        <v>2</v>
      </c>
      <c r="F11" s="15" t="n">
        <f aca="false">SUMIFS('NF x Centro de Custo'!$F$5:$F$1270,'NF x Centro de Custo'!$C$5:$C$1270,$C11)</f>
        <v>2761.45</v>
      </c>
      <c r="G11" s="15" t="n">
        <f aca="false">SUMIFS('NF x Centro de Custo'!$G$5:$G$1270,'NF x Centro de Custo'!$C$5:$C$1270,$C11)</f>
        <v>0</v>
      </c>
      <c r="H11" s="15" t="n">
        <f aca="false">F11+G11</f>
        <v>2761.45</v>
      </c>
      <c r="I11" s="25" t="n">
        <v>2761.45</v>
      </c>
      <c r="J11" s="15" t="n">
        <f aca="false">ROUND(H11-I11,2)</f>
        <v>0</v>
      </c>
      <c r="K11" s="26" t="str">
        <f aca="false">IF(ABS(J11)&lt;0.05,"OK","Verificar")</f>
        <v>OK</v>
      </c>
    </row>
    <row r="12" customFormat="false" ht="15" hidden="false" customHeight="false" outlineLevel="0" collapsed="false">
      <c r="A12" s="3" t="n">
        <v>1</v>
      </c>
      <c r="B12" s="24" t="n">
        <v>46023</v>
      </c>
      <c r="C12" s="3" t="s">
        <v>223</v>
      </c>
      <c r="D12" s="3" t="s">
        <v>224</v>
      </c>
      <c r="E12" s="3" t="n">
        <f aca="false">COUNTIF('NF x Centro de Custo'!$C$5:$C$1270,$C12)</f>
        <v>1</v>
      </c>
      <c r="F12" s="15" t="n">
        <f aca="false">SUMIFS('NF x Centro de Custo'!$F$5:$F$1270,'NF x Centro de Custo'!$C$5:$C$1270,$C12)</f>
        <v>1300.38</v>
      </c>
      <c r="G12" s="15" t="n">
        <f aca="false">SUMIFS('NF x Centro de Custo'!$G$5:$G$1270,'NF x Centro de Custo'!$C$5:$C$1270,$C12)</f>
        <v>0</v>
      </c>
      <c r="H12" s="15" t="n">
        <f aca="false">F12+G12</f>
        <v>1300.38</v>
      </c>
      <c r="I12" s="25" t="n">
        <v>1300.38</v>
      </c>
      <c r="J12" s="15" t="n">
        <f aca="false">ROUND(H12-I12,2)</f>
        <v>0</v>
      </c>
      <c r="K12" s="26" t="str">
        <f aca="false">IF(ABS(J12)&lt;0.05,"OK","Verificar")</f>
        <v>OK</v>
      </c>
    </row>
    <row r="13" customFormat="false" ht="15" hidden="false" customHeight="false" outlineLevel="0" collapsed="false">
      <c r="A13" s="3" t="n">
        <v>1</v>
      </c>
      <c r="B13" s="24" t="n">
        <v>46023</v>
      </c>
      <c r="C13" s="3" t="s">
        <v>225</v>
      </c>
      <c r="D13" s="3" t="s">
        <v>226</v>
      </c>
      <c r="E13" s="3" t="n">
        <f aca="false">COUNTIF('NF x Centro de Custo'!$C$5:$C$1270,$C13)</f>
        <v>2</v>
      </c>
      <c r="F13" s="15" t="n">
        <f aca="false">SUMIFS('NF x Centro de Custo'!$F$5:$F$1270,'NF x Centro de Custo'!$C$5:$C$1270,$C13)</f>
        <v>5513.14</v>
      </c>
      <c r="G13" s="15" t="n">
        <f aca="false">SUMIFS('NF x Centro de Custo'!$G$5:$G$1270,'NF x Centro de Custo'!$C$5:$C$1270,$C13)</f>
        <v>1708.49</v>
      </c>
      <c r="H13" s="15" t="n">
        <f aca="false">F13+G13</f>
        <v>7221.63</v>
      </c>
      <c r="I13" s="25" t="n">
        <v>7221.63</v>
      </c>
      <c r="J13" s="15" t="n">
        <f aca="false">ROUND(H13-I13,2)</f>
        <v>0</v>
      </c>
      <c r="K13" s="26" t="str">
        <f aca="false">IF(ABS(J13)&lt;0.05,"OK","Verificar")</f>
        <v>OK</v>
      </c>
    </row>
    <row r="14" customFormat="false" ht="15" hidden="false" customHeight="false" outlineLevel="0" collapsed="false">
      <c r="A14" s="3" t="n">
        <v>1</v>
      </c>
      <c r="B14" s="24" t="n">
        <v>46023</v>
      </c>
      <c r="C14" s="3" t="s">
        <v>227</v>
      </c>
      <c r="D14" s="3" t="s">
        <v>228</v>
      </c>
      <c r="E14" s="3" t="n">
        <f aca="false">COUNTIF('NF x Centro de Custo'!$C$5:$C$1270,$C14)</f>
        <v>1</v>
      </c>
      <c r="F14" s="15" t="n">
        <f aca="false">SUMIFS('NF x Centro de Custo'!$F$5:$F$1270,'NF x Centro de Custo'!$C$5:$C$1270,$C14)</f>
        <v>10773.96</v>
      </c>
      <c r="G14" s="15" t="n">
        <f aca="false">SUMIFS('NF x Centro de Custo'!$G$5:$G$1270,'NF x Centro de Custo'!$C$5:$C$1270,$C14)</f>
        <v>0</v>
      </c>
      <c r="H14" s="15" t="n">
        <f aca="false">F14+G14</f>
        <v>10773.96</v>
      </c>
      <c r="I14" s="25" t="n">
        <v>10773.96</v>
      </c>
      <c r="J14" s="15" t="n">
        <f aca="false">ROUND(H14-I14,2)</f>
        <v>0</v>
      </c>
      <c r="K14" s="26" t="str">
        <f aca="false">IF(ABS(J14)&lt;0.05,"OK","Verificar")</f>
        <v>OK</v>
      </c>
    </row>
    <row r="15" customFormat="false" ht="15" hidden="false" customHeight="false" outlineLevel="0" collapsed="false">
      <c r="A15" s="3" t="n">
        <v>1</v>
      </c>
      <c r="B15" s="24" t="n">
        <v>46023</v>
      </c>
      <c r="C15" s="3" t="s">
        <v>229</v>
      </c>
      <c r="D15" s="3" t="s">
        <v>228</v>
      </c>
      <c r="E15" s="3" t="n">
        <f aca="false">COUNTIF('NF x Centro de Custo'!$C$5:$C$1270,$C15)</f>
        <v>1</v>
      </c>
      <c r="F15" s="15" t="n">
        <f aca="false">SUMIFS('NF x Centro de Custo'!$F$5:$F$1270,'NF x Centro de Custo'!$C$5:$C$1270,$C15)</f>
        <v>10766.45</v>
      </c>
      <c r="G15" s="15" t="n">
        <f aca="false">SUMIFS('NF x Centro de Custo'!$G$5:$G$1270,'NF x Centro de Custo'!$C$5:$C$1270,$C15)</f>
        <v>0</v>
      </c>
      <c r="H15" s="15" t="n">
        <f aca="false">F15+G15</f>
        <v>10766.45</v>
      </c>
      <c r="I15" s="25" t="n">
        <v>10766.45</v>
      </c>
      <c r="J15" s="15" t="n">
        <f aca="false">ROUND(H15-I15,2)</f>
        <v>0</v>
      </c>
      <c r="K15" s="26" t="str">
        <f aca="false">IF(ABS(J15)&lt;0.05,"OK","Verificar")</f>
        <v>OK</v>
      </c>
    </row>
    <row r="16" customFormat="false" ht="15" hidden="false" customHeight="false" outlineLevel="0" collapsed="false">
      <c r="A16" s="3" t="n">
        <v>1</v>
      </c>
      <c r="B16" s="24" t="n">
        <v>46023</v>
      </c>
      <c r="C16" s="3" t="s">
        <v>230</v>
      </c>
      <c r="D16" s="3" t="s">
        <v>231</v>
      </c>
      <c r="E16" s="3" t="n">
        <f aca="false">COUNTIF('NF x Centro de Custo'!$C$5:$C$1270,$C16)</f>
        <v>1</v>
      </c>
      <c r="F16" s="15" t="n">
        <f aca="false">SUMIFS('NF x Centro de Custo'!$F$5:$F$1270,'NF x Centro de Custo'!$C$5:$C$1270,$C16)</f>
        <v>6732.7</v>
      </c>
      <c r="G16" s="15" t="n">
        <f aca="false">SUMIFS('NF x Centro de Custo'!$G$5:$G$1270,'NF x Centro de Custo'!$C$5:$C$1270,$C16)</f>
        <v>0</v>
      </c>
      <c r="H16" s="15" t="n">
        <f aca="false">F16+G16</f>
        <v>6732.7</v>
      </c>
      <c r="I16" s="25" t="n">
        <v>6732.7</v>
      </c>
      <c r="J16" s="15" t="n">
        <f aca="false">ROUND(H16-I16,2)</f>
        <v>0</v>
      </c>
      <c r="K16" s="26" t="str">
        <f aca="false">IF(ABS(J16)&lt;0.05,"OK","Verificar")</f>
        <v>OK</v>
      </c>
    </row>
    <row r="17" customFormat="false" ht="15" hidden="false" customHeight="false" outlineLevel="0" collapsed="false">
      <c r="A17" s="3" t="n">
        <v>1</v>
      </c>
      <c r="B17" s="24" t="n">
        <v>46023</v>
      </c>
      <c r="C17" s="3" t="s">
        <v>232</v>
      </c>
      <c r="D17" s="3" t="s">
        <v>231</v>
      </c>
      <c r="E17" s="3" t="n">
        <f aca="false">COUNTIF('NF x Centro de Custo'!$C$5:$C$1270,$C17)</f>
        <v>1</v>
      </c>
      <c r="F17" s="15" t="n">
        <f aca="false">SUMIFS('NF x Centro de Custo'!$F$5:$F$1270,'NF x Centro de Custo'!$C$5:$C$1270,$C17)</f>
        <v>18064.36</v>
      </c>
      <c r="G17" s="15" t="n">
        <f aca="false">SUMIFS('NF x Centro de Custo'!$G$5:$G$1270,'NF x Centro de Custo'!$C$5:$C$1270,$C17)</f>
        <v>0</v>
      </c>
      <c r="H17" s="15" t="n">
        <f aca="false">F17+G17</f>
        <v>18064.36</v>
      </c>
      <c r="I17" s="25" t="n">
        <v>18064.36</v>
      </c>
      <c r="J17" s="15" t="n">
        <f aca="false">ROUND(H17-I17,2)</f>
        <v>0</v>
      </c>
      <c r="K17" s="26" t="str">
        <f aca="false">IF(ABS(J17)&lt;0.05,"OK","Verificar")</f>
        <v>OK</v>
      </c>
    </row>
    <row r="18" customFormat="false" ht="15" hidden="false" customHeight="false" outlineLevel="0" collapsed="false">
      <c r="A18" s="3" t="n">
        <v>1</v>
      </c>
      <c r="B18" s="24" t="n">
        <v>46023</v>
      </c>
      <c r="C18" s="3" t="s">
        <v>233</v>
      </c>
      <c r="D18" s="3" t="s">
        <v>234</v>
      </c>
      <c r="E18" s="3" t="n">
        <f aca="false">COUNTIF('NF x Centro de Custo'!$C$5:$C$1270,$C18)</f>
        <v>1</v>
      </c>
      <c r="F18" s="15" t="n">
        <f aca="false">SUMIFS('NF x Centro de Custo'!$F$5:$F$1270,'NF x Centro de Custo'!$C$5:$C$1270,$C18)</f>
        <v>6065.43</v>
      </c>
      <c r="G18" s="15" t="n">
        <f aca="false">SUMIFS('NF x Centro de Custo'!$G$5:$G$1270,'NF x Centro de Custo'!$C$5:$C$1270,$C18)</f>
        <v>0</v>
      </c>
      <c r="H18" s="15" t="n">
        <f aca="false">F18+G18</f>
        <v>6065.43</v>
      </c>
      <c r="I18" s="25" t="n">
        <v>6065.43</v>
      </c>
      <c r="J18" s="15" t="n">
        <f aca="false">ROUND(H18-I18,2)</f>
        <v>0</v>
      </c>
      <c r="K18" s="26" t="str">
        <f aca="false">IF(ABS(J18)&lt;0.05,"OK","Verificar")</f>
        <v>OK</v>
      </c>
    </row>
    <row r="19" customFormat="false" ht="15" hidden="false" customHeight="false" outlineLevel="0" collapsed="false">
      <c r="A19" s="3" t="n">
        <v>1</v>
      </c>
      <c r="B19" s="24" t="n">
        <v>46023</v>
      </c>
      <c r="C19" s="3" t="s">
        <v>235</v>
      </c>
      <c r="D19" s="3" t="s">
        <v>234</v>
      </c>
      <c r="E19" s="3" t="n">
        <f aca="false">COUNTIF('NF x Centro de Custo'!$C$5:$C$1270,$C19)</f>
        <v>1</v>
      </c>
      <c r="F19" s="15" t="n">
        <f aca="false">SUMIFS('NF x Centro de Custo'!$F$5:$F$1270,'NF x Centro de Custo'!$C$5:$C$1270,$C19)</f>
        <v>13912.07</v>
      </c>
      <c r="G19" s="15" t="n">
        <f aca="false">SUMIFS('NF x Centro de Custo'!$G$5:$G$1270,'NF x Centro de Custo'!$C$5:$C$1270,$C19)</f>
        <v>0</v>
      </c>
      <c r="H19" s="15" t="n">
        <f aca="false">F19+G19</f>
        <v>13912.07</v>
      </c>
      <c r="I19" s="25" t="n">
        <v>13912.07</v>
      </c>
      <c r="J19" s="15" t="n">
        <f aca="false">ROUND(H19-I19,2)</f>
        <v>0</v>
      </c>
      <c r="K19" s="26" t="str">
        <f aca="false">IF(ABS(J19)&lt;0.05,"OK","Verificar")</f>
        <v>OK</v>
      </c>
    </row>
    <row r="20" customFormat="false" ht="15" hidden="false" customHeight="false" outlineLevel="0" collapsed="false">
      <c r="A20" s="3" t="n">
        <v>1</v>
      </c>
      <c r="B20" s="24" t="n">
        <v>46023</v>
      </c>
      <c r="C20" s="3" t="s">
        <v>236</v>
      </c>
      <c r="D20" s="3" t="s">
        <v>237</v>
      </c>
      <c r="E20" s="3" t="n">
        <f aca="false">COUNTIF('NF x Centro de Custo'!$C$5:$C$1270,$C20)</f>
        <v>1</v>
      </c>
      <c r="F20" s="15" t="n">
        <f aca="false">SUMIFS('NF x Centro de Custo'!$F$5:$F$1270,'NF x Centro de Custo'!$C$5:$C$1270,$C20)</f>
        <v>3632.47</v>
      </c>
      <c r="G20" s="15" t="n">
        <f aca="false">SUMIFS('NF x Centro de Custo'!$G$5:$G$1270,'NF x Centro de Custo'!$C$5:$C$1270,$C20)</f>
        <v>0</v>
      </c>
      <c r="H20" s="15" t="n">
        <f aca="false">F20+G20</f>
        <v>3632.47</v>
      </c>
      <c r="I20" s="25" t="n">
        <v>3632.47</v>
      </c>
      <c r="J20" s="15" t="n">
        <f aca="false">ROUND(H20-I20,2)</f>
        <v>0</v>
      </c>
      <c r="K20" s="26" t="str">
        <f aca="false">IF(ABS(J20)&lt;0.05,"OK","Verificar")</f>
        <v>OK</v>
      </c>
    </row>
    <row r="21" customFormat="false" ht="15" hidden="false" customHeight="false" outlineLevel="0" collapsed="false">
      <c r="A21" s="3" t="n">
        <v>1</v>
      </c>
      <c r="B21" s="24" t="n">
        <v>46023</v>
      </c>
      <c r="C21" s="3" t="s">
        <v>238</v>
      </c>
      <c r="D21" s="3" t="s">
        <v>237</v>
      </c>
      <c r="E21" s="3" t="n">
        <f aca="false">COUNTIF('NF x Centro de Custo'!$C$5:$C$1270,$C21)</f>
        <v>1</v>
      </c>
      <c r="F21" s="15" t="n">
        <f aca="false">SUMIFS('NF x Centro de Custo'!$F$5:$F$1270,'NF x Centro de Custo'!$C$5:$C$1270,$C21)</f>
        <v>12519.37</v>
      </c>
      <c r="G21" s="15" t="n">
        <f aca="false">SUMIFS('NF x Centro de Custo'!$G$5:$G$1270,'NF x Centro de Custo'!$C$5:$C$1270,$C21)</f>
        <v>0</v>
      </c>
      <c r="H21" s="15" t="n">
        <f aca="false">F21+G21</f>
        <v>12519.37</v>
      </c>
      <c r="I21" s="25" t="n">
        <v>12519.37</v>
      </c>
      <c r="J21" s="15" t="n">
        <f aca="false">ROUND(H21-I21,2)</f>
        <v>0</v>
      </c>
      <c r="K21" s="26" t="str">
        <f aca="false">IF(ABS(J21)&lt;0.05,"OK","Verificar")</f>
        <v>OK</v>
      </c>
    </row>
    <row r="22" customFormat="false" ht="15" hidden="false" customHeight="false" outlineLevel="0" collapsed="false">
      <c r="A22" s="3" t="n">
        <v>1</v>
      </c>
      <c r="B22" s="24" t="n">
        <v>46023</v>
      </c>
      <c r="C22" s="3" t="s">
        <v>239</v>
      </c>
      <c r="D22" s="3" t="s">
        <v>224</v>
      </c>
      <c r="E22" s="3" t="n">
        <f aca="false">COUNTIF('NF x Centro de Custo'!$C$5:$C$1270,$C22)</f>
        <v>1</v>
      </c>
      <c r="F22" s="15" t="n">
        <f aca="false">SUMIFS('NF x Centro de Custo'!$F$5:$F$1270,'NF x Centro de Custo'!$C$5:$C$1270,$C22)</f>
        <v>4056.72</v>
      </c>
      <c r="G22" s="15" t="n">
        <f aca="false">SUMIFS('NF x Centro de Custo'!$G$5:$G$1270,'NF x Centro de Custo'!$C$5:$C$1270,$C22)</f>
        <v>0</v>
      </c>
      <c r="H22" s="15" t="n">
        <f aca="false">F22+G22</f>
        <v>4056.72</v>
      </c>
      <c r="I22" s="25" t="n">
        <v>4056.72</v>
      </c>
      <c r="J22" s="15" t="n">
        <f aca="false">ROUND(H22-I22,2)</f>
        <v>0</v>
      </c>
      <c r="K22" s="26" t="str">
        <f aca="false">IF(ABS(J22)&lt;0.05,"OK","Verificar")</f>
        <v>OK</v>
      </c>
    </row>
    <row r="23" customFormat="false" ht="15" hidden="false" customHeight="false" outlineLevel="0" collapsed="false">
      <c r="A23" s="3" t="n">
        <v>1</v>
      </c>
      <c r="B23" s="24" t="n">
        <v>46023</v>
      </c>
      <c r="C23" s="3" t="s">
        <v>240</v>
      </c>
      <c r="D23" s="3" t="s">
        <v>224</v>
      </c>
      <c r="E23" s="3" t="n">
        <f aca="false">COUNTIF('NF x Centro de Custo'!$C$5:$C$1270,$C23)</f>
        <v>1</v>
      </c>
      <c r="F23" s="15" t="n">
        <f aca="false">SUMIFS('NF x Centro de Custo'!$F$5:$F$1270,'NF x Centro de Custo'!$C$5:$C$1270,$C23)</f>
        <v>2293.51</v>
      </c>
      <c r="G23" s="15" t="n">
        <f aca="false">SUMIFS('NF x Centro de Custo'!$G$5:$G$1270,'NF x Centro de Custo'!$C$5:$C$1270,$C23)</f>
        <v>0</v>
      </c>
      <c r="H23" s="15" t="n">
        <f aca="false">F23+G23</f>
        <v>2293.51</v>
      </c>
      <c r="I23" s="25" t="n">
        <v>2293.51</v>
      </c>
      <c r="J23" s="15" t="n">
        <f aca="false">ROUND(H23-I23,2)</f>
        <v>0</v>
      </c>
      <c r="K23" s="26" t="str">
        <f aca="false">IF(ABS(J23)&lt;0.05,"OK","Verificar")</f>
        <v>OK</v>
      </c>
    </row>
    <row r="24" customFormat="false" ht="15" hidden="false" customHeight="false" outlineLevel="0" collapsed="false">
      <c r="A24" s="3" t="n">
        <v>1</v>
      </c>
      <c r="B24" s="24" t="n">
        <v>46023</v>
      </c>
      <c r="C24" s="3" t="s">
        <v>241</v>
      </c>
      <c r="D24" s="3" t="s">
        <v>226</v>
      </c>
      <c r="E24" s="3" t="n">
        <f aca="false">COUNTIF('NF x Centro de Custo'!$C$5:$C$1270,$C24)</f>
        <v>3</v>
      </c>
      <c r="F24" s="15" t="n">
        <f aca="false">SUMIFS('NF x Centro de Custo'!$F$5:$F$1270,'NF x Centro de Custo'!$C$5:$C$1270,$C24)</f>
        <v>6993.1</v>
      </c>
      <c r="G24" s="15" t="n">
        <f aca="false">SUMIFS('NF x Centro de Custo'!$G$5:$G$1270,'NF x Centro de Custo'!$C$5:$C$1270,$C24)</f>
        <v>0</v>
      </c>
      <c r="H24" s="15" t="n">
        <f aca="false">F24+G24</f>
        <v>6993.1</v>
      </c>
      <c r="I24" s="25" t="n">
        <v>6993.1</v>
      </c>
      <c r="J24" s="15" t="n">
        <f aca="false">ROUND(H24-I24,2)</f>
        <v>0</v>
      </c>
      <c r="K24" s="26" t="str">
        <f aca="false">IF(ABS(J24)&lt;0.05,"OK","Verificar")</f>
        <v>OK</v>
      </c>
    </row>
    <row r="25" customFormat="false" ht="15" hidden="false" customHeight="false" outlineLevel="0" collapsed="false">
      <c r="A25" s="3" t="n">
        <v>1</v>
      </c>
      <c r="B25" s="24" t="n">
        <v>46023</v>
      </c>
      <c r="C25" s="3" t="s">
        <v>242</v>
      </c>
      <c r="D25" s="3" t="s">
        <v>243</v>
      </c>
      <c r="E25" s="3" t="n">
        <f aca="false">COUNTIF('NF x Centro de Custo'!$C$5:$C$1270,$C25)</f>
        <v>1</v>
      </c>
      <c r="F25" s="15" t="n">
        <f aca="false">SUMIFS('NF x Centro de Custo'!$F$5:$F$1270,'NF x Centro de Custo'!$C$5:$C$1270,$C25)</f>
        <v>5087.83</v>
      </c>
      <c r="G25" s="15" t="n">
        <f aca="false">SUMIFS('NF x Centro de Custo'!$G$5:$G$1270,'NF x Centro de Custo'!$C$5:$C$1270,$C25)</f>
        <v>0</v>
      </c>
      <c r="H25" s="15" t="n">
        <f aca="false">F25+G25</f>
        <v>5087.83</v>
      </c>
      <c r="I25" s="25" t="n">
        <v>5087.83</v>
      </c>
      <c r="J25" s="15" t="n">
        <f aca="false">ROUND(H25-I25,2)</f>
        <v>0</v>
      </c>
      <c r="K25" s="26" t="str">
        <f aca="false">IF(ABS(J25)&lt;0.05,"OK","Verificar")</f>
        <v>OK</v>
      </c>
    </row>
    <row r="26" customFormat="false" ht="15" hidden="false" customHeight="false" outlineLevel="0" collapsed="false">
      <c r="A26" s="3" t="n">
        <v>1</v>
      </c>
      <c r="B26" s="24" t="n">
        <v>46023</v>
      </c>
      <c r="C26" s="3" t="s">
        <v>244</v>
      </c>
      <c r="D26" s="3" t="s">
        <v>243</v>
      </c>
      <c r="E26" s="3" t="n">
        <f aca="false">COUNTIF('NF x Centro de Custo'!$C$5:$C$1270,$C26)</f>
        <v>1</v>
      </c>
      <c r="F26" s="15" t="n">
        <f aca="false">SUMIFS('NF x Centro de Custo'!$F$5:$F$1270,'NF x Centro de Custo'!$C$5:$C$1270,$C26)</f>
        <v>1972.2</v>
      </c>
      <c r="G26" s="15" t="n">
        <f aca="false">SUMIFS('NF x Centro de Custo'!$G$5:$G$1270,'NF x Centro de Custo'!$C$5:$C$1270,$C26)</f>
        <v>0</v>
      </c>
      <c r="H26" s="15" t="n">
        <f aca="false">F26+G26</f>
        <v>1972.2</v>
      </c>
      <c r="I26" s="25" t="n">
        <v>1972.2</v>
      </c>
      <c r="J26" s="15" t="n">
        <f aca="false">ROUND(H26-I26,2)</f>
        <v>0</v>
      </c>
      <c r="K26" s="26" t="str">
        <f aca="false">IF(ABS(J26)&lt;0.05,"OK","Verificar")</f>
        <v>OK</v>
      </c>
    </row>
    <row r="27" customFormat="false" ht="15" hidden="false" customHeight="false" outlineLevel="0" collapsed="false">
      <c r="A27" s="3" t="n">
        <v>1</v>
      </c>
      <c r="B27" s="24" t="n">
        <v>46023</v>
      </c>
      <c r="C27" s="3" t="s">
        <v>245</v>
      </c>
      <c r="D27" s="3" t="s">
        <v>246</v>
      </c>
      <c r="E27" s="3" t="n">
        <f aca="false">COUNTIF('NF x Centro de Custo'!$C$5:$C$1270,$C27)</f>
        <v>1</v>
      </c>
      <c r="F27" s="15" t="n">
        <f aca="false">SUMIFS('NF x Centro de Custo'!$F$5:$F$1270,'NF x Centro de Custo'!$C$5:$C$1270,$C27)</f>
        <v>2532.31</v>
      </c>
      <c r="G27" s="15" t="n">
        <f aca="false">SUMIFS('NF x Centro de Custo'!$G$5:$G$1270,'NF x Centro de Custo'!$C$5:$C$1270,$C27)</f>
        <v>0</v>
      </c>
      <c r="H27" s="15" t="n">
        <f aca="false">F27+G27</f>
        <v>2532.31</v>
      </c>
      <c r="I27" s="25" t="n">
        <v>2532.31</v>
      </c>
      <c r="J27" s="15" t="n">
        <f aca="false">ROUND(H27-I27,2)</f>
        <v>0</v>
      </c>
      <c r="K27" s="26" t="str">
        <f aca="false">IF(ABS(J27)&lt;0.05,"OK","Verificar")</f>
        <v>OK</v>
      </c>
    </row>
    <row r="28" customFormat="false" ht="15" hidden="false" customHeight="false" outlineLevel="0" collapsed="false">
      <c r="A28" s="3" t="n">
        <v>1</v>
      </c>
      <c r="B28" s="24" t="n">
        <v>46023</v>
      </c>
      <c r="C28" s="3" t="s">
        <v>247</v>
      </c>
      <c r="D28" s="3" t="s">
        <v>246</v>
      </c>
      <c r="E28" s="3" t="n">
        <f aca="false">COUNTIF('NF x Centro de Custo'!$C$5:$C$1270,$C28)</f>
        <v>1</v>
      </c>
      <c r="F28" s="15" t="n">
        <f aca="false">SUMIFS('NF x Centro de Custo'!$F$5:$F$1270,'NF x Centro de Custo'!$C$5:$C$1270,$C28)</f>
        <v>1760.2</v>
      </c>
      <c r="G28" s="15" t="n">
        <f aca="false">SUMIFS('NF x Centro de Custo'!$G$5:$G$1270,'NF x Centro de Custo'!$C$5:$C$1270,$C28)</f>
        <v>0</v>
      </c>
      <c r="H28" s="15" t="n">
        <f aca="false">F28+G28</f>
        <v>1760.2</v>
      </c>
      <c r="I28" s="25" t="n">
        <v>1760.2</v>
      </c>
      <c r="J28" s="15" t="n">
        <f aca="false">ROUND(H28-I28,2)</f>
        <v>0</v>
      </c>
      <c r="K28" s="26" t="str">
        <f aca="false">IF(ABS(J28)&lt;0.05,"OK","Verificar")</f>
        <v>OK</v>
      </c>
    </row>
    <row r="29" customFormat="false" ht="15" hidden="false" customHeight="false" outlineLevel="0" collapsed="false">
      <c r="A29" s="3" t="n">
        <v>1</v>
      </c>
      <c r="B29" s="24" t="n">
        <v>46023</v>
      </c>
      <c r="C29" s="3" t="s">
        <v>248</v>
      </c>
      <c r="D29" s="3" t="s">
        <v>249</v>
      </c>
      <c r="E29" s="3" t="n">
        <f aca="false">COUNTIF('NF x Centro de Custo'!$C$5:$C$1270,$C29)</f>
        <v>2</v>
      </c>
      <c r="F29" s="15" t="n">
        <f aca="false">SUMIFS('NF x Centro de Custo'!$F$5:$F$1270,'NF x Centro de Custo'!$C$5:$C$1270,$C29)</f>
        <v>7260.88</v>
      </c>
      <c r="G29" s="15" t="n">
        <f aca="false">SUMIFS('NF x Centro de Custo'!$G$5:$G$1270,'NF x Centro de Custo'!$C$5:$C$1270,$C29)</f>
        <v>0</v>
      </c>
      <c r="H29" s="15" t="n">
        <f aca="false">F29+G29</f>
        <v>7260.88</v>
      </c>
      <c r="I29" s="25" t="n">
        <v>7260.88</v>
      </c>
      <c r="J29" s="15" t="n">
        <f aca="false">ROUND(H29-I29,2)</f>
        <v>0</v>
      </c>
      <c r="K29" s="26" t="str">
        <f aca="false">IF(ABS(J29)&lt;0.05,"OK","Verificar")</f>
        <v>OK</v>
      </c>
    </row>
    <row r="30" customFormat="false" ht="15" hidden="false" customHeight="false" outlineLevel="0" collapsed="false">
      <c r="A30" s="3" t="n">
        <v>1</v>
      </c>
      <c r="B30" s="24" t="n">
        <v>46023</v>
      </c>
      <c r="C30" s="3" t="s">
        <v>250</v>
      </c>
      <c r="D30" s="3" t="s">
        <v>249</v>
      </c>
      <c r="E30" s="3" t="n">
        <f aca="false">COUNTIF('NF x Centro de Custo'!$C$5:$C$1270,$C30)</f>
        <v>1</v>
      </c>
      <c r="F30" s="15" t="n">
        <f aca="false">SUMIFS('NF x Centro de Custo'!$F$5:$F$1270,'NF x Centro de Custo'!$C$5:$C$1270,$C30)</f>
        <v>8795.63</v>
      </c>
      <c r="G30" s="15" t="n">
        <f aca="false">SUMIFS('NF x Centro de Custo'!$G$5:$G$1270,'NF x Centro de Custo'!$C$5:$C$1270,$C30)</f>
        <v>0</v>
      </c>
      <c r="H30" s="15" t="n">
        <f aca="false">F30+G30</f>
        <v>8795.63</v>
      </c>
      <c r="I30" s="25" t="n">
        <v>8795.63</v>
      </c>
      <c r="J30" s="15" t="n">
        <f aca="false">ROUND(H30-I30,2)</f>
        <v>0</v>
      </c>
      <c r="K30" s="26" t="str">
        <f aca="false">IF(ABS(J30)&lt;0.05,"OK","Verificar")</f>
        <v>OK</v>
      </c>
    </row>
    <row r="31" customFormat="false" ht="15" hidden="false" customHeight="false" outlineLevel="0" collapsed="false">
      <c r="A31" s="3" t="n">
        <v>1</v>
      </c>
      <c r="B31" s="24" t="n">
        <v>46023</v>
      </c>
      <c r="C31" s="3" t="s">
        <v>251</v>
      </c>
      <c r="D31" s="3" t="s">
        <v>252</v>
      </c>
      <c r="E31" s="3" t="n">
        <f aca="false">COUNTIF('NF x Centro de Custo'!$C$5:$C$1270,$C31)</f>
        <v>1</v>
      </c>
      <c r="F31" s="15" t="n">
        <f aca="false">SUMIFS('NF x Centro de Custo'!$F$5:$F$1270,'NF x Centro de Custo'!$C$5:$C$1270,$C31)</f>
        <v>2024.2</v>
      </c>
      <c r="G31" s="15" t="n">
        <f aca="false">SUMIFS('NF x Centro de Custo'!$G$5:$G$1270,'NF x Centro de Custo'!$C$5:$C$1270,$C31)</f>
        <v>0</v>
      </c>
      <c r="H31" s="15" t="n">
        <f aca="false">F31+G31</f>
        <v>2024.2</v>
      </c>
      <c r="I31" s="25" t="n">
        <v>2024.2</v>
      </c>
      <c r="J31" s="15" t="n">
        <f aca="false">ROUND(H31-I31,2)</f>
        <v>0</v>
      </c>
      <c r="K31" s="26" t="str">
        <f aca="false">IF(ABS(J31)&lt;0.05,"OK","Verificar")</f>
        <v>OK</v>
      </c>
    </row>
    <row r="32" customFormat="false" ht="15" hidden="false" customHeight="false" outlineLevel="0" collapsed="false">
      <c r="A32" s="3" t="n">
        <v>1</v>
      </c>
      <c r="B32" s="24" t="n">
        <v>46023</v>
      </c>
      <c r="C32" s="3" t="s">
        <v>253</v>
      </c>
      <c r="D32" s="3" t="s">
        <v>252</v>
      </c>
      <c r="E32" s="3" t="n">
        <f aca="false">COUNTIF('NF x Centro de Custo'!$C$5:$C$1270,$C32)</f>
        <v>1</v>
      </c>
      <c r="F32" s="15" t="n">
        <f aca="false">SUMIFS('NF x Centro de Custo'!$F$5:$F$1270,'NF x Centro de Custo'!$C$5:$C$1270,$C32)</f>
        <v>3746.24</v>
      </c>
      <c r="G32" s="15" t="n">
        <f aca="false">SUMIFS('NF x Centro de Custo'!$G$5:$G$1270,'NF x Centro de Custo'!$C$5:$C$1270,$C32)</f>
        <v>0</v>
      </c>
      <c r="H32" s="15" t="n">
        <f aca="false">F32+G32</f>
        <v>3746.24</v>
      </c>
      <c r="I32" s="25" t="n">
        <v>3746.24</v>
      </c>
      <c r="J32" s="15" t="n">
        <f aca="false">ROUND(H32-I32,2)</f>
        <v>0</v>
      </c>
      <c r="K32" s="26" t="str">
        <f aca="false">IF(ABS(J32)&lt;0.05,"OK","Verificar")</f>
        <v>OK</v>
      </c>
    </row>
    <row r="33" customFormat="false" ht="15" hidden="false" customHeight="false" outlineLevel="0" collapsed="false">
      <c r="A33" s="3" t="n">
        <v>1</v>
      </c>
      <c r="B33" s="24" t="n">
        <v>46023</v>
      </c>
      <c r="C33" s="3" t="s">
        <v>254</v>
      </c>
      <c r="D33" s="3" t="s">
        <v>255</v>
      </c>
      <c r="E33" s="3" t="n">
        <f aca="false">COUNTIF('NF x Centro de Custo'!$C$5:$C$1270,$C33)</f>
        <v>1</v>
      </c>
      <c r="F33" s="15" t="n">
        <f aca="false">SUMIFS('NF x Centro de Custo'!$F$5:$F$1270,'NF x Centro de Custo'!$C$5:$C$1270,$C33)</f>
        <v>2553.41</v>
      </c>
      <c r="G33" s="15" t="n">
        <f aca="false">SUMIFS('NF x Centro de Custo'!$G$5:$G$1270,'NF x Centro de Custo'!$C$5:$C$1270,$C33)</f>
        <v>0</v>
      </c>
      <c r="H33" s="15" t="n">
        <f aca="false">F33+G33</f>
        <v>2553.41</v>
      </c>
      <c r="I33" s="25" t="n">
        <v>2553.41</v>
      </c>
      <c r="J33" s="15" t="n">
        <f aca="false">ROUND(H33-I33,2)</f>
        <v>0</v>
      </c>
      <c r="K33" s="26" t="str">
        <f aca="false">IF(ABS(J33)&lt;0.05,"OK","Verificar")</f>
        <v>OK</v>
      </c>
    </row>
    <row r="34" customFormat="false" ht="15" hidden="false" customHeight="false" outlineLevel="0" collapsed="false">
      <c r="A34" s="3" t="n">
        <v>1</v>
      </c>
      <c r="B34" s="24" t="n">
        <v>46023</v>
      </c>
      <c r="C34" s="3" t="s">
        <v>256</v>
      </c>
      <c r="D34" s="3" t="s">
        <v>255</v>
      </c>
      <c r="E34" s="3" t="n">
        <f aca="false">COUNTIF('NF x Centro de Custo'!$C$5:$C$1270,$C34)</f>
        <v>1</v>
      </c>
      <c r="F34" s="15" t="n">
        <f aca="false">SUMIFS('NF x Centro de Custo'!$F$5:$F$1270,'NF x Centro de Custo'!$C$5:$C$1270,$C34)</f>
        <v>3180.73</v>
      </c>
      <c r="G34" s="15" t="n">
        <f aca="false">SUMIFS('NF x Centro de Custo'!$G$5:$G$1270,'NF x Centro de Custo'!$C$5:$C$1270,$C34)</f>
        <v>0</v>
      </c>
      <c r="H34" s="15" t="n">
        <f aca="false">F34+G34</f>
        <v>3180.73</v>
      </c>
      <c r="I34" s="25" t="n">
        <v>3180.73</v>
      </c>
      <c r="J34" s="15" t="n">
        <f aca="false">ROUND(H34-I34,2)</f>
        <v>0</v>
      </c>
      <c r="K34" s="26" t="str">
        <f aca="false">IF(ABS(J34)&lt;0.05,"OK","Verificar")</f>
        <v>OK</v>
      </c>
    </row>
    <row r="35" customFormat="false" ht="15" hidden="false" customHeight="false" outlineLevel="0" collapsed="false">
      <c r="A35" s="3" t="n">
        <v>1</v>
      </c>
      <c r="B35" s="24" t="n">
        <v>46023</v>
      </c>
      <c r="C35" s="3" t="s">
        <v>257</v>
      </c>
      <c r="D35" s="3" t="s">
        <v>258</v>
      </c>
      <c r="E35" s="3" t="n">
        <f aca="false">COUNTIF('NF x Centro de Custo'!$C$5:$C$1270,$C35)</f>
        <v>1</v>
      </c>
      <c r="F35" s="15" t="n">
        <f aca="false">SUMIFS('NF x Centro de Custo'!$F$5:$F$1270,'NF x Centro de Custo'!$C$5:$C$1270,$C35)</f>
        <v>4439.26</v>
      </c>
      <c r="G35" s="15" t="n">
        <f aca="false">SUMIFS('NF x Centro de Custo'!$G$5:$G$1270,'NF x Centro de Custo'!$C$5:$C$1270,$C35)</f>
        <v>0</v>
      </c>
      <c r="H35" s="15" t="n">
        <f aca="false">F35+G35</f>
        <v>4439.26</v>
      </c>
      <c r="I35" s="25" t="n">
        <v>4439.26</v>
      </c>
      <c r="J35" s="15" t="n">
        <f aca="false">ROUND(H35-I35,2)</f>
        <v>0</v>
      </c>
      <c r="K35" s="26" t="str">
        <f aca="false">IF(ABS(J35)&lt;0.05,"OK","Verificar")</f>
        <v>OK</v>
      </c>
    </row>
    <row r="36" customFormat="false" ht="15" hidden="false" customHeight="false" outlineLevel="0" collapsed="false">
      <c r="A36" s="3" t="n">
        <v>1</v>
      </c>
      <c r="B36" s="24" t="n">
        <v>46023</v>
      </c>
      <c r="C36" s="3" t="s">
        <v>259</v>
      </c>
      <c r="D36" s="3" t="s">
        <v>258</v>
      </c>
      <c r="E36" s="3" t="n">
        <f aca="false">COUNTIF('NF x Centro de Custo'!$C$5:$C$1270,$C36)</f>
        <v>1</v>
      </c>
      <c r="F36" s="15" t="n">
        <f aca="false">SUMIFS('NF x Centro de Custo'!$F$5:$F$1270,'NF x Centro de Custo'!$C$5:$C$1270,$C36)</f>
        <v>4040.41</v>
      </c>
      <c r="G36" s="15" t="n">
        <f aca="false">SUMIFS('NF x Centro de Custo'!$G$5:$G$1270,'NF x Centro de Custo'!$C$5:$C$1270,$C36)</f>
        <v>0</v>
      </c>
      <c r="H36" s="15" t="n">
        <f aca="false">F36+G36</f>
        <v>4040.41</v>
      </c>
      <c r="I36" s="25" t="n">
        <v>4040.41</v>
      </c>
      <c r="J36" s="15" t="n">
        <f aca="false">ROUND(H36-I36,2)</f>
        <v>0</v>
      </c>
      <c r="K36" s="26" t="str">
        <f aca="false">IF(ABS(J36)&lt;0.05,"OK","Verificar")</f>
        <v>OK</v>
      </c>
    </row>
    <row r="37" customFormat="false" ht="15" hidden="false" customHeight="false" outlineLevel="0" collapsed="false">
      <c r="A37" s="3" t="n">
        <v>1</v>
      </c>
      <c r="B37" s="24" t="n">
        <v>46023</v>
      </c>
      <c r="C37" s="3" t="s">
        <v>260</v>
      </c>
      <c r="D37" s="3" t="s">
        <v>261</v>
      </c>
      <c r="E37" s="3" t="n">
        <f aca="false">COUNTIF('NF x Centro de Custo'!$C$5:$C$1270,$C37)</f>
        <v>1</v>
      </c>
      <c r="F37" s="15" t="n">
        <f aca="false">SUMIFS('NF x Centro de Custo'!$F$5:$F$1270,'NF x Centro de Custo'!$C$5:$C$1270,$C37)</f>
        <v>2172.13</v>
      </c>
      <c r="G37" s="15" t="n">
        <f aca="false">SUMIFS('NF x Centro de Custo'!$G$5:$G$1270,'NF x Centro de Custo'!$C$5:$C$1270,$C37)</f>
        <v>0</v>
      </c>
      <c r="H37" s="15" t="n">
        <f aca="false">F37+G37</f>
        <v>2172.13</v>
      </c>
      <c r="I37" s="25" t="n">
        <v>2172.13</v>
      </c>
      <c r="J37" s="15" t="n">
        <f aca="false">ROUND(H37-I37,2)</f>
        <v>0</v>
      </c>
      <c r="K37" s="26" t="str">
        <f aca="false">IF(ABS(J37)&lt;0.05,"OK","Verificar")</f>
        <v>OK</v>
      </c>
    </row>
    <row r="38" customFormat="false" ht="15" hidden="false" customHeight="false" outlineLevel="0" collapsed="false">
      <c r="A38" s="3" t="n">
        <v>1</v>
      </c>
      <c r="B38" s="24" t="n">
        <v>46023</v>
      </c>
      <c r="C38" s="3" t="s">
        <v>262</v>
      </c>
      <c r="D38" s="3" t="s">
        <v>222</v>
      </c>
      <c r="E38" s="3" t="n">
        <f aca="false">COUNTIF('NF x Centro de Custo'!$C$5:$C$1270,$C38)</f>
        <v>5</v>
      </c>
      <c r="F38" s="15" t="n">
        <f aca="false">SUMIFS('NF x Centro de Custo'!$F$5:$F$1270,'NF x Centro de Custo'!$C$5:$C$1270,$C38)</f>
        <v>10216.42</v>
      </c>
      <c r="G38" s="15" t="n">
        <f aca="false">SUMIFS('NF x Centro de Custo'!$G$5:$G$1270,'NF x Centro de Custo'!$C$5:$C$1270,$C38)</f>
        <v>0</v>
      </c>
      <c r="H38" s="15" t="n">
        <f aca="false">F38+G38</f>
        <v>10216.42</v>
      </c>
      <c r="I38" s="25" t="n">
        <v>10216.42</v>
      </c>
      <c r="J38" s="15" t="n">
        <f aca="false">ROUND(H38-I38,2)</f>
        <v>0</v>
      </c>
      <c r="K38" s="26" t="str">
        <f aca="false">IF(ABS(J38)&lt;0.05,"OK","Verificar")</f>
        <v>OK</v>
      </c>
    </row>
    <row r="39" customFormat="false" ht="15" hidden="false" customHeight="false" outlineLevel="0" collapsed="false">
      <c r="A39" s="3" t="n">
        <v>1</v>
      </c>
      <c r="B39" s="24" t="n">
        <v>46023</v>
      </c>
      <c r="C39" s="3" t="s">
        <v>263</v>
      </c>
      <c r="D39" s="3" t="s">
        <v>222</v>
      </c>
      <c r="E39" s="3" t="n">
        <f aca="false">COUNTIF('NF x Centro de Custo'!$C$5:$C$1270,$C39)</f>
        <v>14</v>
      </c>
      <c r="F39" s="15" t="n">
        <f aca="false">SUMIFS('NF x Centro de Custo'!$F$5:$F$1270,'NF x Centro de Custo'!$C$5:$C$1270,$C39)</f>
        <v>18636.43</v>
      </c>
      <c r="G39" s="15" t="n">
        <f aca="false">SUMIFS('NF x Centro de Custo'!$G$5:$G$1270,'NF x Centro de Custo'!$C$5:$C$1270,$C39)</f>
        <v>0</v>
      </c>
      <c r="H39" s="15" t="n">
        <f aca="false">F39+G39</f>
        <v>18636.43</v>
      </c>
      <c r="I39" s="25" t="n">
        <v>18636.43</v>
      </c>
      <c r="J39" s="15" t="n">
        <f aca="false">ROUND(H39-I39,2)</f>
        <v>0</v>
      </c>
      <c r="K39" s="26" t="str">
        <f aca="false">IF(ABS(J39)&lt;0.05,"OK","Verificar")</f>
        <v>OK</v>
      </c>
    </row>
    <row r="40" customFormat="false" ht="15" hidden="false" customHeight="false" outlineLevel="0" collapsed="false">
      <c r="A40" s="3" t="n">
        <v>1</v>
      </c>
      <c r="B40" s="24" t="n">
        <v>46023</v>
      </c>
      <c r="C40" s="3" t="s">
        <v>264</v>
      </c>
      <c r="D40" s="3" t="s">
        <v>222</v>
      </c>
      <c r="E40" s="3" t="n">
        <f aca="false">COUNTIF('NF x Centro de Custo'!$C$5:$C$1270,$C40)</f>
        <v>4</v>
      </c>
      <c r="F40" s="15" t="n">
        <f aca="false">SUMIFS('NF x Centro de Custo'!$F$5:$F$1270,'NF x Centro de Custo'!$C$5:$C$1270,$C40)</f>
        <v>87466.23</v>
      </c>
      <c r="G40" s="15" t="n">
        <f aca="false">SUMIFS('NF x Centro de Custo'!$G$5:$G$1270,'NF x Centro de Custo'!$C$5:$C$1270,$C40)</f>
        <v>0</v>
      </c>
      <c r="H40" s="15" t="n">
        <f aca="false">F40+G40</f>
        <v>87466.23</v>
      </c>
      <c r="I40" s="25" t="n">
        <v>87466.23</v>
      </c>
      <c r="J40" s="15" t="n">
        <f aca="false">ROUND(H40-I40,2)</f>
        <v>0</v>
      </c>
      <c r="K40" s="26" t="str">
        <f aca="false">IF(ABS(J40)&lt;0.05,"OK","Verificar")</f>
        <v>OK</v>
      </c>
    </row>
    <row r="41" customFormat="false" ht="15" hidden="false" customHeight="false" outlineLevel="0" collapsed="false">
      <c r="A41" s="3" t="n">
        <v>1</v>
      </c>
      <c r="B41" s="24" t="n">
        <v>46023</v>
      </c>
      <c r="C41" s="3" t="s">
        <v>265</v>
      </c>
      <c r="D41" s="3" t="s">
        <v>222</v>
      </c>
      <c r="E41" s="3" t="n">
        <f aca="false">COUNTIF('NF x Centro de Custo'!$C$5:$C$1270,$C41)</f>
        <v>14</v>
      </c>
      <c r="F41" s="15" t="n">
        <f aca="false">SUMIFS('NF x Centro de Custo'!$F$5:$F$1270,'NF x Centro de Custo'!$C$5:$C$1270,$C41)</f>
        <v>320289.78</v>
      </c>
      <c r="G41" s="15" t="n">
        <f aca="false">SUMIFS('NF x Centro de Custo'!$G$5:$G$1270,'NF x Centro de Custo'!$C$5:$C$1270,$C41)</f>
        <v>0</v>
      </c>
      <c r="H41" s="15" t="n">
        <f aca="false">F41+G41</f>
        <v>320289.78</v>
      </c>
      <c r="I41" s="25" t="n">
        <v>320289.78</v>
      </c>
      <c r="J41" s="15" t="n">
        <f aca="false">ROUND(H41-I41,2)</f>
        <v>0</v>
      </c>
      <c r="K41" s="26" t="str">
        <f aca="false">IF(ABS(J41)&lt;0.05,"OK","Verificar")</f>
        <v>OK</v>
      </c>
    </row>
    <row r="42" customFormat="false" ht="15" hidden="false" customHeight="false" outlineLevel="0" collapsed="false">
      <c r="A42" s="3" t="n">
        <v>1</v>
      </c>
      <c r="B42" s="24" t="n">
        <v>46023</v>
      </c>
      <c r="C42" s="3" t="s">
        <v>266</v>
      </c>
      <c r="D42" s="3" t="s">
        <v>222</v>
      </c>
      <c r="E42" s="3" t="n">
        <f aca="false">COUNTIF('NF x Centro de Custo'!$C$5:$C$1270,$C42)</f>
        <v>1</v>
      </c>
      <c r="F42" s="15" t="n">
        <f aca="false">SUMIFS('NF x Centro de Custo'!$F$5:$F$1270,'NF x Centro de Custo'!$C$5:$C$1270,$C42)</f>
        <v>4229.3</v>
      </c>
      <c r="G42" s="15" t="n">
        <f aca="false">SUMIFS('NF x Centro de Custo'!$G$5:$G$1270,'NF x Centro de Custo'!$C$5:$C$1270,$C42)</f>
        <v>0</v>
      </c>
      <c r="H42" s="15" t="n">
        <f aca="false">F42+G42</f>
        <v>4229.3</v>
      </c>
      <c r="I42" s="25" t="n">
        <v>4229.3</v>
      </c>
      <c r="J42" s="15" t="n">
        <f aca="false">ROUND(H42-I42,2)</f>
        <v>0</v>
      </c>
      <c r="K42" s="26" t="str">
        <f aca="false">IF(ABS(J42)&lt;0.05,"OK","Verificar")</f>
        <v>OK</v>
      </c>
    </row>
    <row r="43" customFormat="false" ht="15" hidden="false" customHeight="false" outlineLevel="0" collapsed="false">
      <c r="A43" s="3" t="n">
        <v>1</v>
      </c>
      <c r="B43" s="24" t="n">
        <v>46023</v>
      </c>
      <c r="C43" s="3" t="s">
        <v>267</v>
      </c>
      <c r="D43" s="3" t="s">
        <v>237</v>
      </c>
      <c r="E43" s="3" t="n">
        <f aca="false">COUNTIF('NF x Centro de Custo'!$C$5:$C$1270,$C43)</f>
        <v>2</v>
      </c>
      <c r="F43" s="15" t="n">
        <f aca="false">SUMIFS('NF x Centro de Custo'!$F$5:$F$1270,'NF x Centro de Custo'!$C$5:$C$1270,$C43)</f>
        <v>3291.69</v>
      </c>
      <c r="G43" s="15" t="n">
        <f aca="false">SUMIFS('NF x Centro de Custo'!$G$5:$G$1270,'NF x Centro de Custo'!$C$5:$C$1270,$C43)</f>
        <v>0</v>
      </c>
      <c r="H43" s="15" t="n">
        <f aca="false">F43+G43</f>
        <v>3291.69</v>
      </c>
      <c r="I43" s="25" t="n">
        <v>3291.69</v>
      </c>
      <c r="J43" s="15" t="n">
        <f aca="false">ROUND(H43-I43,2)</f>
        <v>0</v>
      </c>
      <c r="K43" s="26" t="str">
        <f aca="false">IF(ABS(J43)&lt;0.05,"OK","Verificar")</f>
        <v>OK</v>
      </c>
    </row>
    <row r="44" customFormat="false" ht="15" hidden="false" customHeight="false" outlineLevel="0" collapsed="false">
      <c r="A44" s="3" t="n">
        <v>1</v>
      </c>
      <c r="B44" s="24" t="n">
        <v>46023</v>
      </c>
      <c r="C44" s="3" t="s">
        <v>268</v>
      </c>
      <c r="D44" s="3" t="s">
        <v>269</v>
      </c>
      <c r="E44" s="3" t="n">
        <f aca="false">COUNTIF('NF x Centro de Custo'!$C$5:$C$1270,$C44)</f>
        <v>5</v>
      </c>
      <c r="F44" s="15" t="n">
        <f aca="false">SUMIFS('NF x Centro de Custo'!$F$5:$F$1270,'NF x Centro de Custo'!$C$5:$C$1270,$C44)</f>
        <v>9599.96</v>
      </c>
      <c r="G44" s="15" t="n">
        <f aca="false">SUMIFS('NF x Centro de Custo'!$G$5:$G$1270,'NF x Centro de Custo'!$C$5:$C$1270,$C44)</f>
        <v>0</v>
      </c>
      <c r="H44" s="15" t="n">
        <f aca="false">F44+G44</f>
        <v>9599.96</v>
      </c>
      <c r="I44" s="25" t="n">
        <v>9599.96</v>
      </c>
      <c r="J44" s="15" t="n">
        <f aca="false">ROUND(H44-I44,2)</f>
        <v>0</v>
      </c>
      <c r="K44" s="26" t="str">
        <f aca="false">IF(ABS(J44)&lt;0.05,"OK","Verificar")</f>
        <v>OK</v>
      </c>
    </row>
    <row r="45" customFormat="false" ht="15" hidden="false" customHeight="false" outlineLevel="0" collapsed="false">
      <c r="A45" s="3" t="n">
        <v>1</v>
      </c>
      <c r="B45" s="24" t="n">
        <v>46023</v>
      </c>
      <c r="C45" s="3" t="s">
        <v>270</v>
      </c>
      <c r="D45" s="3" t="s">
        <v>269</v>
      </c>
      <c r="E45" s="3" t="n">
        <f aca="false">COUNTIF('NF x Centro de Custo'!$C$5:$C$1270,$C45)</f>
        <v>5</v>
      </c>
      <c r="F45" s="15" t="n">
        <f aca="false">SUMIFS('NF x Centro de Custo'!$F$5:$F$1270,'NF x Centro de Custo'!$C$5:$C$1270,$C45)</f>
        <v>14626.69</v>
      </c>
      <c r="G45" s="15" t="n">
        <f aca="false">SUMIFS('NF x Centro de Custo'!$G$5:$G$1270,'NF x Centro de Custo'!$C$5:$C$1270,$C45)</f>
        <v>0</v>
      </c>
      <c r="H45" s="15" t="n">
        <f aca="false">F45+G45</f>
        <v>14626.69</v>
      </c>
      <c r="I45" s="25" t="n">
        <v>14626.69</v>
      </c>
      <c r="J45" s="15" t="n">
        <f aca="false">ROUND(H45-I45,2)</f>
        <v>0</v>
      </c>
      <c r="K45" s="26" t="str">
        <f aca="false">IF(ABS(J45)&lt;0.05,"OK","Verificar")</f>
        <v>OK</v>
      </c>
    </row>
    <row r="46" customFormat="false" ht="15" hidden="false" customHeight="false" outlineLevel="0" collapsed="false">
      <c r="A46" s="3" t="n">
        <v>1</v>
      </c>
      <c r="B46" s="24" t="n">
        <v>46023</v>
      </c>
      <c r="C46" s="3" t="s">
        <v>271</v>
      </c>
      <c r="D46" s="3" t="s">
        <v>224</v>
      </c>
      <c r="E46" s="3" t="n">
        <f aca="false">COUNTIF('NF x Centro de Custo'!$C$5:$C$1270,$C46)</f>
        <v>1</v>
      </c>
      <c r="F46" s="15" t="n">
        <f aca="false">SUMIFS('NF x Centro de Custo'!$F$5:$F$1270,'NF x Centro de Custo'!$C$5:$C$1270,$C46)</f>
        <v>1014.23</v>
      </c>
      <c r="G46" s="15" t="n">
        <f aca="false">SUMIFS('NF x Centro de Custo'!$G$5:$G$1270,'NF x Centro de Custo'!$C$5:$C$1270,$C46)</f>
        <v>0</v>
      </c>
      <c r="H46" s="15" t="n">
        <f aca="false">F46+G46</f>
        <v>1014.23</v>
      </c>
      <c r="I46" s="25" t="n">
        <v>1014.23</v>
      </c>
      <c r="J46" s="15" t="n">
        <f aca="false">ROUND(H46-I46,2)</f>
        <v>0</v>
      </c>
      <c r="K46" s="26" t="str">
        <f aca="false">IF(ABS(J46)&lt;0.05,"OK","Verificar")</f>
        <v>OK</v>
      </c>
    </row>
    <row r="47" customFormat="false" ht="15" hidden="false" customHeight="false" outlineLevel="0" collapsed="false">
      <c r="A47" s="3" t="n">
        <v>1</v>
      </c>
      <c r="B47" s="24" t="n">
        <v>46023</v>
      </c>
      <c r="C47" s="3" t="s">
        <v>272</v>
      </c>
      <c r="D47" s="3" t="s">
        <v>226</v>
      </c>
      <c r="E47" s="3" t="n">
        <f aca="false">COUNTIF('NF x Centro de Custo'!$C$5:$C$1270,$C47)</f>
        <v>2</v>
      </c>
      <c r="F47" s="15" t="n">
        <f aca="false">SUMIFS('NF x Centro de Custo'!$F$5:$F$1270,'NF x Centro de Custo'!$C$5:$C$1270,$C47)</f>
        <v>1462.5</v>
      </c>
      <c r="G47" s="15" t="n">
        <f aca="false">SUMIFS('NF x Centro de Custo'!$G$5:$G$1270,'NF x Centro de Custo'!$C$5:$C$1270,$C47)</f>
        <v>0</v>
      </c>
      <c r="H47" s="15" t="n">
        <f aca="false">F47+G47</f>
        <v>1462.5</v>
      </c>
      <c r="I47" s="25" t="n">
        <v>1462.5</v>
      </c>
      <c r="J47" s="15" t="n">
        <f aca="false">ROUND(H47-I47,2)</f>
        <v>0</v>
      </c>
      <c r="K47" s="26" t="str">
        <f aca="false">IF(ABS(J47)&lt;0.05,"OK","Verificar")</f>
        <v>OK</v>
      </c>
    </row>
    <row r="48" customFormat="false" ht="15" hidden="false" customHeight="false" outlineLevel="0" collapsed="false">
      <c r="A48" s="3" t="n">
        <v>1</v>
      </c>
      <c r="B48" s="24" t="n">
        <v>46023</v>
      </c>
      <c r="C48" s="3" t="s">
        <v>273</v>
      </c>
      <c r="D48" s="3" t="s">
        <v>212</v>
      </c>
      <c r="E48" s="3" t="n">
        <f aca="false">COUNTIF('NF x Centro de Custo'!$C$5:$C$1270,$C48)</f>
        <v>7</v>
      </c>
      <c r="F48" s="15" t="n">
        <f aca="false">SUMIFS('NF x Centro de Custo'!$F$5:$F$1270,'NF x Centro de Custo'!$C$5:$C$1270,$C48)</f>
        <v>94353.73</v>
      </c>
      <c r="G48" s="15" t="n">
        <f aca="false">SUMIFS('NF x Centro de Custo'!$G$5:$G$1270,'NF x Centro de Custo'!$C$5:$C$1270,$C48)</f>
        <v>28789.98</v>
      </c>
      <c r="H48" s="15" t="n">
        <f aca="false">F48+G48</f>
        <v>123143.71</v>
      </c>
      <c r="I48" s="25" t="n">
        <v>123143.71</v>
      </c>
      <c r="J48" s="15" t="n">
        <f aca="false">ROUND(H48-I48,2)</f>
        <v>0</v>
      </c>
      <c r="K48" s="26" t="str">
        <f aca="false">IF(ABS(J48)&lt;0.05,"OK","Verificar")</f>
        <v>OK</v>
      </c>
    </row>
    <row r="49" customFormat="false" ht="15" hidden="false" customHeight="false" outlineLevel="0" collapsed="false">
      <c r="A49" s="3" t="n">
        <v>1</v>
      </c>
      <c r="B49" s="24" t="n">
        <v>46023</v>
      </c>
      <c r="C49" s="3" t="s">
        <v>274</v>
      </c>
      <c r="D49" s="3" t="s">
        <v>214</v>
      </c>
      <c r="E49" s="3" t="n">
        <f aca="false">COUNTIF('NF x Centro de Custo'!$C$5:$C$1270,$C49)</f>
        <v>1</v>
      </c>
      <c r="F49" s="15" t="n">
        <f aca="false">SUMIFS('NF x Centro de Custo'!$F$5:$F$1270,'NF x Centro de Custo'!$C$5:$C$1270,$C49)</f>
        <v>1657.28</v>
      </c>
      <c r="G49" s="15" t="n">
        <f aca="false">SUMIFS('NF x Centro de Custo'!$G$5:$G$1270,'NF x Centro de Custo'!$C$5:$C$1270,$C49)</f>
        <v>591.98</v>
      </c>
      <c r="H49" s="15" t="n">
        <f aca="false">F49+G49</f>
        <v>2249.26</v>
      </c>
      <c r="I49" s="25" t="n">
        <v>2249.26</v>
      </c>
      <c r="J49" s="15" t="n">
        <f aca="false">ROUND(H49-I49,2)</f>
        <v>0</v>
      </c>
      <c r="K49" s="26" t="str">
        <f aca="false">IF(ABS(J49)&lt;0.05,"OK","Verificar")</f>
        <v>OK</v>
      </c>
    </row>
    <row r="50" customFormat="false" ht="15" hidden="false" customHeight="false" outlineLevel="0" collapsed="false">
      <c r="A50" s="3" t="n">
        <v>1</v>
      </c>
      <c r="B50" s="24" t="n">
        <v>46023</v>
      </c>
      <c r="C50" s="3" t="s">
        <v>275</v>
      </c>
      <c r="D50" s="3" t="s">
        <v>214</v>
      </c>
      <c r="E50" s="3" t="n">
        <f aca="false">COUNTIF('NF x Centro de Custo'!$C$5:$C$1270,$C50)</f>
        <v>1</v>
      </c>
      <c r="F50" s="15" t="n">
        <f aca="false">SUMIFS('NF x Centro de Custo'!$F$5:$F$1270,'NF x Centro de Custo'!$C$5:$C$1270,$C50)</f>
        <v>3201.74</v>
      </c>
      <c r="G50" s="15" t="n">
        <f aca="false">SUMIFS('NF x Centro de Custo'!$G$5:$G$1270,'NF x Centro de Custo'!$C$5:$C$1270,$C50)</f>
        <v>1191.83</v>
      </c>
      <c r="H50" s="15" t="n">
        <f aca="false">F50+G50</f>
        <v>4393.57</v>
      </c>
      <c r="I50" s="25" t="n">
        <v>4393.57</v>
      </c>
      <c r="J50" s="15" t="n">
        <f aca="false">ROUND(H50-I50,2)</f>
        <v>0</v>
      </c>
      <c r="K50" s="26" t="str">
        <f aca="false">IF(ABS(J50)&lt;0.05,"OK","Verificar")</f>
        <v>OK</v>
      </c>
    </row>
    <row r="51" customFormat="false" ht="15" hidden="false" customHeight="false" outlineLevel="0" collapsed="false">
      <c r="A51" s="3" t="n">
        <v>1</v>
      </c>
      <c r="B51" s="24" t="n">
        <v>46023</v>
      </c>
      <c r="C51" s="3" t="s">
        <v>276</v>
      </c>
      <c r="D51" s="3" t="s">
        <v>217</v>
      </c>
      <c r="E51" s="3" t="n">
        <f aca="false">COUNTIF('NF x Centro de Custo'!$C$5:$C$1270,$C51)</f>
        <v>3</v>
      </c>
      <c r="F51" s="15" t="n">
        <f aca="false">SUMIFS('NF x Centro de Custo'!$F$5:$F$1270,'NF x Centro de Custo'!$C$5:$C$1270,$C51)</f>
        <v>26358.6</v>
      </c>
      <c r="G51" s="15" t="n">
        <f aca="false">SUMIFS('NF x Centro de Custo'!$G$5:$G$1270,'NF x Centro de Custo'!$C$5:$C$1270,$C51)</f>
        <v>9188.04</v>
      </c>
      <c r="H51" s="15" t="n">
        <f aca="false">F51+G51</f>
        <v>35546.64</v>
      </c>
      <c r="I51" s="25" t="n">
        <v>35546.64</v>
      </c>
      <c r="J51" s="15" t="n">
        <f aca="false">ROUND(H51-I51,2)</f>
        <v>0</v>
      </c>
      <c r="K51" s="26" t="str">
        <f aca="false">IF(ABS(J51)&lt;0.05,"OK","Verificar")</f>
        <v>OK</v>
      </c>
    </row>
    <row r="52" customFormat="false" ht="15" hidden="false" customHeight="false" outlineLevel="0" collapsed="false">
      <c r="A52" s="3" t="n">
        <v>1</v>
      </c>
      <c r="B52" s="24" t="n">
        <v>46023</v>
      </c>
      <c r="C52" s="3" t="s">
        <v>277</v>
      </c>
      <c r="D52" s="3" t="s">
        <v>219</v>
      </c>
      <c r="E52" s="3" t="n">
        <f aca="false">COUNTIF('NF x Centro de Custo'!$C$5:$C$1270,$C52)</f>
        <v>1</v>
      </c>
      <c r="F52" s="15" t="n">
        <f aca="false">SUMIFS('NF x Centro de Custo'!$F$5:$F$1270,'NF x Centro de Custo'!$C$5:$C$1270,$C52)</f>
        <v>5561.88</v>
      </c>
      <c r="G52" s="15" t="n">
        <f aca="false">SUMIFS('NF x Centro de Custo'!$G$5:$G$1270,'NF x Centro de Custo'!$C$5:$C$1270,$C52)</f>
        <v>1985.48</v>
      </c>
      <c r="H52" s="15" t="n">
        <f aca="false">F52+G52</f>
        <v>7547.36</v>
      </c>
      <c r="I52" s="25" t="n">
        <v>7547.36</v>
      </c>
      <c r="J52" s="15" t="n">
        <f aca="false">ROUND(H52-I52,2)</f>
        <v>0</v>
      </c>
      <c r="K52" s="26" t="str">
        <f aca="false">IF(ABS(J52)&lt;0.05,"OK","Verificar")</f>
        <v>OK</v>
      </c>
    </row>
    <row r="53" customFormat="false" ht="15" hidden="false" customHeight="false" outlineLevel="0" collapsed="false">
      <c r="A53" s="3" t="n">
        <v>1</v>
      </c>
      <c r="B53" s="24" t="n">
        <v>46023</v>
      </c>
      <c r="C53" s="3" t="s">
        <v>278</v>
      </c>
      <c r="D53" s="3" t="s">
        <v>219</v>
      </c>
      <c r="E53" s="3" t="n">
        <f aca="false">COUNTIF('NF x Centro de Custo'!$C$5:$C$1270,$C53)</f>
        <v>1</v>
      </c>
      <c r="F53" s="15" t="n">
        <f aca="false">SUMIFS('NF x Centro de Custo'!$F$5:$F$1270,'NF x Centro de Custo'!$C$5:$C$1270,$C53)</f>
        <v>21150.02</v>
      </c>
      <c r="G53" s="15" t="n">
        <f aca="false">SUMIFS('NF x Centro de Custo'!$G$5:$G$1270,'NF x Centro de Custo'!$C$5:$C$1270,$C53)</f>
        <v>7519.48</v>
      </c>
      <c r="H53" s="15" t="n">
        <f aca="false">F53+G53</f>
        <v>28669.5</v>
      </c>
      <c r="I53" s="25" t="n">
        <v>28669.5</v>
      </c>
      <c r="J53" s="15" t="n">
        <f aca="false">ROUND(H53-I53,2)</f>
        <v>0</v>
      </c>
      <c r="K53" s="26" t="str">
        <f aca="false">IF(ABS(J53)&lt;0.05,"OK","Verificar")</f>
        <v>OK</v>
      </c>
    </row>
    <row r="54" customFormat="false" ht="15" hidden="false" customHeight="false" outlineLevel="0" collapsed="false">
      <c r="A54" s="3" t="n">
        <v>1</v>
      </c>
      <c r="B54" s="24" t="n">
        <v>46023</v>
      </c>
      <c r="C54" s="3" t="s">
        <v>279</v>
      </c>
      <c r="D54" s="3" t="s">
        <v>228</v>
      </c>
      <c r="E54" s="3" t="n">
        <f aca="false">COUNTIF('NF x Centro de Custo'!$C$5:$C$1270,$C54)</f>
        <v>1</v>
      </c>
      <c r="F54" s="15" t="n">
        <f aca="false">SUMIFS('NF x Centro de Custo'!$F$5:$F$1270,'NF x Centro de Custo'!$C$5:$C$1270,$C54)</f>
        <v>21324.72</v>
      </c>
      <c r="G54" s="15" t="n">
        <f aca="false">SUMIFS('NF x Centro de Custo'!$G$5:$G$1270,'NF x Centro de Custo'!$C$5:$C$1270,$C54)</f>
        <v>7396.62</v>
      </c>
      <c r="H54" s="15" t="n">
        <f aca="false">F54+G54</f>
        <v>28721.34</v>
      </c>
      <c r="I54" s="25" t="n">
        <v>28721.34</v>
      </c>
      <c r="J54" s="15" t="n">
        <f aca="false">ROUND(H54-I54,2)</f>
        <v>0</v>
      </c>
      <c r="K54" s="26" t="str">
        <f aca="false">IF(ABS(J54)&lt;0.05,"OK","Verificar")</f>
        <v>OK</v>
      </c>
    </row>
    <row r="55" customFormat="false" ht="15" hidden="false" customHeight="false" outlineLevel="0" collapsed="false">
      <c r="A55" s="3" t="n">
        <v>1</v>
      </c>
      <c r="B55" s="24" t="n">
        <v>46023</v>
      </c>
      <c r="C55" s="3" t="s">
        <v>280</v>
      </c>
      <c r="D55" s="3" t="s">
        <v>228</v>
      </c>
      <c r="E55" s="3" t="n">
        <f aca="false">COUNTIF('NF x Centro de Custo'!$C$5:$C$1270,$C55)</f>
        <v>1</v>
      </c>
      <c r="F55" s="15" t="n">
        <f aca="false">SUMIFS('NF x Centro de Custo'!$F$5:$F$1270,'NF x Centro de Custo'!$C$5:$C$1270,$C55)</f>
        <v>20905.91</v>
      </c>
      <c r="G55" s="15" t="n">
        <f aca="false">SUMIFS('NF x Centro de Custo'!$G$5:$G$1270,'NF x Centro de Custo'!$C$5:$C$1270,$C55)</f>
        <v>7493.75</v>
      </c>
      <c r="H55" s="15" t="n">
        <f aca="false">F55+G55</f>
        <v>28399.66</v>
      </c>
      <c r="I55" s="25" t="n">
        <v>28399.66</v>
      </c>
      <c r="J55" s="15" t="n">
        <f aca="false">ROUND(H55-I55,2)</f>
        <v>0</v>
      </c>
      <c r="K55" s="26" t="str">
        <f aca="false">IF(ABS(J55)&lt;0.05,"OK","Verificar")</f>
        <v>OK</v>
      </c>
    </row>
    <row r="56" customFormat="false" ht="15" hidden="false" customHeight="false" outlineLevel="0" collapsed="false">
      <c r="A56" s="3" t="n">
        <v>1</v>
      </c>
      <c r="B56" s="24" t="n">
        <v>46023</v>
      </c>
      <c r="C56" s="3" t="s">
        <v>281</v>
      </c>
      <c r="D56" s="3" t="s">
        <v>231</v>
      </c>
      <c r="E56" s="3" t="n">
        <f aca="false">COUNTIF('NF x Centro de Custo'!$C$5:$C$1270,$C56)</f>
        <v>1</v>
      </c>
      <c r="F56" s="15" t="n">
        <f aca="false">SUMIFS('NF x Centro de Custo'!$F$5:$F$1270,'NF x Centro de Custo'!$C$5:$C$1270,$C56)</f>
        <v>15784.91</v>
      </c>
      <c r="G56" s="15" t="n">
        <f aca="false">SUMIFS('NF x Centro de Custo'!$G$5:$G$1270,'NF x Centro de Custo'!$C$5:$C$1270,$C56)</f>
        <v>5636.21</v>
      </c>
      <c r="H56" s="15" t="n">
        <f aca="false">F56+G56</f>
        <v>21421.12</v>
      </c>
      <c r="I56" s="25" t="n">
        <v>21421.12</v>
      </c>
      <c r="J56" s="15" t="n">
        <f aca="false">ROUND(H56-I56,2)</f>
        <v>0</v>
      </c>
      <c r="K56" s="26" t="str">
        <f aca="false">IF(ABS(J56)&lt;0.05,"OK","Verificar")</f>
        <v>OK</v>
      </c>
    </row>
    <row r="57" customFormat="false" ht="15" hidden="false" customHeight="false" outlineLevel="0" collapsed="false">
      <c r="A57" s="3" t="n">
        <v>1</v>
      </c>
      <c r="B57" s="24" t="n">
        <v>46023</v>
      </c>
      <c r="C57" s="3" t="s">
        <v>282</v>
      </c>
      <c r="D57" s="3" t="s">
        <v>231</v>
      </c>
      <c r="E57" s="3" t="n">
        <f aca="false">COUNTIF('NF x Centro de Custo'!$C$5:$C$1270,$C57)</f>
        <v>1</v>
      </c>
      <c r="F57" s="15" t="n">
        <f aca="false">SUMIFS('NF x Centro de Custo'!$F$5:$F$1270,'NF x Centro de Custo'!$C$5:$C$1270,$C57)</f>
        <v>40145.55</v>
      </c>
      <c r="G57" s="15" t="n">
        <f aca="false">SUMIFS('NF x Centro de Custo'!$G$5:$G$1270,'NF x Centro de Custo'!$C$5:$C$1270,$C57)</f>
        <v>14411.22</v>
      </c>
      <c r="H57" s="15" t="n">
        <f aca="false">F57+G57</f>
        <v>54556.77</v>
      </c>
      <c r="I57" s="25" t="n">
        <v>54556.77</v>
      </c>
      <c r="J57" s="15" t="n">
        <f aca="false">ROUND(H57-I57,2)</f>
        <v>0</v>
      </c>
      <c r="K57" s="26" t="str">
        <f aca="false">IF(ABS(J57)&lt;0.05,"OK","Verificar")</f>
        <v>OK</v>
      </c>
    </row>
    <row r="58" customFormat="false" ht="15" hidden="false" customHeight="false" outlineLevel="0" collapsed="false">
      <c r="A58" s="3" t="n">
        <v>1</v>
      </c>
      <c r="B58" s="24" t="n">
        <v>46023</v>
      </c>
      <c r="C58" s="3" t="s">
        <v>283</v>
      </c>
      <c r="D58" s="3" t="s">
        <v>234</v>
      </c>
      <c r="E58" s="3" t="n">
        <f aca="false">COUNTIF('NF x Centro de Custo'!$C$5:$C$1270,$C58)</f>
        <v>1</v>
      </c>
      <c r="F58" s="15" t="n">
        <f aca="false">SUMIFS('NF x Centro de Custo'!$F$5:$F$1270,'NF x Centro de Custo'!$C$5:$C$1270,$C58)</f>
        <v>13841.54</v>
      </c>
      <c r="G58" s="15" t="n">
        <f aca="false">SUMIFS('NF x Centro de Custo'!$G$5:$G$1270,'NF x Centro de Custo'!$C$5:$C$1270,$C58)</f>
        <v>4941.06</v>
      </c>
      <c r="H58" s="15" t="n">
        <f aca="false">F58+G58</f>
        <v>18782.6</v>
      </c>
      <c r="I58" s="25" t="n">
        <v>18782.6</v>
      </c>
      <c r="J58" s="15" t="n">
        <f aca="false">ROUND(H58-I58,2)</f>
        <v>0</v>
      </c>
      <c r="K58" s="26" t="str">
        <f aca="false">IF(ABS(J58)&lt;0.05,"OK","Verificar")</f>
        <v>OK</v>
      </c>
    </row>
    <row r="59" customFormat="false" ht="15" hidden="false" customHeight="false" outlineLevel="0" collapsed="false">
      <c r="A59" s="3" t="n">
        <v>1</v>
      </c>
      <c r="B59" s="24" t="n">
        <v>46023</v>
      </c>
      <c r="C59" s="3" t="s">
        <v>284</v>
      </c>
      <c r="D59" s="3" t="s">
        <v>234</v>
      </c>
      <c r="E59" s="3" t="n">
        <f aca="false">COUNTIF('NF x Centro de Custo'!$C$5:$C$1270,$C59)</f>
        <v>1</v>
      </c>
      <c r="F59" s="15" t="n">
        <f aca="false">SUMIFS('NF x Centro de Custo'!$F$5:$F$1270,'NF x Centro de Custo'!$C$5:$C$1270,$C59)</f>
        <v>35264.19</v>
      </c>
      <c r="G59" s="15" t="n">
        <f aca="false">SUMIFS('NF x Centro de Custo'!$G$5:$G$1270,'NF x Centro de Custo'!$C$5:$C$1270,$C59)</f>
        <v>12569.19</v>
      </c>
      <c r="H59" s="15" t="n">
        <f aca="false">F59+G59</f>
        <v>47833.38</v>
      </c>
      <c r="I59" s="25" t="n">
        <v>47833.38</v>
      </c>
      <c r="J59" s="15" t="n">
        <f aca="false">ROUND(H59-I59,2)</f>
        <v>0</v>
      </c>
      <c r="K59" s="26" t="str">
        <f aca="false">IF(ABS(J59)&lt;0.05,"OK","Verificar")</f>
        <v>OK</v>
      </c>
    </row>
    <row r="60" customFormat="false" ht="15" hidden="false" customHeight="false" outlineLevel="0" collapsed="false">
      <c r="A60" s="3" t="n">
        <v>1</v>
      </c>
      <c r="B60" s="24" t="n">
        <v>46023</v>
      </c>
      <c r="C60" s="3" t="s">
        <v>285</v>
      </c>
      <c r="D60" s="3" t="s">
        <v>224</v>
      </c>
      <c r="E60" s="3" t="n">
        <f aca="false">COUNTIF('NF x Centro de Custo'!$C$5:$C$1270,$C60)</f>
        <v>1</v>
      </c>
      <c r="F60" s="15" t="n">
        <f aca="false">SUMIFS('NF x Centro de Custo'!$F$5:$F$1270,'NF x Centro de Custo'!$C$5:$C$1270,$C60)</f>
        <v>3566.87</v>
      </c>
      <c r="G60" s="15" t="n">
        <f aca="false">SUMIFS('NF x Centro de Custo'!$G$5:$G$1270,'NF x Centro de Custo'!$C$5:$C$1270,$C60)</f>
        <v>1228.34</v>
      </c>
      <c r="H60" s="15" t="n">
        <f aca="false">F60+G60</f>
        <v>4795.21</v>
      </c>
      <c r="I60" s="25" t="n">
        <v>4795.21</v>
      </c>
      <c r="J60" s="15" t="n">
        <f aca="false">ROUND(H60-I60,2)</f>
        <v>0</v>
      </c>
      <c r="K60" s="26" t="str">
        <f aca="false">IF(ABS(J60)&lt;0.05,"OK","Verificar")</f>
        <v>OK</v>
      </c>
    </row>
    <row r="61" customFormat="false" ht="15" hidden="false" customHeight="false" outlineLevel="0" collapsed="false">
      <c r="A61" s="3" t="n">
        <v>1</v>
      </c>
      <c r="B61" s="24" t="n">
        <v>46023</v>
      </c>
      <c r="C61" s="3" t="s">
        <v>286</v>
      </c>
      <c r="D61" s="3" t="s">
        <v>226</v>
      </c>
      <c r="E61" s="3" t="n">
        <f aca="false">COUNTIF('NF x Centro de Custo'!$C$5:$C$1270,$C61)</f>
        <v>2</v>
      </c>
      <c r="F61" s="15" t="n">
        <f aca="false">SUMIFS('NF x Centro de Custo'!$F$5:$F$1270,'NF x Centro de Custo'!$C$5:$C$1270,$C61)</f>
        <v>42734.34</v>
      </c>
      <c r="G61" s="15" t="n">
        <f aca="false">SUMIFS('NF x Centro de Custo'!$G$5:$G$1270,'NF x Centro de Custo'!$C$5:$C$1270,$C61)</f>
        <v>12905.41</v>
      </c>
      <c r="H61" s="15" t="n">
        <f aca="false">F61+G61</f>
        <v>55639.75</v>
      </c>
      <c r="I61" s="25" t="n">
        <v>55639.75</v>
      </c>
      <c r="J61" s="15" t="n">
        <f aca="false">ROUND(H61-I61,2)</f>
        <v>0</v>
      </c>
      <c r="K61" s="26" t="str">
        <f aca="false">IF(ABS(J61)&lt;0.05,"OK","Verificar")</f>
        <v>OK</v>
      </c>
    </row>
    <row r="62" customFormat="false" ht="15" hidden="false" customHeight="false" outlineLevel="0" collapsed="false">
      <c r="A62" s="3" t="n">
        <v>1</v>
      </c>
      <c r="B62" s="24" t="n">
        <v>46023</v>
      </c>
      <c r="C62" s="3" t="s">
        <v>287</v>
      </c>
      <c r="D62" s="3" t="s">
        <v>243</v>
      </c>
      <c r="E62" s="3" t="n">
        <f aca="false">COUNTIF('NF x Centro de Custo'!$C$5:$C$1270,$C62)</f>
        <v>1</v>
      </c>
      <c r="F62" s="15" t="n">
        <f aca="false">SUMIFS('NF x Centro de Custo'!$F$5:$F$1270,'NF x Centro de Custo'!$C$5:$C$1270,$C62)</f>
        <v>10194.65</v>
      </c>
      <c r="G62" s="15" t="n">
        <f aca="false">SUMIFS('NF x Centro de Custo'!$G$5:$G$1270,'NF x Centro de Custo'!$C$5:$C$1270,$C62)</f>
        <v>3634.38</v>
      </c>
      <c r="H62" s="15" t="n">
        <f aca="false">F62+G62</f>
        <v>13829.03</v>
      </c>
      <c r="I62" s="25" t="n">
        <v>13829.03</v>
      </c>
      <c r="J62" s="15" t="n">
        <f aca="false">ROUND(H62-I62,2)</f>
        <v>0</v>
      </c>
      <c r="K62" s="26" t="str">
        <f aca="false">IF(ABS(J62)&lt;0.05,"OK","Verificar")</f>
        <v>OK</v>
      </c>
    </row>
    <row r="63" customFormat="false" ht="15" hidden="false" customHeight="false" outlineLevel="0" collapsed="false">
      <c r="A63" s="3" t="n">
        <v>1</v>
      </c>
      <c r="B63" s="24" t="n">
        <v>46023</v>
      </c>
      <c r="C63" s="3" t="s">
        <v>288</v>
      </c>
      <c r="D63" s="3" t="s">
        <v>243</v>
      </c>
      <c r="E63" s="3" t="n">
        <f aca="false">COUNTIF('NF x Centro de Custo'!$C$5:$C$1270,$C63)</f>
        <v>1</v>
      </c>
      <c r="F63" s="15" t="n">
        <f aca="false">SUMIFS('NF x Centro de Custo'!$F$5:$F$1270,'NF x Centro de Custo'!$C$5:$C$1270,$C63)</f>
        <v>4504.34</v>
      </c>
      <c r="G63" s="15" t="n">
        <f aca="false">SUMIFS('NF x Centro de Custo'!$G$5:$G$1270,'NF x Centro de Custo'!$C$5:$C$1270,$C63)</f>
        <v>1608.38</v>
      </c>
      <c r="H63" s="15" t="n">
        <f aca="false">F63+G63</f>
        <v>6112.72</v>
      </c>
      <c r="I63" s="25" t="n">
        <v>6112.72</v>
      </c>
      <c r="J63" s="15" t="n">
        <f aca="false">ROUND(H63-I63,2)</f>
        <v>0</v>
      </c>
      <c r="K63" s="26" t="str">
        <f aca="false">IF(ABS(J63)&lt;0.05,"OK","Verificar")</f>
        <v>OK</v>
      </c>
    </row>
    <row r="64" customFormat="false" ht="15" hidden="false" customHeight="false" outlineLevel="0" collapsed="false">
      <c r="A64" s="3" t="n">
        <v>1</v>
      </c>
      <c r="B64" s="24" t="n">
        <v>46023</v>
      </c>
      <c r="C64" s="3" t="s">
        <v>289</v>
      </c>
      <c r="D64" s="3" t="s">
        <v>246</v>
      </c>
      <c r="E64" s="3" t="n">
        <f aca="false">COUNTIF('NF x Centro de Custo'!$C$5:$C$1270,$C64)</f>
        <v>1</v>
      </c>
      <c r="F64" s="15" t="n">
        <f aca="false">SUMIFS('NF x Centro de Custo'!$F$5:$F$1270,'NF x Centro de Custo'!$C$5:$C$1270,$C64)</f>
        <v>4332.65</v>
      </c>
      <c r="G64" s="15" t="n">
        <f aca="false">SUMIFS('NF x Centro de Custo'!$G$5:$G$1270,'NF x Centro de Custo'!$C$5:$C$1270,$C64)</f>
        <v>1564.36</v>
      </c>
      <c r="H64" s="15" t="n">
        <f aca="false">F64+G64</f>
        <v>5897.01</v>
      </c>
      <c r="I64" s="25" t="n">
        <v>5897.01</v>
      </c>
      <c r="J64" s="15" t="n">
        <f aca="false">ROUND(H64-I64,2)</f>
        <v>0</v>
      </c>
      <c r="K64" s="26" t="str">
        <f aca="false">IF(ABS(J64)&lt;0.05,"OK","Verificar")</f>
        <v>OK</v>
      </c>
    </row>
    <row r="65" customFormat="false" ht="15" hidden="false" customHeight="false" outlineLevel="0" collapsed="false">
      <c r="A65" s="3" t="n">
        <v>1</v>
      </c>
      <c r="B65" s="24" t="n">
        <v>46023</v>
      </c>
      <c r="C65" s="3" t="s">
        <v>290</v>
      </c>
      <c r="D65" s="3" t="s">
        <v>246</v>
      </c>
      <c r="E65" s="3" t="n">
        <f aca="false">COUNTIF('NF x Centro de Custo'!$C$5:$C$1270,$C65)</f>
        <v>1</v>
      </c>
      <c r="F65" s="15" t="n">
        <f aca="false">SUMIFS('NF x Centro de Custo'!$F$5:$F$1270,'NF x Centro de Custo'!$C$5:$C$1270,$C65)</f>
        <v>4595.41</v>
      </c>
      <c r="G65" s="15" t="n">
        <f aca="false">SUMIFS('NF x Centro de Custo'!$G$5:$G$1270,'NF x Centro de Custo'!$C$5:$C$1270,$C65)</f>
        <v>1639.95</v>
      </c>
      <c r="H65" s="15" t="n">
        <f aca="false">F65+G65</f>
        <v>6235.36</v>
      </c>
      <c r="I65" s="25" t="n">
        <v>6235.36</v>
      </c>
      <c r="J65" s="15" t="n">
        <f aca="false">ROUND(H65-I65,2)</f>
        <v>0</v>
      </c>
      <c r="K65" s="26" t="str">
        <f aca="false">IF(ABS(J65)&lt;0.05,"OK","Verificar")</f>
        <v>OK</v>
      </c>
    </row>
    <row r="66" customFormat="false" ht="15" hidden="false" customHeight="false" outlineLevel="0" collapsed="false">
      <c r="A66" s="3" t="n">
        <v>1</v>
      </c>
      <c r="B66" s="24" t="n">
        <v>46023</v>
      </c>
      <c r="C66" s="3" t="s">
        <v>291</v>
      </c>
      <c r="D66" s="3" t="s">
        <v>222</v>
      </c>
      <c r="E66" s="3" t="n">
        <f aca="false">COUNTIF('NF x Centro de Custo'!$C$5:$C$1270,$C66)</f>
        <v>5</v>
      </c>
      <c r="F66" s="15" t="n">
        <f aca="false">SUMIFS('NF x Centro de Custo'!$F$5:$F$1270,'NF x Centro de Custo'!$C$5:$C$1270,$C66)</f>
        <v>1146825.48</v>
      </c>
      <c r="G66" s="15" t="n">
        <f aca="false">SUMIFS('NF x Centro de Custo'!$G$5:$G$1270,'NF x Centro de Custo'!$C$5:$C$1270,$C66)</f>
        <v>402542.51</v>
      </c>
      <c r="H66" s="15" t="n">
        <f aca="false">F66+G66</f>
        <v>1549367.99</v>
      </c>
      <c r="I66" s="25" t="n">
        <v>1549367.99</v>
      </c>
      <c r="J66" s="15" t="n">
        <f aca="false">ROUND(H66-I66,2)</f>
        <v>0</v>
      </c>
      <c r="K66" s="26" t="str">
        <f aca="false">IF(ABS(J66)&lt;0.05,"OK","Verificar")</f>
        <v>OK</v>
      </c>
    </row>
    <row r="67" customFormat="false" ht="15" hidden="false" customHeight="false" outlineLevel="0" collapsed="false">
      <c r="A67" s="3" t="n">
        <v>1</v>
      </c>
      <c r="B67" s="24" t="n">
        <v>46023</v>
      </c>
      <c r="C67" s="3" t="s">
        <v>292</v>
      </c>
      <c r="D67" s="3" t="s">
        <v>222</v>
      </c>
      <c r="E67" s="3" t="n">
        <f aca="false">COUNTIF('NF x Centro de Custo'!$C$5:$C$1270,$C67)</f>
        <v>15</v>
      </c>
      <c r="F67" s="15" t="n">
        <f aca="false">SUMIFS('NF x Centro de Custo'!$F$5:$F$1270,'NF x Centro de Custo'!$C$5:$C$1270,$C67)</f>
        <v>1521759.23</v>
      </c>
      <c r="G67" s="15" t="n">
        <f aca="false">SUMIFS('NF x Centro de Custo'!$G$5:$G$1270,'NF x Centro de Custo'!$C$5:$C$1270,$C67)</f>
        <v>536514.81</v>
      </c>
      <c r="H67" s="15" t="n">
        <f aca="false">F67+G67</f>
        <v>2058274.04</v>
      </c>
      <c r="I67" s="25" t="n">
        <v>2058274.04</v>
      </c>
      <c r="J67" s="15" t="n">
        <f aca="false">ROUND(H67-I67,2)</f>
        <v>0</v>
      </c>
      <c r="K67" s="26" t="str">
        <f aca="false">IF(ABS(J67)&lt;0.05,"OK","Verificar")</f>
        <v>OK</v>
      </c>
    </row>
    <row r="68" customFormat="false" ht="15" hidden="false" customHeight="false" outlineLevel="0" collapsed="false">
      <c r="A68" s="3" t="n">
        <v>1</v>
      </c>
      <c r="B68" s="24" t="n">
        <v>46023</v>
      </c>
      <c r="C68" s="3" t="s">
        <v>293</v>
      </c>
      <c r="D68" s="3" t="s">
        <v>249</v>
      </c>
      <c r="E68" s="3" t="n">
        <f aca="false">COUNTIF('NF x Centro de Custo'!$C$5:$C$1270,$C68)</f>
        <v>2</v>
      </c>
      <c r="F68" s="15" t="n">
        <f aca="false">SUMIFS('NF x Centro de Custo'!$F$5:$F$1270,'NF x Centro de Custo'!$C$5:$C$1270,$C68)</f>
        <v>13598.11</v>
      </c>
      <c r="G68" s="15" t="n">
        <f aca="false">SUMIFS('NF x Centro de Custo'!$G$5:$G$1270,'NF x Centro de Custo'!$C$5:$C$1270,$C68)</f>
        <v>4831.54</v>
      </c>
      <c r="H68" s="15" t="n">
        <f aca="false">F68+G68</f>
        <v>18429.65</v>
      </c>
      <c r="I68" s="25" t="n">
        <v>18429.65</v>
      </c>
      <c r="J68" s="15" t="n">
        <f aca="false">ROUND(H68-I68,2)</f>
        <v>0</v>
      </c>
      <c r="K68" s="26" t="str">
        <f aca="false">IF(ABS(J68)&lt;0.05,"OK","Verificar")</f>
        <v>OK</v>
      </c>
    </row>
    <row r="69" customFormat="false" ht="15" hidden="false" customHeight="false" outlineLevel="0" collapsed="false">
      <c r="A69" s="3" t="n">
        <v>1</v>
      </c>
      <c r="B69" s="24" t="n">
        <v>46023</v>
      </c>
      <c r="C69" s="3" t="s">
        <v>294</v>
      </c>
      <c r="D69" s="3" t="s">
        <v>249</v>
      </c>
      <c r="E69" s="3" t="n">
        <f aca="false">COUNTIF('NF x Centro de Custo'!$C$5:$C$1270,$C69)</f>
        <v>1</v>
      </c>
      <c r="F69" s="15" t="n">
        <f aca="false">SUMIFS('NF x Centro de Custo'!$F$5:$F$1270,'NF x Centro de Custo'!$C$5:$C$1270,$C69)</f>
        <v>25452.81</v>
      </c>
      <c r="G69" s="15" t="n">
        <f aca="false">SUMIFS('NF x Centro de Custo'!$G$5:$G$1270,'NF x Centro de Custo'!$C$5:$C$1270,$C69)</f>
        <v>9054.22</v>
      </c>
      <c r="H69" s="15" t="n">
        <f aca="false">F69+G69</f>
        <v>34507.03</v>
      </c>
      <c r="I69" s="25" t="n">
        <v>34507.03</v>
      </c>
      <c r="J69" s="15" t="n">
        <f aca="false">ROUND(H69-I69,2)</f>
        <v>0</v>
      </c>
      <c r="K69" s="26" t="str">
        <f aca="false">IF(ABS(J69)&lt;0.05,"OK","Verificar")</f>
        <v>OK</v>
      </c>
    </row>
    <row r="70" customFormat="false" ht="15" hidden="false" customHeight="false" outlineLevel="0" collapsed="false">
      <c r="A70" s="3" t="n">
        <v>1</v>
      </c>
      <c r="B70" s="24" t="n">
        <v>46023</v>
      </c>
      <c r="C70" s="3" t="s">
        <v>295</v>
      </c>
      <c r="D70" s="3" t="s">
        <v>252</v>
      </c>
      <c r="E70" s="3" t="n">
        <f aca="false">COUNTIF('NF x Centro de Custo'!$C$5:$C$1270,$C70)</f>
        <v>1</v>
      </c>
      <c r="F70" s="15" t="n">
        <f aca="false">SUMIFS('NF x Centro de Custo'!$F$5:$F$1270,'NF x Centro de Custo'!$C$5:$C$1270,$C70)</f>
        <v>4495.7</v>
      </c>
      <c r="G70" s="15" t="n">
        <f aca="false">SUMIFS('NF x Centro de Custo'!$G$5:$G$1270,'NF x Centro de Custo'!$C$5:$C$1270,$C70)</f>
        <v>1605.4</v>
      </c>
      <c r="H70" s="15" t="n">
        <f aca="false">F70+G70</f>
        <v>6101.1</v>
      </c>
      <c r="I70" s="25" t="n">
        <v>6101.1</v>
      </c>
      <c r="J70" s="15" t="n">
        <f aca="false">ROUND(H70-I70,2)</f>
        <v>0</v>
      </c>
      <c r="K70" s="26" t="str">
        <f aca="false">IF(ABS(J70)&lt;0.05,"OK","Verificar")</f>
        <v>OK</v>
      </c>
    </row>
    <row r="71" customFormat="false" ht="15" hidden="false" customHeight="false" outlineLevel="0" collapsed="false">
      <c r="A71" s="3" t="n">
        <v>1</v>
      </c>
      <c r="B71" s="24" t="n">
        <v>46023</v>
      </c>
      <c r="C71" s="3" t="s">
        <v>296</v>
      </c>
      <c r="D71" s="3" t="s">
        <v>252</v>
      </c>
      <c r="E71" s="3" t="n">
        <f aca="false">COUNTIF('NF x Centro de Custo'!$C$5:$C$1270,$C71)</f>
        <v>1</v>
      </c>
      <c r="F71" s="15" t="n">
        <f aca="false">SUMIFS('NF x Centro de Custo'!$F$5:$F$1270,'NF x Centro de Custo'!$C$5:$C$1270,$C71)</f>
        <v>7113.57</v>
      </c>
      <c r="G71" s="15" t="n">
        <f aca="false">SUMIFS('NF x Centro de Custo'!$G$5:$G$1270,'NF x Centro de Custo'!$C$5:$C$1270,$C71)</f>
        <v>2599.76</v>
      </c>
      <c r="H71" s="15" t="n">
        <f aca="false">F71+G71</f>
        <v>9713.33</v>
      </c>
      <c r="I71" s="25" t="n">
        <v>9713.33</v>
      </c>
      <c r="J71" s="15" t="n">
        <f aca="false">ROUND(H71-I71,2)</f>
        <v>0</v>
      </c>
      <c r="K71" s="26" t="str">
        <f aca="false">IF(ABS(J71)&lt;0.05,"OK","Verificar")</f>
        <v>OK</v>
      </c>
    </row>
    <row r="72" customFormat="false" ht="15" hidden="false" customHeight="false" outlineLevel="0" collapsed="false">
      <c r="A72" s="3" t="n">
        <v>1</v>
      </c>
      <c r="B72" s="24" t="n">
        <v>46023</v>
      </c>
      <c r="C72" s="3" t="s">
        <v>297</v>
      </c>
      <c r="D72" s="3" t="s">
        <v>255</v>
      </c>
      <c r="E72" s="3" t="n">
        <f aca="false">COUNTIF('NF x Centro de Custo'!$C$5:$C$1270,$C72)</f>
        <v>1</v>
      </c>
      <c r="F72" s="15" t="n">
        <f aca="false">SUMIFS('NF x Centro de Custo'!$F$5:$F$1270,'NF x Centro de Custo'!$C$5:$C$1270,$C72)</f>
        <v>6614.47</v>
      </c>
      <c r="G72" s="15" t="n">
        <f aca="false">SUMIFS('NF x Centro de Custo'!$G$5:$G$1270,'NF x Centro de Custo'!$C$5:$C$1270,$C72)</f>
        <v>2360.36</v>
      </c>
      <c r="H72" s="15" t="n">
        <f aca="false">F72+G72</f>
        <v>8974.83</v>
      </c>
      <c r="I72" s="25" t="n">
        <v>8974.83</v>
      </c>
      <c r="J72" s="15" t="n">
        <f aca="false">ROUND(H72-I72,2)</f>
        <v>0</v>
      </c>
      <c r="K72" s="26" t="str">
        <f aca="false">IF(ABS(J72)&lt;0.05,"OK","Verificar")</f>
        <v>OK</v>
      </c>
    </row>
    <row r="73" customFormat="false" ht="15" hidden="false" customHeight="false" outlineLevel="0" collapsed="false">
      <c r="A73" s="3" t="n">
        <v>1</v>
      </c>
      <c r="B73" s="24" t="n">
        <v>46023</v>
      </c>
      <c r="C73" s="3" t="s">
        <v>298</v>
      </c>
      <c r="D73" s="3" t="s">
        <v>255</v>
      </c>
      <c r="E73" s="3" t="n">
        <f aca="false">COUNTIF('NF x Centro de Custo'!$C$5:$C$1270,$C73)</f>
        <v>1</v>
      </c>
      <c r="F73" s="15" t="n">
        <f aca="false">SUMIFS('NF x Centro de Custo'!$F$5:$F$1270,'NF x Centro de Custo'!$C$5:$C$1270,$C73)</f>
        <v>7341.24</v>
      </c>
      <c r="G73" s="15" t="n">
        <f aca="false">SUMIFS('NF x Centro de Custo'!$G$5:$G$1270,'NF x Centro de Custo'!$C$5:$C$1270,$C73)</f>
        <v>2632.96</v>
      </c>
      <c r="H73" s="15" t="n">
        <f aca="false">F73+G73</f>
        <v>9974.2</v>
      </c>
      <c r="I73" s="25" t="n">
        <v>9974.2</v>
      </c>
      <c r="J73" s="15" t="n">
        <f aca="false">ROUND(H73-I73,2)</f>
        <v>0</v>
      </c>
      <c r="K73" s="26" t="str">
        <f aca="false">IF(ABS(J73)&lt;0.05,"OK","Verificar")</f>
        <v>OK</v>
      </c>
    </row>
    <row r="74" customFormat="false" ht="15" hidden="false" customHeight="false" outlineLevel="0" collapsed="false">
      <c r="A74" s="3" t="n">
        <v>1</v>
      </c>
      <c r="B74" s="24" t="n">
        <v>46023</v>
      </c>
      <c r="C74" s="3" t="s">
        <v>299</v>
      </c>
      <c r="D74" s="3" t="s">
        <v>258</v>
      </c>
      <c r="E74" s="3" t="n">
        <f aca="false">COUNTIF('NF x Centro de Custo'!$C$5:$C$1270,$C74)</f>
        <v>1</v>
      </c>
      <c r="F74" s="15" t="n">
        <f aca="false">SUMIFS('NF x Centro de Custo'!$F$5:$F$1270,'NF x Centro de Custo'!$C$5:$C$1270,$C74)</f>
        <v>10711.82</v>
      </c>
      <c r="G74" s="15" t="n">
        <f aca="false">SUMIFS('NF x Centro de Custo'!$G$5:$G$1270,'NF x Centro de Custo'!$C$5:$C$1270,$C74)</f>
        <v>3811.13</v>
      </c>
      <c r="H74" s="15" t="n">
        <f aca="false">F74+G74</f>
        <v>14522.95</v>
      </c>
      <c r="I74" s="25" t="n">
        <v>14522.95</v>
      </c>
      <c r="J74" s="15" t="n">
        <f aca="false">ROUND(H74-I74,2)</f>
        <v>0</v>
      </c>
      <c r="K74" s="26" t="str">
        <f aca="false">IF(ABS(J74)&lt;0.05,"OK","Verificar")</f>
        <v>OK</v>
      </c>
    </row>
    <row r="75" customFormat="false" ht="15" hidden="false" customHeight="false" outlineLevel="0" collapsed="false">
      <c r="A75" s="3" t="n">
        <v>1</v>
      </c>
      <c r="B75" s="24" t="n">
        <v>46023</v>
      </c>
      <c r="C75" s="3" t="s">
        <v>300</v>
      </c>
      <c r="D75" s="3" t="s">
        <v>258</v>
      </c>
      <c r="E75" s="3" t="n">
        <f aca="false">COUNTIF('NF x Centro de Custo'!$C$5:$C$1270,$C75)</f>
        <v>1</v>
      </c>
      <c r="F75" s="15" t="n">
        <f aca="false">SUMIFS('NF x Centro de Custo'!$F$5:$F$1270,'NF x Centro de Custo'!$C$5:$C$1270,$C75)</f>
        <v>8053.6</v>
      </c>
      <c r="G75" s="15" t="n">
        <f aca="false">SUMIFS('NF x Centro de Custo'!$G$5:$G$1270,'NF x Centro de Custo'!$C$5:$C$1270,$C75)</f>
        <v>2878.4</v>
      </c>
      <c r="H75" s="15" t="n">
        <f aca="false">F75+G75</f>
        <v>10932</v>
      </c>
      <c r="I75" s="25" t="n">
        <v>10932</v>
      </c>
      <c r="J75" s="15" t="n">
        <f aca="false">ROUND(H75-I75,2)</f>
        <v>0</v>
      </c>
      <c r="K75" s="26" t="str">
        <f aca="false">IF(ABS(J75)&lt;0.05,"OK","Verificar")</f>
        <v>OK</v>
      </c>
    </row>
    <row r="76" customFormat="false" ht="15" hidden="false" customHeight="false" outlineLevel="0" collapsed="false">
      <c r="A76" s="3" t="n">
        <v>1</v>
      </c>
      <c r="B76" s="24" t="n">
        <v>46023</v>
      </c>
      <c r="C76" s="3" t="s">
        <v>301</v>
      </c>
      <c r="D76" s="3" t="s">
        <v>261</v>
      </c>
      <c r="E76" s="3" t="n">
        <f aca="false">COUNTIF('NF x Centro de Custo'!$C$5:$C$1270,$C76)</f>
        <v>1</v>
      </c>
      <c r="F76" s="15" t="n">
        <f aca="false">SUMIFS('NF x Centro de Custo'!$F$5:$F$1270,'NF x Centro de Custo'!$C$5:$C$1270,$C76)</f>
        <v>2140.73</v>
      </c>
      <c r="G76" s="15" t="n">
        <f aca="false">SUMIFS('NF x Centro de Custo'!$G$5:$G$1270,'NF x Centro de Custo'!$C$5:$C$1270,$C76)</f>
        <v>751.04</v>
      </c>
      <c r="H76" s="15" t="n">
        <f aca="false">F76+G76</f>
        <v>2891.77</v>
      </c>
      <c r="I76" s="25" t="n">
        <v>2891.77</v>
      </c>
      <c r="J76" s="15" t="n">
        <f aca="false">ROUND(H76-I76,2)</f>
        <v>0</v>
      </c>
      <c r="K76" s="26" t="str">
        <f aca="false">IF(ABS(J76)&lt;0.05,"OK","Verificar")</f>
        <v>OK</v>
      </c>
    </row>
    <row r="77" customFormat="false" ht="15" hidden="false" customHeight="false" outlineLevel="0" collapsed="false">
      <c r="A77" s="3" t="n">
        <v>1</v>
      </c>
      <c r="B77" s="24" t="n">
        <v>46023</v>
      </c>
      <c r="C77" s="3" t="s">
        <v>302</v>
      </c>
      <c r="D77" s="3" t="s">
        <v>222</v>
      </c>
      <c r="E77" s="3" t="n">
        <f aca="false">COUNTIF('NF x Centro de Custo'!$C$5:$C$1270,$C77)</f>
        <v>1</v>
      </c>
      <c r="F77" s="15" t="n">
        <f aca="false">SUMIFS('NF x Centro de Custo'!$F$5:$F$1270,'NF x Centro de Custo'!$C$5:$C$1270,$C77)</f>
        <v>32461.5</v>
      </c>
      <c r="G77" s="15" t="n">
        <f aca="false">SUMIFS('NF x Centro de Custo'!$G$5:$G$1270,'NF x Centro de Custo'!$C$5:$C$1270,$C77)</f>
        <v>11433.4</v>
      </c>
      <c r="H77" s="15" t="n">
        <f aca="false">F77+G77</f>
        <v>43894.9</v>
      </c>
      <c r="I77" s="25" t="n">
        <v>43894.9</v>
      </c>
      <c r="J77" s="15" t="n">
        <f aca="false">ROUND(H77-I77,2)</f>
        <v>0</v>
      </c>
      <c r="K77" s="26" t="str">
        <f aca="false">IF(ABS(J77)&lt;0.05,"OK","Verificar")</f>
        <v>OK</v>
      </c>
    </row>
    <row r="78" customFormat="false" ht="15" hidden="false" customHeight="false" outlineLevel="0" collapsed="false">
      <c r="A78" s="3" t="n">
        <v>1</v>
      </c>
      <c r="B78" s="24" t="n">
        <v>46023</v>
      </c>
      <c r="C78" s="3" t="s">
        <v>303</v>
      </c>
      <c r="D78" s="3" t="s">
        <v>222</v>
      </c>
      <c r="E78" s="3" t="n">
        <f aca="false">COUNTIF('NF x Centro de Custo'!$C$5:$C$1270,$C78)</f>
        <v>2</v>
      </c>
      <c r="F78" s="15" t="n">
        <f aca="false">SUMIFS('NF x Centro de Custo'!$F$5:$F$1270,'NF x Centro de Custo'!$C$5:$C$1270,$C78)</f>
        <v>19080.6</v>
      </c>
      <c r="G78" s="15" t="n">
        <f aca="false">SUMIFS('NF x Centro de Custo'!$G$5:$G$1270,'NF x Centro de Custo'!$C$5:$C$1270,$C78)</f>
        <v>6698.41</v>
      </c>
      <c r="H78" s="15" t="n">
        <f aca="false">F78+G78</f>
        <v>25779.01</v>
      </c>
      <c r="I78" s="25" t="n">
        <v>25779.01</v>
      </c>
      <c r="J78" s="15" t="n">
        <f aca="false">ROUND(H78-I78,2)</f>
        <v>0</v>
      </c>
      <c r="K78" s="26" t="str">
        <f aca="false">IF(ABS(J78)&lt;0.05,"OK","Verificar")</f>
        <v>OK</v>
      </c>
    </row>
    <row r="79" customFormat="false" ht="15" hidden="false" customHeight="false" outlineLevel="0" collapsed="false">
      <c r="A79" s="3" t="n">
        <v>1</v>
      </c>
      <c r="B79" s="24" t="n">
        <v>46023</v>
      </c>
      <c r="C79" s="3" t="s">
        <v>304</v>
      </c>
      <c r="D79" s="3" t="s">
        <v>237</v>
      </c>
      <c r="E79" s="3" t="n">
        <f aca="false">COUNTIF('NF x Centro de Custo'!$C$5:$C$1270,$C79)</f>
        <v>1</v>
      </c>
      <c r="F79" s="15" t="n">
        <f aca="false">SUMIFS('NF x Centro de Custo'!$F$5:$F$1270,'NF x Centro de Custo'!$C$5:$C$1270,$C79)</f>
        <v>9781.32</v>
      </c>
      <c r="G79" s="15" t="n">
        <f aca="false">SUMIFS('NF x Centro de Custo'!$G$5:$G$1270,'NF x Centro de Custo'!$C$5:$C$1270,$C79)</f>
        <v>3483.55</v>
      </c>
      <c r="H79" s="15" t="n">
        <f aca="false">F79+G79</f>
        <v>13264.87</v>
      </c>
      <c r="I79" s="25" t="n">
        <v>13264.87</v>
      </c>
      <c r="J79" s="15" t="n">
        <f aca="false">ROUND(H79-I79,2)</f>
        <v>0</v>
      </c>
      <c r="K79" s="26" t="str">
        <f aca="false">IF(ABS(J79)&lt;0.05,"OK","Verificar")</f>
        <v>OK</v>
      </c>
    </row>
    <row r="80" customFormat="false" ht="15" hidden="false" customHeight="false" outlineLevel="0" collapsed="false">
      <c r="A80" s="3" t="n">
        <v>1</v>
      </c>
      <c r="B80" s="24" t="n">
        <v>46023</v>
      </c>
      <c r="C80" s="3" t="s">
        <v>305</v>
      </c>
      <c r="D80" s="3" t="s">
        <v>237</v>
      </c>
      <c r="E80" s="3" t="n">
        <f aca="false">COUNTIF('NF x Centro de Custo'!$C$5:$C$1270,$C80)</f>
        <v>1</v>
      </c>
      <c r="F80" s="15" t="n">
        <f aca="false">SUMIFS('NF x Centro de Custo'!$F$5:$F$1270,'NF x Centro de Custo'!$C$5:$C$1270,$C80)</f>
        <v>37360.61</v>
      </c>
      <c r="G80" s="15" t="n">
        <f aca="false">SUMIFS('NF x Centro de Custo'!$G$5:$G$1270,'NF x Centro de Custo'!$C$5:$C$1270,$C80)</f>
        <v>13339.47</v>
      </c>
      <c r="H80" s="15" t="n">
        <f aca="false">F80+G80</f>
        <v>50700.08</v>
      </c>
      <c r="I80" s="25" t="n">
        <v>50700.08</v>
      </c>
      <c r="J80" s="15" t="n">
        <f aca="false">ROUND(H80-I80,2)</f>
        <v>0</v>
      </c>
      <c r="K80" s="26" t="str">
        <f aca="false">IF(ABS(J80)&lt;0.05,"OK","Verificar")</f>
        <v>OK</v>
      </c>
    </row>
    <row r="81" customFormat="false" ht="15" hidden="false" customHeight="false" outlineLevel="0" collapsed="false">
      <c r="A81" s="3" t="n">
        <v>1</v>
      </c>
      <c r="B81" s="24" t="n">
        <v>46023</v>
      </c>
      <c r="C81" s="3" t="s">
        <v>306</v>
      </c>
      <c r="D81" s="3" t="s">
        <v>237</v>
      </c>
      <c r="E81" s="3" t="n">
        <f aca="false">COUNTIF('NF x Centro de Custo'!$C$5:$C$1270,$C81)</f>
        <v>2</v>
      </c>
      <c r="F81" s="15" t="n">
        <f aca="false">SUMIFS('NF x Centro de Custo'!$F$5:$F$1270,'NF x Centro de Custo'!$C$5:$C$1270,$C81)</f>
        <v>23807.52</v>
      </c>
      <c r="G81" s="15" t="n">
        <f aca="false">SUMIFS('NF x Centro de Custo'!$G$5:$G$1270,'NF x Centro de Custo'!$C$5:$C$1270,$C81)</f>
        <v>8292.17</v>
      </c>
      <c r="H81" s="15" t="n">
        <f aca="false">F81+G81</f>
        <v>32099.69</v>
      </c>
      <c r="I81" s="25" t="n">
        <v>32099.69</v>
      </c>
      <c r="J81" s="15" t="n">
        <f aca="false">ROUND(H81-I81,2)</f>
        <v>0</v>
      </c>
      <c r="K81" s="26" t="str">
        <f aca="false">IF(ABS(J81)&lt;0.05,"OK","Verificar")</f>
        <v>OK</v>
      </c>
    </row>
    <row r="82" customFormat="false" ht="15" hidden="false" customHeight="false" outlineLevel="0" collapsed="false">
      <c r="A82" s="3" t="n">
        <v>1</v>
      </c>
      <c r="B82" s="24" t="n">
        <v>46023</v>
      </c>
      <c r="C82" s="3" t="s">
        <v>307</v>
      </c>
      <c r="D82" s="3" t="s">
        <v>269</v>
      </c>
      <c r="E82" s="3" t="n">
        <f aca="false">COUNTIF('NF x Centro de Custo'!$C$5:$C$1270,$C82)</f>
        <v>5</v>
      </c>
      <c r="F82" s="15" t="n">
        <f aca="false">SUMIFS('NF x Centro de Custo'!$F$5:$F$1270,'NF x Centro de Custo'!$C$5:$C$1270,$C82)</f>
        <v>28891.6</v>
      </c>
      <c r="G82" s="15" t="n">
        <f aca="false">SUMIFS('NF x Centro de Custo'!$G$5:$G$1270,'NF x Centro de Custo'!$C$5:$C$1270,$C82)</f>
        <v>10170.6</v>
      </c>
      <c r="H82" s="15" t="n">
        <f aca="false">F82+G82</f>
        <v>39062.2</v>
      </c>
      <c r="I82" s="25" t="n">
        <v>39062.2</v>
      </c>
      <c r="J82" s="15" t="n">
        <f aca="false">ROUND(H82-I82,2)</f>
        <v>0</v>
      </c>
      <c r="K82" s="26" t="str">
        <f aca="false">IF(ABS(J82)&lt;0.05,"OK","Verificar")</f>
        <v>OK</v>
      </c>
    </row>
    <row r="83" customFormat="false" ht="15" hidden="false" customHeight="false" outlineLevel="0" collapsed="false">
      <c r="A83" s="3" t="n">
        <v>1</v>
      </c>
      <c r="B83" s="24" t="n">
        <v>46023</v>
      </c>
      <c r="C83" s="3" t="s">
        <v>308</v>
      </c>
      <c r="D83" s="3" t="s">
        <v>269</v>
      </c>
      <c r="E83" s="3" t="n">
        <f aca="false">COUNTIF('NF x Centro de Custo'!$C$5:$C$1270,$C83)</f>
        <v>5</v>
      </c>
      <c r="F83" s="15" t="n">
        <f aca="false">SUMIFS('NF x Centro de Custo'!$F$5:$F$1270,'NF x Centro de Custo'!$C$5:$C$1270,$C83)</f>
        <v>35758.85</v>
      </c>
      <c r="G83" s="15" t="n">
        <f aca="false">SUMIFS('NF x Centro de Custo'!$G$5:$G$1270,'NF x Centro de Custo'!$C$5:$C$1270,$C83)</f>
        <v>12699.79</v>
      </c>
      <c r="H83" s="15" t="n">
        <f aca="false">F83+G83</f>
        <v>48458.64</v>
      </c>
      <c r="I83" s="25" t="n">
        <v>48458.64</v>
      </c>
      <c r="J83" s="15" t="n">
        <f aca="false">ROUND(H83-I83,2)</f>
        <v>0</v>
      </c>
      <c r="K83" s="26" t="str">
        <f aca="false">IF(ABS(J83)&lt;0.05,"OK","Verificar")</f>
        <v>OK</v>
      </c>
    </row>
    <row r="84" customFormat="false" ht="15" hidden="false" customHeight="false" outlineLevel="0" collapsed="false">
      <c r="A84" s="3" t="n">
        <v>1</v>
      </c>
      <c r="B84" s="24" t="n">
        <v>46023</v>
      </c>
      <c r="C84" s="3" t="s">
        <v>309</v>
      </c>
      <c r="D84" s="3" t="s">
        <v>224</v>
      </c>
      <c r="E84" s="3" t="n">
        <f aca="false">COUNTIF('NF x Centro de Custo'!$C$5:$C$1270,$C84)</f>
        <v>1</v>
      </c>
      <c r="F84" s="15" t="n">
        <f aca="false">SUMIFS('NF x Centro de Custo'!$F$5:$F$1270,'NF x Centro de Custo'!$C$5:$C$1270,$C84)</f>
        <v>7771.3</v>
      </c>
      <c r="G84" s="15" t="n">
        <f aca="false">SUMIFS('NF x Centro de Custo'!$G$5:$G$1270,'NF x Centro de Custo'!$C$5:$C$1270,$C84)</f>
        <v>2769.87</v>
      </c>
      <c r="H84" s="15" t="n">
        <f aca="false">F84+G84</f>
        <v>10541.17</v>
      </c>
      <c r="I84" s="25" t="n">
        <v>10541.17</v>
      </c>
      <c r="J84" s="15" t="n">
        <f aca="false">ROUND(H84-I84,2)</f>
        <v>0</v>
      </c>
      <c r="K84" s="26" t="str">
        <f aca="false">IF(ABS(J84)&lt;0.05,"OK","Verificar")</f>
        <v>OK</v>
      </c>
    </row>
    <row r="85" customFormat="false" ht="15" hidden="false" customHeight="false" outlineLevel="0" collapsed="false">
      <c r="A85" s="3" t="n">
        <v>1</v>
      </c>
      <c r="B85" s="24" t="n">
        <v>46023</v>
      </c>
      <c r="C85" s="3" t="s">
        <v>310</v>
      </c>
      <c r="D85" s="3" t="s">
        <v>224</v>
      </c>
      <c r="E85" s="3" t="n">
        <f aca="false">COUNTIF('NF x Centro de Custo'!$C$5:$C$1270,$C85)</f>
        <v>1</v>
      </c>
      <c r="F85" s="15" t="n">
        <f aca="false">SUMIFS('NF x Centro de Custo'!$F$5:$F$1270,'NF x Centro de Custo'!$C$5:$C$1270,$C85)</f>
        <v>11662.76</v>
      </c>
      <c r="G85" s="15" t="n">
        <f aca="false">SUMIFS('NF x Centro de Custo'!$G$5:$G$1270,'NF x Centro de Custo'!$C$5:$C$1270,$C85)</f>
        <v>4052.35</v>
      </c>
      <c r="H85" s="15" t="n">
        <f aca="false">F85+G85</f>
        <v>15715.11</v>
      </c>
      <c r="I85" s="25" t="n">
        <v>15715.11</v>
      </c>
      <c r="J85" s="15" t="n">
        <f aca="false">ROUND(H85-I85,2)</f>
        <v>0</v>
      </c>
      <c r="K85" s="26" t="str">
        <f aca="false">IF(ABS(J85)&lt;0.05,"OK","Verificar")</f>
        <v>OK</v>
      </c>
    </row>
    <row r="86" customFormat="false" ht="15" hidden="false" customHeight="false" outlineLevel="0" collapsed="false">
      <c r="A86" s="3" t="n">
        <v>1</v>
      </c>
      <c r="B86" s="24" t="n">
        <v>46023</v>
      </c>
      <c r="C86" s="3" t="s">
        <v>311</v>
      </c>
      <c r="D86" s="3" t="s">
        <v>224</v>
      </c>
      <c r="E86" s="3" t="n">
        <f aca="false">COUNTIF('NF x Centro de Custo'!$C$5:$C$1270,$C86)</f>
        <v>1</v>
      </c>
      <c r="F86" s="15" t="n">
        <f aca="false">SUMIFS('NF x Centro de Custo'!$F$5:$F$1270,'NF x Centro de Custo'!$C$5:$C$1270,$C86)</f>
        <v>8603.91</v>
      </c>
      <c r="G86" s="15" t="n">
        <f aca="false">SUMIFS('NF x Centro de Custo'!$G$5:$G$1270,'NF x Centro de Custo'!$C$5:$C$1270,$C86)</f>
        <v>2999.49</v>
      </c>
      <c r="H86" s="15" t="n">
        <f aca="false">F86+G86</f>
        <v>11603.4</v>
      </c>
      <c r="I86" s="25" t="n">
        <v>11603.4</v>
      </c>
      <c r="J86" s="15" t="n">
        <f aca="false">ROUND(H86-I86,2)</f>
        <v>0</v>
      </c>
      <c r="K86" s="26" t="str">
        <f aca="false">IF(ABS(J86)&lt;0.05,"OK","Verificar")</f>
        <v>OK</v>
      </c>
    </row>
    <row r="87" customFormat="false" ht="15" hidden="false" customHeight="false" outlineLevel="0" collapsed="false">
      <c r="A87" s="3" t="n">
        <v>2</v>
      </c>
      <c r="B87" s="24" t="n">
        <v>46054</v>
      </c>
      <c r="C87" s="3" t="s">
        <v>312</v>
      </c>
      <c r="D87" s="3" t="s">
        <v>255</v>
      </c>
      <c r="E87" s="3" t="n">
        <f aca="false">COUNTIF('NF x Centro de Custo'!$C$5:$C$1270,$C87)</f>
        <v>1</v>
      </c>
      <c r="F87" s="15" t="n">
        <f aca="false">SUMIFS('NF x Centro de Custo'!$F$5:$F$1270,'NF x Centro de Custo'!$C$5:$C$1270,$C87)</f>
        <v>4951.73</v>
      </c>
      <c r="G87" s="15" t="n">
        <f aca="false">SUMIFS('NF x Centro de Custo'!$G$5:$G$1270,'NF x Centro de Custo'!$C$5:$C$1270,$C87)</f>
        <v>0</v>
      </c>
      <c r="H87" s="15" t="n">
        <f aca="false">F87+G87</f>
        <v>4951.73</v>
      </c>
      <c r="I87" s="25" t="n">
        <v>4951.73</v>
      </c>
      <c r="J87" s="15" t="n">
        <f aca="false">ROUND(H87-I87,2)</f>
        <v>0</v>
      </c>
      <c r="K87" s="26" t="str">
        <f aca="false">IF(ABS(J87)&lt;0.05,"OK","Verificar")</f>
        <v>OK</v>
      </c>
    </row>
    <row r="88" customFormat="false" ht="15" hidden="false" customHeight="false" outlineLevel="0" collapsed="false">
      <c r="A88" s="3" t="n">
        <v>2</v>
      </c>
      <c r="B88" s="24" t="n">
        <v>46054</v>
      </c>
      <c r="C88" s="3" t="s">
        <v>313</v>
      </c>
      <c r="D88" s="3" t="s">
        <v>222</v>
      </c>
      <c r="E88" s="3" t="n">
        <f aca="false">COUNTIF('NF x Centro de Custo'!$C$5:$C$1270,$C88)</f>
        <v>4</v>
      </c>
      <c r="F88" s="15" t="n">
        <f aca="false">SUMIFS('NF x Centro de Custo'!$F$5:$F$1270,'NF x Centro de Custo'!$C$5:$C$1270,$C88)</f>
        <v>1050862.03</v>
      </c>
      <c r="G88" s="15" t="n">
        <f aca="false">SUMIFS('NF x Centro de Custo'!$G$5:$G$1270,'NF x Centro de Custo'!$C$5:$C$1270,$C88)</f>
        <v>370727</v>
      </c>
      <c r="H88" s="15" t="n">
        <f aca="false">F88+G88</f>
        <v>1421589.03</v>
      </c>
      <c r="I88" s="25" t="n">
        <v>1421589.03</v>
      </c>
      <c r="J88" s="15" t="n">
        <f aca="false">ROUND(H88-I88,2)</f>
        <v>0</v>
      </c>
      <c r="K88" s="26" t="str">
        <f aca="false">IF(ABS(J88)&lt;0.05,"OK","Verificar")</f>
        <v>OK</v>
      </c>
    </row>
    <row r="89" customFormat="false" ht="15" hidden="false" customHeight="false" outlineLevel="0" collapsed="false">
      <c r="A89" s="3" t="n">
        <v>2</v>
      </c>
      <c r="B89" s="24" t="n">
        <v>46054</v>
      </c>
      <c r="C89" s="3" t="s">
        <v>314</v>
      </c>
      <c r="D89" s="3" t="s">
        <v>222</v>
      </c>
      <c r="E89" s="3" t="n">
        <f aca="false">COUNTIF('NF x Centro de Custo'!$C$5:$C$1270,$C89)</f>
        <v>14</v>
      </c>
      <c r="F89" s="15" t="n">
        <f aca="false">SUMIFS('NF x Centro de Custo'!$F$5:$F$1270,'NF x Centro de Custo'!$C$5:$C$1270,$C89)</f>
        <v>1582611.37</v>
      </c>
      <c r="G89" s="15" t="n">
        <f aca="false">SUMIFS('NF x Centro de Custo'!$G$5:$G$1270,'NF x Centro de Custo'!$C$5:$C$1270,$C89)</f>
        <v>558989.27</v>
      </c>
      <c r="H89" s="15" t="n">
        <f aca="false">F89+G89</f>
        <v>2141600.64</v>
      </c>
      <c r="I89" s="25" t="n">
        <v>2141600.64</v>
      </c>
      <c r="J89" s="15" t="n">
        <f aca="false">ROUND(H89-I89,2)</f>
        <v>0</v>
      </c>
      <c r="K89" s="26" t="str">
        <f aca="false">IF(ABS(J89)&lt;0.05,"OK","Verificar")</f>
        <v>OK</v>
      </c>
    </row>
    <row r="90" customFormat="false" ht="15" hidden="false" customHeight="false" outlineLevel="0" collapsed="false">
      <c r="A90" s="3" t="n">
        <v>2</v>
      </c>
      <c r="B90" s="24" t="n">
        <v>46054</v>
      </c>
      <c r="C90" s="3" t="s">
        <v>315</v>
      </c>
      <c r="D90" s="3" t="s">
        <v>222</v>
      </c>
      <c r="E90" s="3" t="n">
        <f aca="false">COUNTIF('NF x Centro de Custo'!$C$5:$C$1270,$C90)</f>
        <v>2</v>
      </c>
      <c r="F90" s="15" t="n">
        <f aca="false">SUMIFS('NF x Centro de Custo'!$F$5:$F$1270,'NF x Centro de Custo'!$C$5:$C$1270,$C90)</f>
        <v>19190.63</v>
      </c>
      <c r="G90" s="15" t="n">
        <f aca="false">SUMIFS('NF x Centro de Custo'!$G$5:$G$1270,'NF x Centro de Custo'!$C$5:$C$1270,$C90)</f>
        <v>6734.99</v>
      </c>
      <c r="H90" s="15" t="n">
        <f aca="false">F90+G90</f>
        <v>25925.62</v>
      </c>
      <c r="I90" s="25" t="n">
        <v>25925.62</v>
      </c>
      <c r="J90" s="15" t="n">
        <f aca="false">ROUND(H90-I90,2)</f>
        <v>0</v>
      </c>
      <c r="K90" s="26" t="str">
        <f aca="false">IF(ABS(J90)&lt;0.05,"OK","Verificar")</f>
        <v>OK</v>
      </c>
    </row>
    <row r="91" customFormat="false" ht="15" hidden="false" customHeight="false" outlineLevel="0" collapsed="false">
      <c r="A91" s="3" t="n">
        <v>2</v>
      </c>
      <c r="B91" s="24" t="n">
        <v>46054</v>
      </c>
      <c r="C91" s="3" t="s">
        <v>316</v>
      </c>
      <c r="D91" s="3" t="s">
        <v>212</v>
      </c>
      <c r="E91" s="3" t="n">
        <f aca="false">COUNTIF('NF x Centro de Custo'!$C$5:$C$1270,$C91)</f>
        <v>8</v>
      </c>
      <c r="F91" s="15" t="n">
        <f aca="false">SUMIFS('NF x Centro de Custo'!$F$5:$F$1270,'NF x Centro de Custo'!$C$5:$C$1270,$C91)</f>
        <v>196880.91</v>
      </c>
      <c r="G91" s="15" t="n">
        <f aca="false">SUMIFS('NF x Centro de Custo'!$G$5:$G$1270,'NF x Centro de Custo'!$C$5:$C$1270,$C91)</f>
        <v>60212.44</v>
      </c>
      <c r="H91" s="15" t="n">
        <f aca="false">F91+G91</f>
        <v>257093.35</v>
      </c>
      <c r="I91" s="25" t="n">
        <v>257093.35</v>
      </c>
      <c r="J91" s="15" t="n">
        <f aca="false">ROUND(H91-I91,2)</f>
        <v>0</v>
      </c>
      <c r="K91" s="26" t="str">
        <f aca="false">IF(ABS(J91)&lt;0.05,"OK","Verificar")</f>
        <v>OK</v>
      </c>
    </row>
    <row r="92" customFormat="false" ht="15" hidden="false" customHeight="false" outlineLevel="0" collapsed="false">
      <c r="A92" s="3" t="n">
        <v>2</v>
      </c>
      <c r="B92" s="24" t="n">
        <v>46054</v>
      </c>
      <c r="C92" s="3" t="s">
        <v>317</v>
      </c>
      <c r="D92" s="3" t="s">
        <v>222</v>
      </c>
      <c r="E92" s="3" t="n">
        <f aca="false">COUNTIF('NF x Centro de Custo'!$C$5:$C$1270,$C92)</f>
        <v>4</v>
      </c>
      <c r="F92" s="15" t="n">
        <f aca="false">SUMIFS('NF x Centro de Custo'!$F$5:$F$1270,'NF x Centro de Custo'!$C$5:$C$1270,$C92)</f>
        <v>83512.93</v>
      </c>
      <c r="G92" s="15" t="n">
        <f aca="false">SUMIFS('NF x Centro de Custo'!$G$5:$G$1270,'NF x Centro de Custo'!$C$5:$C$1270,$C92)</f>
        <v>29368.9</v>
      </c>
      <c r="H92" s="15" t="n">
        <f aca="false">F92+G92</f>
        <v>112881.83</v>
      </c>
      <c r="I92" s="25" t="n">
        <v>112881.83</v>
      </c>
      <c r="J92" s="15" t="n">
        <f aca="false">ROUND(H92-I92,2)</f>
        <v>0</v>
      </c>
      <c r="K92" s="26" t="str">
        <f aca="false">IF(ABS(J92)&lt;0.05,"OK","Verificar")</f>
        <v>OK</v>
      </c>
    </row>
    <row r="93" customFormat="false" ht="15" hidden="false" customHeight="false" outlineLevel="0" collapsed="false">
      <c r="A93" s="3" t="n">
        <v>2</v>
      </c>
      <c r="B93" s="24" t="n">
        <v>46054</v>
      </c>
      <c r="C93" s="3" t="s">
        <v>318</v>
      </c>
      <c r="D93" s="3" t="s">
        <v>214</v>
      </c>
      <c r="E93" s="3" t="n">
        <f aca="false">COUNTIF('NF x Centro de Custo'!$C$5:$C$1270,$C93)</f>
        <v>1</v>
      </c>
      <c r="F93" s="15" t="n">
        <f aca="false">SUMIFS('NF x Centro de Custo'!$F$5:$F$1270,'NF x Centro de Custo'!$C$5:$C$1270,$C93)</f>
        <v>2320.91</v>
      </c>
      <c r="G93" s="15" t="n">
        <f aca="false">SUMIFS('NF x Centro de Custo'!$G$5:$G$1270,'NF x Centro de Custo'!$C$5:$C$1270,$C93)</f>
        <v>828.8</v>
      </c>
      <c r="H93" s="15" t="n">
        <f aca="false">F93+G93</f>
        <v>3149.71</v>
      </c>
      <c r="I93" s="25" t="n">
        <v>3149.71</v>
      </c>
      <c r="J93" s="15" t="n">
        <f aca="false">ROUND(H93-I93,2)</f>
        <v>0</v>
      </c>
      <c r="K93" s="26" t="str">
        <f aca="false">IF(ABS(J93)&lt;0.05,"OK","Verificar")</f>
        <v>OK</v>
      </c>
    </row>
    <row r="94" customFormat="false" ht="15" hidden="false" customHeight="false" outlineLevel="0" collapsed="false">
      <c r="A94" s="3" t="n">
        <v>2</v>
      </c>
      <c r="B94" s="24" t="n">
        <v>46054</v>
      </c>
      <c r="C94" s="3" t="s">
        <v>319</v>
      </c>
      <c r="D94" s="3" t="s">
        <v>214</v>
      </c>
      <c r="E94" s="3" t="n">
        <f aca="false">COUNTIF('NF x Centro de Custo'!$C$5:$C$1270,$C94)</f>
        <v>1</v>
      </c>
      <c r="F94" s="15" t="n">
        <f aca="false">SUMIFS('NF x Centro de Custo'!$F$5:$F$1270,'NF x Centro de Custo'!$C$5:$C$1270,$C94)</f>
        <v>5827.44</v>
      </c>
      <c r="G94" s="15" t="n">
        <f aca="false">SUMIFS('NF x Centro de Custo'!$G$5:$G$1270,'NF x Centro de Custo'!$C$5:$C$1270,$C94)</f>
        <v>2056.07</v>
      </c>
      <c r="H94" s="15" t="n">
        <f aca="false">F94+G94</f>
        <v>7883.51</v>
      </c>
      <c r="I94" s="25" t="n">
        <v>7883.51</v>
      </c>
      <c r="J94" s="15" t="n">
        <f aca="false">ROUND(H94-I94,2)</f>
        <v>0</v>
      </c>
      <c r="K94" s="26" t="str">
        <f aca="false">IF(ABS(J94)&lt;0.05,"OK","Verificar")</f>
        <v>OK</v>
      </c>
    </row>
    <row r="95" customFormat="false" ht="15" hidden="false" customHeight="false" outlineLevel="0" collapsed="false">
      <c r="A95" s="3" t="n">
        <v>2</v>
      </c>
      <c r="B95" s="24" t="n">
        <v>46054</v>
      </c>
      <c r="C95" s="3" t="s">
        <v>320</v>
      </c>
      <c r="D95" s="3" t="s">
        <v>321</v>
      </c>
      <c r="E95" s="3" t="n">
        <f aca="false">COUNTIF('NF x Centro de Custo'!$C$5:$C$1270,$C95)</f>
        <v>3</v>
      </c>
      <c r="F95" s="15" t="n">
        <f aca="false">SUMIFS('NF x Centro de Custo'!$F$5:$F$1270,'NF x Centro de Custo'!$C$5:$C$1270,$C95)</f>
        <v>34336.16</v>
      </c>
      <c r="G95" s="15" t="n">
        <f aca="false">SUMIFS('NF x Centro de Custo'!$G$5:$G$1270,'NF x Centro de Custo'!$C$5:$C$1270,$C95)</f>
        <v>11454.21</v>
      </c>
      <c r="H95" s="15" t="n">
        <f aca="false">F95+G95</f>
        <v>45790.37</v>
      </c>
      <c r="I95" s="25" t="n">
        <v>45790.37</v>
      </c>
      <c r="J95" s="15" t="n">
        <f aca="false">ROUND(H95-I95,2)</f>
        <v>0</v>
      </c>
      <c r="K95" s="26" t="str">
        <f aca="false">IF(ABS(J95)&lt;0.05,"OK","Verificar")</f>
        <v>OK</v>
      </c>
    </row>
    <row r="96" customFormat="false" ht="15" hidden="false" customHeight="false" outlineLevel="0" collapsed="false">
      <c r="A96" s="3" t="n">
        <v>2</v>
      </c>
      <c r="B96" s="24" t="n">
        <v>46054</v>
      </c>
      <c r="C96" s="3" t="s">
        <v>322</v>
      </c>
      <c r="D96" s="3" t="s">
        <v>231</v>
      </c>
      <c r="E96" s="3" t="n">
        <f aca="false">COUNTIF('NF x Centro de Custo'!$C$5:$C$1270,$C96)</f>
        <v>1</v>
      </c>
      <c r="F96" s="15" t="n">
        <f aca="false">SUMIFS('NF x Centro de Custo'!$F$5:$F$1270,'NF x Centro de Custo'!$C$5:$C$1270,$C96)</f>
        <v>17993.89</v>
      </c>
      <c r="G96" s="15" t="n">
        <f aca="false">SUMIFS('NF x Centro de Custo'!$G$5:$G$1270,'NF x Centro de Custo'!$C$5:$C$1270,$C96)</f>
        <v>6412.59</v>
      </c>
      <c r="H96" s="15" t="n">
        <f aca="false">F96+G96</f>
        <v>24406.48</v>
      </c>
      <c r="I96" s="25" t="n">
        <v>24406.48</v>
      </c>
      <c r="J96" s="15" t="n">
        <f aca="false">ROUND(H96-I96,2)</f>
        <v>0</v>
      </c>
      <c r="K96" s="26" t="str">
        <f aca="false">IF(ABS(J96)&lt;0.05,"OK","Verificar")</f>
        <v>OK</v>
      </c>
    </row>
    <row r="97" customFormat="false" ht="15" hidden="false" customHeight="false" outlineLevel="0" collapsed="false">
      <c r="A97" s="3" t="n">
        <v>2</v>
      </c>
      <c r="B97" s="24" t="n">
        <v>46054</v>
      </c>
      <c r="C97" s="3" t="s">
        <v>323</v>
      </c>
      <c r="D97" s="3" t="s">
        <v>231</v>
      </c>
      <c r="E97" s="3" t="n">
        <f aca="false">COUNTIF('NF x Centro de Custo'!$C$5:$C$1270,$C97)</f>
        <v>1</v>
      </c>
      <c r="F97" s="15" t="n">
        <f aca="false">SUMIFS('NF x Centro de Custo'!$F$5:$F$1270,'NF x Centro de Custo'!$C$5:$C$1270,$C97)</f>
        <v>56947.54</v>
      </c>
      <c r="G97" s="15" t="n">
        <f aca="false">SUMIFS('NF x Centro de Custo'!$G$5:$G$1270,'NF x Centro de Custo'!$C$5:$C$1270,$C97)</f>
        <v>20231.21</v>
      </c>
      <c r="H97" s="15" t="n">
        <f aca="false">F97+G97</f>
        <v>77178.75</v>
      </c>
      <c r="I97" s="25" t="n">
        <v>77178.75</v>
      </c>
      <c r="J97" s="15" t="n">
        <f aca="false">ROUND(H97-I97,2)</f>
        <v>0</v>
      </c>
      <c r="K97" s="26" t="str">
        <f aca="false">IF(ABS(J97)&lt;0.05,"OK","Verificar")</f>
        <v>OK</v>
      </c>
    </row>
    <row r="98" customFormat="false" ht="15" hidden="false" customHeight="false" outlineLevel="0" collapsed="false">
      <c r="A98" s="3" t="n">
        <v>2</v>
      </c>
      <c r="B98" s="24" t="n">
        <v>46054</v>
      </c>
      <c r="C98" s="3" t="s">
        <v>324</v>
      </c>
      <c r="D98" s="3" t="s">
        <v>234</v>
      </c>
      <c r="E98" s="3" t="n">
        <f aca="false">COUNTIF('NF x Centro de Custo'!$C$5:$C$1270,$C98)</f>
        <v>1</v>
      </c>
      <c r="F98" s="15" t="n">
        <f aca="false">SUMIFS('NF x Centro de Custo'!$F$5:$F$1270,'NF x Centro de Custo'!$C$5:$C$1270,$C98)</f>
        <v>17190.37</v>
      </c>
      <c r="G98" s="15" t="n">
        <f aca="false">SUMIFS('NF x Centro de Custo'!$G$5:$G$1270,'NF x Centro de Custo'!$C$5:$C$1270,$C98)</f>
        <v>6108.94</v>
      </c>
      <c r="H98" s="15" t="n">
        <f aca="false">F98+G98</f>
        <v>23299.31</v>
      </c>
      <c r="I98" s="25" t="n">
        <v>23299.31</v>
      </c>
      <c r="J98" s="15" t="n">
        <f aca="false">ROUND(H98-I98,2)</f>
        <v>0</v>
      </c>
      <c r="K98" s="26" t="str">
        <f aca="false">IF(ABS(J98)&lt;0.05,"OK","Verificar")</f>
        <v>OK</v>
      </c>
    </row>
    <row r="99" customFormat="false" ht="15" hidden="false" customHeight="false" outlineLevel="0" collapsed="false">
      <c r="A99" s="3" t="n">
        <v>2</v>
      </c>
      <c r="B99" s="24" t="n">
        <v>46054</v>
      </c>
      <c r="C99" s="3" t="s">
        <v>325</v>
      </c>
      <c r="D99" s="3" t="s">
        <v>234</v>
      </c>
      <c r="E99" s="3" t="n">
        <f aca="false">COUNTIF('NF x Centro de Custo'!$C$5:$C$1270,$C99)</f>
        <v>1</v>
      </c>
      <c r="F99" s="15" t="n">
        <f aca="false">SUMIFS('NF x Centro de Custo'!$F$5:$F$1270,'NF x Centro de Custo'!$C$5:$C$1270,$C99)</f>
        <v>42979.49</v>
      </c>
      <c r="G99" s="15" t="n">
        <f aca="false">SUMIFS('NF x Centro de Custo'!$G$5:$G$1270,'NF x Centro de Custo'!$C$5:$C$1270,$C99)</f>
        <v>15252.14</v>
      </c>
      <c r="H99" s="15" t="n">
        <f aca="false">F99+G99</f>
        <v>58231.63</v>
      </c>
      <c r="I99" s="25" t="n">
        <v>58231.63</v>
      </c>
      <c r="J99" s="15" t="n">
        <f aca="false">ROUND(H99-I99,2)</f>
        <v>0</v>
      </c>
      <c r="K99" s="26" t="str">
        <f aca="false">IF(ABS(J99)&lt;0.05,"OK","Verificar")</f>
        <v>OK</v>
      </c>
    </row>
    <row r="100" customFormat="false" ht="15" hidden="false" customHeight="false" outlineLevel="0" collapsed="false">
      <c r="A100" s="3" t="n">
        <v>2</v>
      </c>
      <c r="B100" s="24" t="n">
        <v>46054</v>
      </c>
      <c r="C100" s="3" t="s">
        <v>326</v>
      </c>
      <c r="D100" s="3" t="s">
        <v>237</v>
      </c>
      <c r="E100" s="3" t="n">
        <f aca="false">COUNTIF('NF x Centro de Custo'!$C$5:$C$1270,$C100)</f>
        <v>1</v>
      </c>
      <c r="F100" s="15" t="n">
        <f aca="false">SUMIFS('NF x Centro de Custo'!$F$5:$F$1270,'NF x Centro de Custo'!$C$5:$C$1270,$C100)</f>
        <v>11523.12</v>
      </c>
      <c r="G100" s="15" t="n">
        <f aca="false">SUMIFS('NF x Centro de Custo'!$G$5:$G$1270,'NF x Centro de Custo'!$C$5:$C$1270,$C100)</f>
        <v>4094.44</v>
      </c>
      <c r="H100" s="15" t="n">
        <f aca="false">F100+G100</f>
        <v>15617.56</v>
      </c>
      <c r="I100" s="25" t="n">
        <v>15617.56</v>
      </c>
      <c r="J100" s="15" t="n">
        <f aca="false">ROUND(H100-I100,2)</f>
        <v>0</v>
      </c>
      <c r="K100" s="26" t="str">
        <f aca="false">IF(ABS(J100)&lt;0.05,"OK","Verificar")</f>
        <v>OK</v>
      </c>
    </row>
    <row r="101" customFormat="false" ht="15" hidden="false" customHeight="false" outlineLevel="0" collapsed="false">
      <c r="A101" s="3" t="n">
        <v>2</v>
      </c>
      <c r="B101" s="24" t="n">
        <v>46054</v>
      </c>
      <c r="C101" s="3" t="s">
        <v>327</v>
      </c>
      <c r="D101" s="3" t="s">
        <v>237</v>
      </c>
      <c r="E101" s="3" t="n">
        <f aca="false">COUNTIF('NF x Centro de Custo'!$C$5:$C$1270,$C101)</f>
        <v>1</v>
      </c>
      <c r="F101" s="15" t="n">
        <f aca="false">SUMIFS('NF x Centro de Custo'!$F$5:$F$1270,'NF x Centro de Custo'!$C$5:$C$1270,$C101)</f>
        <v>51146.78</v>
      </c>
      <c r="G101" s="15" t="n">
        <f aca="false">SUMIFS('NF x Centro de Custo'!$G$5:$G$1270,'NF x Centro de Custo'!$C$5:$C$1270,$C101)</f>
        <v>18194.15</v>
      </c>
      <c r="H101" s="15" t="n">
        <f aca="false">F101+G101</f>
        <v>69340.93</v>
      </c>
      <c r="I101" s="25" t="n">
        <v>69340.93</v>
      </c>
      <c r="J101" s="15" t="n">
        <f aca="false">ROUND(H101-I101,2)</f>
        <v>0</v>
      </c>
      <c r="K101" s="26" t="str">
        <f aca="false">IF(ABS(J101)&lt;0.05,"OK","Verificar")</f>
        <v>OK</v>
      </c>
    </row>
    <row r="102" customFormat="false" ht="15" hidden="false" customHeight="false" outlineLevel="0" collapsed="false">
      <c r="A102" s="3" t="n">
        <v>2</v>
      </c>
      <c r="B102" s="24" t="n">
        <v>46054</v>
      </c>
      <c r="C102" s="3" t="s">
        <v>328</v>
      </c>
      <c r="D102" s="3" t="s">
        <v>237</v>
      </c>
      <c r="E102" s="3" t="n">
        <f aca="false">COUNTIF('NF x Centro de Custo'!$C$5:$C$1270,$C102)</f>
        <v>3</v>
      </c>
      <c r="F102" s="15" t="n">
        <f aca="false">SUMIFS('NF x Centro de Custo'!$F$5:$F$1270,'NF x Centro de Custo'!$C$5:$C$1270,$C102)</f>
        <v>97961.94</v>
      </c>
      <c r="G102" s="15" t="n">
        <f aca="false">SUMIFS('NF x Centro de Custo'!$G$5:$G$1270,'NF x Centro de Custo'!$C$5:$C$1270,$C102)</f>
        <v>34109.32</v>
      </c>
      <c r="H102" s="15" t="n">
        <f aca="false">F102+G102</f>
        <v>132071.26</v>
      </c>
      <c r="I102" s="25" t="n">
        <v>132071.26</v>
      </c>
      <c r="J102" s="15" t="n">
        <f aca="false">ROUND(H102-I102,2)</f>
        <v>0</v>
      </c>
      <c r="K102" s="26" t="str">
        <f aca="false">IF(ABS(J102)&lt;0.05,"OK","Verificar")</f>
        <v>OK</v>
      </c>
    </row>
    <row r="103" customFormat="false" ht="15" hidden="false" customHeight="false" outlineLevel="0" collapsed="false">
      <c r="A103" s="3" t="n">
        <v>2</v>
      </c>
      <c r="B103" s="24" t="n">
        <v>46054</v>
      </c>
      <c r="C103" s="3" t="s">
        <v>329</v>
      </c>
      <c r="D103" s="3" t="s">
        <v>226</v>
      </c>
      <c r="E103" s="3" t="n">
        <f aca="false">COUNTIF('NF x Centro de Custo'!$C$5:$C$1270,$C103)</f>
        <v>5</v>
      </c>
      <c r="F103" s="15" t="n">
        <f aca="false">SUMIFS('NF x Centro de Custo'!$F$5:$F$1270,'NF x Centro de Custo'!$C$5:$C$1270,$C103)</f>
        <v>144848.72</v>
      </c>
      <c r="G103" s="15" t="n">
        <f aca="false">SUMIFS('NF x Centro de Custo'!$G$5:$G$1270,'NF x Centro de Custo'!$C$5:$C$1270,$C103)</f>
        <v>43743.310744</v>
      </c>
      <c r="H103" s="15" t="n">
        <f aca="false">F103+G103</f>
        <v>188592.030744</v>
      </c>
      <c r="I103" s="25" t="n">
        <v>188592.030744</v>
      </c>
      <c r="J103" s="15" t="n">
        <f aca="false">ROUND(H103-I103,2)</f>
        <v>0</v>
      </c>
      <c r="K103" s="26" t="str">
        <f aca="false">IF(ABS(J103)&lt;0.05,"OK","Verificar")</f>
        <v>OK</v>
      </c>
    </row>
    <row r="104" customFormat="false" ht="15" hidden="false" customHeight="false" outlineLevel="0" collapsed="false">
      <c r="A104" s="3" t="n">
        <v>2</v>
      </c>
      <c r="B104" s="24" t="n">
        <v>46054</v>
      </c>
      <c r="C104" s="3" t="s">
        <v>330</v>
      </c>
      <c r="D104" s="3" t="s">
        <v>226</v>
      </c>
      <c r="E104" s="3" t="n">
        <f aca="false">COUNTIF('NF x Centro de Custo'!$C$5:$C$1270,$C104)</f>
        <v>1</v>
      </c>
      <c r="F104" s="15" t="n">
        <f aca="false">SUMIFS('NF x Centro de Custo'!$F$5:$F$1270,'NF x Centro de Custo'!$C$5:$C$1270,$C104)</f>
        <v>5670.62</v>
      </c>
      <c r="G104" s="15" t="n">
        <f aca="false">SUMIFS('NF x Centro de Custo'!$G$5:$G$1270,'NF x Centro de Custo'!$C$5:$C$1270,$C104)</f>
        <v>1756.073872</v>
      </c>
      <c r="H104" s="15" t="n">
        <f aca="false">F104+G104</f>
        <v>7426.693872</v>
      </c>
      <c r="I104" s="25" t="n">
        <v>7426.693872</v>
      </c>
      <c r="J104" s="15" t="n">
        <f aca="false">ROUND(H104-I104,2)</f>
        <v>0</v>
      </c>
      <c r="K104" s="26" t="str">
        <f aca="false">IF(ABS(J104)&lt;0.05,"OK","Verificar")</f>
        <v>OK</v>
      </c>
    </row>
    <row r="105" customFormat="false" ht="15" hidden="false" customHeight="false" outlineLevel="0" collapsed="false">
      <c r="A105" s="3" t="n">
        <v>2</v>
      </c>
      <c r="B105" s="24" t="n">
        <v>46054</v>
      </c>
      <c r="C105" s="3" t="s">
        <v>331</v>
      </c>
      <c r="D105" s="3" t="s">
        <v>243</v>
      </c>
      <c r="E105" s="3" t="n">
        <f aca="false">COUNTIF('NF x Centro de Custo'!$C$5:$C$1270,$C105)</f>
        <v>1</v>
      </c>
      <c r="F105" s="15" t="n">
        <f aca="false">SUMIFS('NF x Centro de Custo'!$F$5:$F$1270,'NF x Centro de Custo'!$C$5:$C$1270,$C105)</f>
        <v>17518.28</v>
      </c>
      <c r="G105" s="15" t="n">
        <f aca="false">SUMIFS('NF x Centro de Custo'!$G$5:$G$1270,'NF x Centro de Custo'!$C$5:$C$1270,$C105)</f>
        <v>6360.02</v>
      </c>
      <c r="H105" s="15" t="n">
        <f aca="false">F105+G105</f>
        <v>23878.3</v>
      </c>
      <c r="I105" s="25" t="n">
        <v>23878.3</v>
      </c>
      <c r="J105" s="15" t="n">
        <f aca="false">ROUND(H105-I105,2)</f>
        <v>0</v>
      </c>
      <c r="K105" s="26" t="str">
        <f aca="false">IF(ABS(J105)&lt;0.05,"OK","Verificar")</f>
        <v>OK</v>
      </c>
    </row>
    <row r="106" customFormat="false" ht="15" hidden="false" customHeight="false" outlineLevel="0" collapsed="false">
      <c r="A106" s="3" t="n">
        <v>2</v>
      </c>
      <c r="B106" s="24" t="n">
        <v>46054</v>
      </c>
      <c r="C106" s="3" t="s">
        <v>332</v>
      </c>
      <c r="D106" s="3" t="s">
        <v>243</v>
      </c>
      <c r="E106" s="3" t="n">
        <f aca="false">COUNTIF('NF x Centro de Custo'!$C$5:$C$1270,$C106)</f>
        <v>1</v>
      </c>
      <c r="F106" s="15" t="n">
        <f aca="false">SUMIFS('NF x Centro de Custo'!$F$5:$F$1270,'NF x Centro de Custo'!$C$5:$C$1270,$C106)</f>
        <v>5390.71</v>
      </c>
      <c r="G106" s="15" t="n">
        <f aca="false">SUMIFS('NF x Centro de Custo'!$G$5:$G$1270,'NF x Centro de Custo'!$C$5:$C$1270,$C106)</f>
        <v>1968.47</v>
      </c>
      <c r="H106" s="15" t="n">
        <f aca="false">F106+G106</f>
        <v>7359.18</v>
      </c>
      <c r="I106" s="25" t="n">
        <v>7359.18</v>
      </c>
      <c r="J106" s="15" t="n">
        <f aca="false">ROUND(H106-I106,2)</f>
        <v>0</v>
      </c>
      <c r="K106" s="26" t="str">
        <f aca="false">IF(ABS(J106)&lt;0.05,"OK","Verificar")</f>
        <v>OK</v>
      </c>
    </row>
    <row r="107" customFormat="false" ht="15" hidden="false" customHeight="false" outlineLevel="0" collapsed="false">
      <c r="A107" s="3" t="n">
        <v>2</v>
      </c>
      <c r="B107" s="24" t="n">
        <v>46054</v>
      </c>
      <c r="C107" s="3" t="s">
        <v>333</v>
      </c>
      <c r="D107" s="3" t="s">
        <v>246</v>
      </c>
      <c r="E107" s="3" t="n">
        <f aca="false">COUNTIF('NF x Centro de Custo'!$C$5:$C$1270,$C107)</f>
        <v>1</v>
      </c>
      <c r="F107" s="15" t="n">
        <f aca="false">SUMIFS('NF x Centro de Custo'!$F$5:$F$1270,'NF x Centro de Custo'!$C$5:$C$1270,$C107)</f>
        <v>5011.55</v>
      </c>
      <c r="G107" s="15" t="n">
        <f aca="false">SUMIFS('NF x Centro de Custo'!$G$5:$G$1270,'NF x Centro de Custo'!$C$5:$C$1270,$C107)</f>
        <v>1798.76</v>
      </c>
      <c r="H107" s="15" t="n">
        <f aca="false">F107+G107</f>
        <v>6810.31</v>
      </c>
      <c r="I107" s="25" t="n">
        <v>6810.31</v>
      </c>
      <c r="J107" s="15" t="n">
        <f aca="false">ROUND(H107-I107,2)</f>
        <v>0</v>
      </c>
      <c r="K107" s="26" t="str">
        <f aca="false">IF(ABS(J107)&lt;0.05,"OK","Verificar")</f>
        <v>OK</v>
      </c>
    </row>
    <row r="108" customFormat="false" ht="15" hidden="false" customHeight="false" outlineLevel="0" collapsed="false">
      <c r="A108" s="3" t="n">
        <v>2</v>
      </c>
      <c r="B108" s="24" t="n">
        <v>46054</v>
      </c>
      <c r="C108" s="3" t="s">
        <v>334</v>
      </c>
      <c r="D108" s="3" t="s">
        <v>246</v>
      </c>
      <c r="E108" s="3" t="n">
        <f aca="false">COUNTIF('NF x Centro de Custo'!$C$5:$C$1270,$C108)</f>
        <v>1</v>
      </c>
      <c r="F108" s="15" t="n">
        <f aca="false">SUMIFS('NF x Centro de Custo'!$F$5:$F$1270,'NF x Centro de Custo'!$C$5:$C$1270,$C108)</f>
        <v>1046.09</v>
      </c>
      <c r="G108" s="15" t="n">
        <f aca="false">SUMIFS('NF x Centro de Custo'!$G$5:$G$1270,'NF x Centro de Custo'!$C$5:$C$1270,$C108)</f>
        <v>444.24</v>
      </c>
      <c r="H108" s="15" t="n">
        <f aca="false">F108+G108</f>
        <v>1490.33</v>
      </c>
      <c r="I108" s="25" t="n">
        <v>1490.33</v>
      </c>
      <c r="J108" s="15" t="n">
        <f aca="false">ROUND(H108-I108,2)</f>
        <v>0</v>
      </c>
      <c r="K108" s="26" t="str">
        <f aca="false">IF(ABS(J108)&lt;0.05,"OK","Verificar")</f>
        <v>OK</v>
      </c>
    </row>
    <row r="109" customFormat="false" ht="15" hidden="false" customHeight="false" outlineLevel="0" collapsed="false">
      <c r="A109" s="3" t="n">
        <v>2</v>
      </c>
      <c r="B109" s="24" t="n">
        <v>46054</v>
      </c>
      <c r="C109" s="3" t="s">
        <v>335</v>
      </c>
      <c r="D109" s="3" t="s">
        <v>249</v>
      </c>
      <c r="E109" s="3" t="n">
        <f aca="false">COUNTIF('NF x Centro de Custo'!$C$5:$C$1270,$C109)</f>
        <v>1</v>
      </c>
      <c r="F109" s="15" t="n">
        <f aca="false">SUMIFS('NF x Centro de Custo'!$F$5:$F$1270,'NF x Centro de Custo'!$C$5:$C$1270,$C109)</f>
        <v>20024.64</v>
      </c>
      <c r="G109" s="15" t="n">
        <f aca="false">SUMIFS('NF x Centro de Custo'!$G$5:$G$1270,'NF x Centro de Custo'!$C$5:$C$1270,$C109)</f>
        <v>7096.91</v>
      </c>
      <c r="H109" s="15" t="n">
        <f aca="false">F109+G109</f>
        <v>27121.55</v>
      </c>
      <c r="I109" s="25" t="n">
        <v>27121.55</v>
      </c>
      <c r="J109" s="15" t="n">
        <f aca="false">ROUND(H109-I109,2)</f>
        <v>0</v>
      </c>
      <c r="K109" s="26" t="str">
        <f aca="false">IF(ABS(J109)&lt;0.05,"OK","Verificar")</f>
        <v>OK</v>
      </c>
    </row>
    <row r="110" customFormat="false" ht="15" hidden="false" customHeight="false" outlineLevel="0" collapsed="false">
      <c r="A110" s="3" t="n">
        <v>2</v>
      </c>
      <c r="B110" s="24" t="n">
        <v>46054</v>
      </c>
      <c r="C110" s="3" t="s">
        <v>336</v>
      </c>
      <c r="D110" s="3" t="s">
        <v>249</v>
      </c>
      <c r="E110" s="3" t="n">
        <f aca="false">COUNTIF('NF x Centro de Custo'!$C$5:$C$1270,$C110)</f>
        <v>1</v>
      </c>
      <c r="F110" s="15" t="n">
        <f aca="false">SUMIFS('NF x Centro de Custo'!$F$5:$F$1270,'NF x Centro de Custo'!$C$5:$C$1270,$C110)</f>
        <v>14914.31</v>
      </c>
      <c r="G110" s="15" t="n">
        <f aca="false">SUMIFS('NF x Centro de Custo'!$G$5:$G$1270,'NF x Centro de Custo'!$C$5:$C$1270,$C110)</f>
        <v>5266.67</v>
      </c>
      <c r="H110" s="15" t="n">
        <f aca="false">F110+G110</f>
        <v>20180.98</v>
      </c>
      <c r="I110" s="25" t="n">
        <v>20180.98</v>
      </c>
      <c r="J110" s="15" t="n">
        <f aca="false">ROUND(H110-I110,2)</f>
        <v>0</v>
      </c>
      <c r="K110" s="26" t="str">
        <f aca="false">IF(ABS(J110)&lt;0.05,"OK","Verificar")</f>
        <v>OK</v>
      </c>
    </row>
    <row r="111" customFormat="false" ht="15" hidden="false" customHeight="false" outlineLevel="0" collapsed="false">
      <c r="A111" s="3" t="n">
        <v>2</v>
      </c>
      <c r="B111" s="24" t="n">
        <v>46054</v>
      </c>
      <c r="C111" s="3" t="s">
        <v>337</v>
      </c>
      <c r="D111" s="3" t="s">
        <v>252</v>
      </c>
      <c r="E111" s="3" t="n">
        <f aca="false">COUNTIF('NF x Centro de Custo'!$C$5:$C$1270,$C111)</f>
        <v>1</v>
      </c>
      <c r="F111" s="15" t="n">
        <f aca="false">SUMIFS('NF x Centro de Custo'!$F$5:$F$1270,'NF x Centro de Custo'!$C$5:$C$1270,$C111)</f>
        <v>5104.7</v>
      </c>
      <c r="G111" s="15" t="n">
        <f aca="false">SUMIFS('NF x Centro de Custo'!$G$5:$G$1270,'NF x Centro de Custo'!$C$5:$C$1270,$C111)</f>
        <v>1819.55</v>
      </c>
      <c r="H111" s="15" t="n">
        <f aca="false">F111+G111</f>
        <v>6924.25</v>
      </c>
      <c r="I111" s="25" t="n">
        <v>6924.25</v>
      </c>
      <c r="J111" s="15" t="n">
        <f aca="false">ROUND(H111-I111,2)</f>
        <v>0</v>
      </c>
      <c r="K111" s="26" t="str">
        <f aca="false">IF(ABS(J111)&lt;0.05,"OK","Verificar")</f>
        <v>OK</v>
      </c>
    </row>
    <row r="112" customFormat="false" ht="15" hidden="false" customHeight="false" outlineLevel="0" collapsed="false">
      <c r="A112" s="3" t="n">
        <v>2</v>
      </c>
      <c r="B112" s="24" t="n">
        <v>46054</v>
      </c>
      <c r="C112" s="3" t="s">
        <v>338</v>
      </c>
      <c r="D112" s="3" t="s">
        <v>252</v>
      </c>
      <c r="E112" s="3" t="n">
        <f aca="false">COUNTIF('NF x Centro de Custo'!$C$5:$C$1270,$C112)</f>
        <v>1</v>
      </c>
      <c r="F112" s="15" t="n">
        <f aca="false">SUMIFS('NF x Centro de Custo'!$F$5:$F$1270,'NF x Centro de Custo'!$C$5:$C$1270,$C112)</f>
        <v>5793.2</v>
      </c>
      <c r="G112" s="15" t="n">
        <f aca="false">SUMIFS('NF x Centro de Custo'!$G$5:$G$1270,'NF x Centro de Custo'!$C$5:$C$1270,$C112)</f>
        <v>2056.63</v>
      </c>
      <c r="H112" s="15" t="n">
        <f aca="false">F112+G112</f>
        <v>7849.83</v>
      </c>
      <c r="I112" s="25" t="n">
        <v>7849.83</v>
      </c>
      <c r="J112" s="15" t="n">
        <f aca="false">ROUND(H112-I112,2)</f>
        <v>0</v>
      </c>
      <c r="K112" s="26" t="str">
        <f aca="false">IF(ABS(J112)&lt;0.05,"OK","Verificar")</f>
        <v>OK</v>
      </c>
    </row>
    <row r="113" customFormat="false" ht="15" hidden="false" customHeight="false" outlineLevel="0" collapsed="false">
      <c r="A113" s="3" t="n">
        <v>2</v>
      </c>
      <c r="B113" s="24" t="n">
        <v>46054</v>
      </c>
      <c r="C113" s="3" t="s">
        <v>339</v>
      </c>
      <c r="D113" s="3" t="s">
        <v>255</v>
      </c>
      <c r="E113" s="3" t="n">
        <f aca="false">COUNTIF('NF x Centro de Custo'!$C$5:$C$1270,$C113)</f>
        <v>1</v>
      </c>
      <c r="F113" s="15" t="n">
        <f aca="false">SUMIFS('NF x Centro de Custo'!$F$5:$F$1270,'NF x Centro de Custo'!$C$5:$C$1270,$C113)</f>
        <v>6381.88</v>
      </c>
      <c r="G113" s="15" t="n">
        <f aca="false">SUMIFS('NF x Centro de Custo'!$G$5:$G$1270,'NF x Centro de Custo'!$C$5:$C$1270,$C113)</f>
        <v>2262.21</v>
      </c>
      <c r="H113" s="15" t="n">
        <f aca="false">F113+G113</f>
        <v>8644.09</v>
      </c>
      <c r="I113" s="25" t="n">
        <v>8644.09</v>
      </c>
      <c r="J113" s="15" t="n">
        <f aca="false">ROUND(H113-I113,2)</f>
        <v>0</v>
      </c>
      <c r="K113" s="26" t="str">
        <f aca="false">IF(ABS(J113)&lt;0.05,"OK","Verificar")</f>
        <v>OK</v>
      </c>
    </row>
    <row r="114" customFormat="false" ht="15" hidden="false" customHeight="false" outlineLevel="0" collapsed="false">
      <c r="A114" s="3" t="n">
        <v>2</v>
      </c>
      <c r="B114" s="24" t="n">
        <v>46054</v>
      </c>
      <c r="C114" s="3" t="s">
        <v>340</v>
      </c>
      <c r="D114" s="3" t="s">
        <v>255</v>
      </c>
      <c r="E114" s="3" t="n">
        <f aca="false">COUNTIF('NF x Centro de Custo'!$C$5:$C$1270,$C114)</f>
        <v>1</v>
      </c>
      <c r="F114" s="15" t="n">
        <f aca="false">SUMIFS('NF x Centro de Custo'!$F$5:$F$1270,'NF x Centro de Custo'!$C$5:$C$1270,$C114)</f>
        <v>13430.88</v>
      </c>
      <c r="G114" s="15" t="n">
        <f aca="false">SUMIFS('NF x Centro de Custo'!$G$5:$G$1270,'NF x Centro de Custo'!$C$5:$C$1270,$C114)</f>
        <v>4765.22</v>
      </c>
      <c r="H114" s="15" t="n">
        <f aca="false">F114+G114</f>
        <v>18196.1</v>
      </c>
      <c r="I114" s="25" t="n">
        <v>18196.1</v>
      </c>
      <c r="J114" s="15" t="n">
        <f aca="false">ROUND(H114-I114,2)</f>
        <v>0</v>
      </c>
      <c r="K114" s="26" t="str">
        <f aca="false">IF(ABS(J114)&lt;0.05,"OK","Verificar")</f>
        <v>OK</v>
      </c>
    </row>
    <row r="115" customFormat="false" ht="15" hidden="false" customHeight="false" outlineLevel="0" collapsed="false">
      <c r="A115" s="3" t="n">
        <v>2</v>
      </c>
      <c r="B115" s="24" t="n">
        <v>46054</v>
      </c>
      <c r="C115" s="3" t="s">
        <v>341</v>
      </c>
      <c r="D115" s="3" t="s">
        <v>258</v>
      </c>
      <c r="E115" s="3" t="n">
        <f aca="false">COUNTIF('NF x Centro de Custo'!$C$5:$C$1270,$C115)</f>
        <v>1</v>
      </c>
      <c r="F115" s="15" t="n">
        <f aca="false">SUMIFS('NF x Centro de Custo'!$F$5:$F$1270,'NF x Centro de Custo'!$C$5:$C$1270,$C115)</f>
        <v>11436.72</v>
      </c>
      <c r="G115" s="15" t="n">
        <f aca="false">SUMIFS('NF x Centro de Custo'!$G$5:$G$1270,'NF x Centro de Custo'!$C$5:$C$1270,$C115)</f>
        <v>4064.5</v>
      </c>
      <c r="H115" s="15" t="n">
        <f aca="false">F115+G115</f>
        <v>15501.22</v>
      </c>
      <c r="I115" s="25" t="n">
        <v>15501.22</v>
      </c>
      <c r="J115" s="15" t="n">
        <f aca="false">ROUND(H115-I115,2)</f>
        <v>0</v>
      </c>
      <c r="K115" s="26" t="str">
        <f aca="false">IF(ABS(J115)&lt;0.05,"OK","Verificar")</f>
        <v>OK</v>
      </c>
    </row>
    <row r="116" customFormat="false" ht="15" hidden="false" customHeight="false" outlineLevel="0" collapsed="false">
      <c r="A116" s="3" t="n">
        <v>2</v>
      </c>
      <c r="B116" s="24" t="n">
        <v>46054</v>
      </c>
      <c r="C116" s="3" t="s">
        <v>342</v>
      </c>
      <c r="D116" s="3" t="s">
        <v>258</v>
      </c>
      <c r="E116" s="3" t="n">
        <f aca="false">COUNTIF('NF x Centro de Custo'!$C$5:$C$1270,$C116)</f>
        <v>1</v>
      </c>
      <c r="F116" s="15" t="n">
        <f aca="false">SUMIFS('NF x Centro de Custo'!$F$5:$F$1270,'NF x Centro de Custo'!$C$5:$C$1270,$C116)</f>
        <v>15308.26</v>
      </c>
      <c r="G116" s="15" t="n">
        <f aca="false">SUMIFS('NF x Centro de Custo'!$G$5:$G$1270,'NF x Centro de Custo'!$C$5:$C$1270,$C116)</f>
        <v>5465.73</v>
      </c>
      <c r="H116" s="15" t="n">
        <f aca="false">F116+G116</f>
        <v>20773.99</v>
      </c>
      <c r="I116" s="25" t="n">
        <v>20773.99</v>
      </c>
      <c r="J116" s="15" t="n">
        <f aca="false">ROUND(H116-I116,2)</f>
        <v>0</v>
      </c>
      <c r="K116" s="26" t="str">
        <f aca="false">IF(ABS(J116)&lt;0.05,"OK","Verificar")</f>
        <v>OK</v>
      </c>
    </row>
    <row r="117" customFormat="false" ht="15" hidden="false" customHeight="false" outlineLevel="0" collapsed="false">
      <c r="A117" s="3" t="n">
        <v>2</v>
      </c>
      <c r="B117" s="24" t="n">
        <v>46054</v>
      </c>
      <c r="C117" s="3" t="s">
        <v>343</v>
      </c>
      <c r="D117" s="3" t="s">
        <v>344</v>
      </c>
      <c r="E117" s="3" t="n">
        <f aca="false">COUNTIF('NF x Centro de Custo'!$C$5:$C$1270,$C117)</f>
        <v>1</v>
      </c>
      <c r="F117" s="15" t="n">
        <f aca="false">SUMIFS('NF x Centro de Custo'!$F$5:$F$1270,'NF x Centro de Custo'!$C$5:$C$1270,$C117)</f>
        <v>12084.39</v>
      </c>
      <c r="G117" s="15" t="n">
        <f aca="false">SUMIFS('NF x Centro de Custo'!$G$5:$G$1270,'NF x Centro de Custo'!$C$5:$C$1270,$C117)</f>
        <v>4318.75</v>
      </c>
      <c r="H117" s="15" t="n">
        <f aca="false">F117+G117</f>
        <v>16403.14</v>
      </c>
      <c r="I117" s="25" t="n">
        <v>16403.14</v>
      </c>
      <c r="J117" s="15" t="n">
        <f aca="false">ROUND(H117-I117,2)</f>
        <v>0</v>
      </c>
      <c r="K117" s="26" t="str">
        <f aca="false">IF(ABS(J117)&lt;0.05,"OK","Verificar")</f>
        <v>OK</v>
      </c>
    </row>
    <row r="118" customFormat="false" ht="15" hidden="false" customHeight="false" outlineLevel="0" collapsed="false">
      <c r="A118" s="3" t="n">
        <v>2</v>
      </c>
      <c r="B118" s="24" t="n">
        <v>46054</v>
      </c>
      <c r="C118" s="3" t="s">
        <v>345</v>
      </c>
      <c r="D118" s="3" t="s">
        <v>344</v>
      </c>
      <c r="E118" s="3" t="n">
        <f aca="false">COUNTIF('NF x Centro de Custo'!$C$5:$C$1270,$C118)</f>
        <v>1</v>
      </c>
      <c r="F118" s="15" t="n">
        <f aca="false">SUMIFS('NF x Centro de Custo'!$F$5:$F$1270,'NF x Centro de Custo'!$C$5:$C$1270,$C118)</f>
        <v>17120.09</v>
      </c>
      <c r="G118" s="15" t="n">
        <f aca="false">SUMIFS('NF x Centro de Custo'!$G$5:$G$1270,'NF x Centro de Custo'!$C$5:$C$1270,$C118)</f>
        <v>6074.103484</v>
      </c>
      <c r="H118" s="15" t="n">
        <f aca="false">F118+G118</f>
        <v>23194.193484</v>
      </c>
      <c r="I118" s="25" t="n">
        <v>23194.193484</v>
      </c>
      <c r="J118" s="15" t="n">
        <f aca="false">ROUND(H118-I118,2)</f>
        <v>0</v>
      </c>
      <c r="K118" s="26" t="str">
        <f aca="false">IF(ABS(J118)&lt;0.05,"OK","Verificar")</f>
        <v>OK</v>
      </c>
    </row>
    <row r="119" customFormat="false" ht="15" hidden="false" customHeight="false" outlineLevel="0" collapsed="false">
      <c r="A119" s="3" t="n">
        <v>2</v>
      </c>
      <c r="B119" s="24" t="n">
        <v>46054</v>
      </c>
      <c r="C119" s="3" t="s">
        <v>346</v>
      </c>
      <c r="D119" s="3" t="s">
        <v>217</v>
      </c>
      <c r="E119" s="3" t="n">
        <f aca="false">COUNTIF('NF x Centro de Custo'!$C$5:$C$1270,$C119)</f>
        <v>1</v>
      </c>
      <c r="F119" s="15" t="n">
        <f aca="false">SUMIFS('NF x Centro de Custo'!$F$5:$F$1270,'NF x Centro de Custo'!$C$5:$C$1270,$C119)</f>
        <v>4957.96</v>
      </c>
      <c r="G119" s="15" t="n">
        <f aca="false">SUMIFS('NF x Centro de Custo'!$G$5:$G$1270,'NF x Centro de Custo'!$C$5:$C$1270,$C119)</f>
        <v>1775.22</v>
      </c>
      <c r="H119" s="15" t="n">
        <f aca="false">F119+G119</f>
        <v>6733.18</v>
      </c>
      <c r="I119" s="25" t="n">
        <v>6733.18</v>
      </c>
      <c r="J119" s="15" t="n">
        <f aca="false">ROUND(H119-I119,2)</f>
        <v>0</v>
      </c>
      <c r="K119" s="26" t="str">
        <f aca="false">IF(ABS(J119)&lt;0.05,"OK","Verificar")</f>
        <v>OK</v>
      </c>
    </row>
    <row r="120" customFormat="false" ht="15" hidden="false" customHeight="false" outlineLevel="0" collapsed="false">
      <c r="A120" s="3" t="n">
        <v>2</v>
      </c>
      <c r="B120" s="24" t="n">
        <v>46054</v>
      </c>
      <c r="C120" s="3" t="s">
        <v>347</v>
      </c>
      <c r="D120" s="3" t="s">
        <v>217</v>
      </c>
      <c r="E120" s="3" t="n">
        <f aca="false">COUNTIF('NF x Centro de Custo'!$C$5:$C$1270,$C120)</f>
        <v>2</v>
      </c>
      <c r="F120" s="15" t="n">
        <f aca="false">SUMIFS('NF x Centro de Custo'!$F$5:$F$1270,'NF x Centro de Custo'!$C$5:$C$1270,$C120)</f>
        <v>43381.79</v>
      </c>
      <c r="G120" s="15" t="n">
        <f aca="false">SUMIFS('NF x Centro de Custo'!$G$5:$G$1270,'NF x Centro de Custo'!$C$5:$C$1270,$C120)</f>
        <v>15111.48</v>
      </c>
      <c r="H120" s="15" t="n">
        <f aca="false">F120+G120</f>
        <v>58493.27</v>
      </c>
      <c r="I120" s="25" t="n">
        <v>58493.27</v>
      </c>
      <c r="J120" s="15" t="n">
        <f aca="false">ROUND(H120-I120,2)</f>
        <v>0</v>
      </c>
      <c r="K120" s="26" t="str">
        <f aca="false">IF(ABS(J120)&lt;0.05,"OK","Verificar")</f>
        <v>OK</v>
      </c>
    </row>
    <row r="121" customFormat="false" ht="15" hidden="false" customHeight="false" outlineLevel="0" collapsed="false">
      <c r="A121" s="3" t="n">
        <v>2</v>
      </c>
      <c r="B121" s="24" t="n">
        <v>46054</v>
      </c>
      <c r="C121" s="3" t="s">
        <v>348</v>
      </c>
      <c r="D121" s="3" t="s">
        <v>219</v>
      </c>
      <c r="E121" s="3" t="n">
        <f aca="false">COUNTIF('NF x Centro de Custo'!$C$5:$C$1270,$C121)</f>
        <v>1</v>
      </c>
      <c r="F121" s="15" t="n">
        <f aca="false">SUMIFS('NF x Centro de Custo'!$F$5:$F$1270,'NF x Centro de Custo'!$C$5:$C$1270,$C121)</f>
        <v>13114.52</v>
      </c>
      <c r="G121" s="15" t="n">
        <f aca="false">SUMIFS('NF x Centro de Custo'!$G$5:$G$1270,'NF x Centro de Custo'!$C$5:$C$1270,$C121)</f>
        <v>4725.72</v>
      </c>
      <c r="H121" s="15" t="n">
        <f aca="false">F121+G121</f>
        <v>17840.24</v>
      </c>
      <c r="I121" s="25" t="n">
        <v>17840.24</v>
      </c>
      <c r="J121" s="15" t="n">
        <f aca="false">ROUND(H121-I121,2)</f>
        <v>0</v>
      </c>
      <c r="K121" s="26" t="str">
        <f aca="false">IF(ABS(J121)&lt;0.05,"OK","Verificar")</f>
        <v>OK</v>
      </c>
    </row>
    <row r="122" customFormat="false" ht="15" hidden="false" customHeight="false" outlineLevel="0" collapsed="false">
      <c r="A122" s="3" t="n">
        <v>2</v>
      </c>
      <c r="B122" s="24" t="n">
        <v>46054</v>
      </c>
      <c r="C122" s="3" t="s">
        <v>349</v>
      </c>
      <c r="D122" s="3" t="s">
        <v>219</v>
      </c>
      <c r="E122" s="3" t="n">
        <f aca="false">COUNTIF('NF x Centro de Custo'!$C$5:$C$1270,$C122)</f>
        <v>1</v>
      </c>
      <c r="F122" s="15" t="n">
        <f aca="false">SUMIFS('NF x Centro de Custo'!$F$5:$F$1270,'NF x Centro de Custo'!$C$5:$C$1270,$C122)</f>
        <v>37633.37</v>
      </c>
      <c r="G122" s="15" t="n">
        <f aca="false">SUMIFS('NF x Centro de Custo'!$G$5:$G$1270,'NF x Centro de Custo'!$C$5:$C$1270,$C122)</f>
        <v>13590.48</v>
      </c>
      <c r="H122" s="15" t="n">
        <f aca="false">F122+G122</f>
        <v>51223.85</v>
      </c>
      <c r="I122" s="25" t="n">
        <v>51223.85</v>
      </c>
      <c r="J122" s="15" t="n">
        <f aca="false">ROUND(H122-I122,2)</f>
        <v>0</v>
      </c>
      <c r="K122" s="26" t="str">
        <f aca="false">IF(ABS(J122)&lt;0.05,"OK","Verificar")</f>
        <v>OK</v>
      </c>
    </row>
    <row r="123" customFormat="false" ht="15" hidden="false" customHeight="false" outlineLevel="0" collapsed="false">
      <c r="A123" s="3" t="n">
        <v>2</v>
      </c>
      <c r="B123" s="24" t="n">
        <v>46054</v>
      </c>
      <c r="C123" s="3" t="s">
        <v>350</v>
      </c>
      <c r="D123" s="3" t="s">
        <v>219</v>
      </c>
      <c r="E123" s="3" t="n">
        <f aca="false">COUNTIF('NF x Centro de Custo'!$C$5:$C$1270,$C123)</f>
        <v>1</v>
      </c>
      <c r="F123" s="15" t="n">
        <f aca="false">SUMIFS('NF x Centro de Custo'!$F$5:$F$1270,'NF x Centro de Custo'!$C$5:$C$1270,$C123)</f>
        <v>9703.14</v>
      </c>
      <c r="G123" s="15" t="n">
        <f aca="false">SUMIFS('NF x Centro de Custo'!$G$5:$G$1270,'NF x Centro de Custo'!$C$5:$C$1270,$C123)</f>
        <v>3371.23</v>
      </c>
      <c r="H123" s="15" t="n">
        <f aca="false">F123+G123</f>
        <v>13074.37</v>
      </c>
      <c r="I123" s="25" t="n">
        <v>13074.37</v>
      </c>
      <c r="J123" s="15" t="n">
        <f aca="false">ROUND(H123-I123,2)</f>
        <v>0</v>
      </c>
      <c r="K123" s="26" t="str">
        <f aca="false">IF(ABS(J123)&lt;0.05,"OK","Verificar")</f>
        <v>OK</v>
      </c>
    </row>
    <row r="124" customFormat="false" ht="15" hidden="false" customHeight="false" outlineLevel="0" collapsed="false">
      <c r="A124" s="3" t="n">
        <v>2</v>
      </c>
      <c r="B124" s="24" t="n">
        <v>46054</v>
      </c>
      <c r="C124" s="3" t="s">
        <v>351</v>
      </c>
      <c r="D124" s="3" t="s">
        <v>228</v>
      </c>
      <c r="E124" s="3" t="n">
        <f aca="false">COUNTIF('NF x Centro de Custo'!$C$5:$C$1270,$C124)</f>
        <v>1</v>
      </c>
      <c r="F124" s="15" t="n">
        <f aca="false">SUMIFS('NF x Centro de Custo'!$F$5:$F$1270,'NF x Centro de Custo'!$C$5:$C$1270,$C124)</f>
        <v>19555.23</v>
      </c>
      <c r="G124" s="15" t="n">
        <f aca="false">SUMIFS('NF x Centro de Custo'!$G$5:$G$1270,'NF x Centro de Custo'!$C$5:$C$1270,$C124)</f>
        <v>7044.97</v>
      </c>
      <c r="H124" s="15" t="n">
        <f aca="false">F124+G124</f>
        <v>26600.2</v>
      </c>
      <c r="I124" s="25" t="n">
        <v>26600.2</v>
      </c>
      <c r="J124" s="15" t="n">
        <f aca="false">ROUND(H124-I124,2)</f>
        <v>0</v>
      </c>
      <c r="K124" s="26" t="str">
        <f aca="false">IF(ABS(J124)&lt;0.05,"OK","Verificar")</f>
        <v>OK</v>
      </c>
    </row>
    <row r="125" customFormat="false" ht="15" hidden="false" customHeight="false" outlineLevel="0" collapsed="false">
      <c r="A125" s="3" t="n">
        <v>2</v>
      </c>
      <c r="B125" s="24" t="n">
        <v>46054</v>
      </c>
      <c r="C125" s="3" t="s">
        <v>352</v>
      </c>
      <c r="D125" s="3" t="s">
        <v>261</v>
      </c>
      <c r="E125" s="3" t="n">
        <f aca="false">COUNTIF('NF x Centro de Custo'!$C$5:$C$1270,$C125)</f>
        <v>2</v>
      </c>
      <c r="F125" s="15" t="n">
        <f aca="false">SUMIFS('NF x Centro de Custo'!$F$5:$F$1270,'NF x Centro de Custo'!$C$5:$C$1270,$C125)</f>
        <v>6343.49</v>
      </c>
      <c r="G125" s="15" t="n">
        <f aca="false">SUMIFS('NF x Centro de Custo'!$G$5:$G$1270,'NF x Centro de Custo'!$C$5:$C$1270,$C125)</f>
        <v>2206.46</v>
      </c>
      <c r="H125" s="15" t="n">
        <f aca="false">F125+G125</f>
        <v>8549.95</v>
      </c>
      <c r="I125" s="25" t="n">
        <v>8549.95</v>
      </c>
      <c r="J125" s="15" t="n">
        <f aca="false">ROUND(H125-I125,2)</f>
        <v>0</v>
      </c>
      <c r="K125" s="26" t="str">
        <f aca="false">IF(ABS(J125)&lt;0.05,"OK","Verificar")</f>
        <v>OK</v>
      </c>
    </row>
    <row r="126" customFormat="false" ht="15" hidden="false" customHeight="false" outlineLevel="0" collapsed="false">
      <c r="A126" s="3" t="n">
        <v>2</v>
      </c>
      <c r="B126" s="24" t="n">
        <v>46054</v>
      </c>
      <c r="C126" s="3" t="s">
        <v>353</v>
      </c>
      <c r="D126" s="3" t="s">
        <v>261</v>
      </c>
      <c r="E126" s="3" t="n">
        <f aca="false">COUNTIF('NF x Centro de Custo'!$C$5:$C$1270,$C126)</f>
        <v>1</v>
      </c>
      <c r="F126" s="15" t="n">
        <f aca="false">SUMIFS('NF x Centro de Custo'!$F$5:$F$1270,'NF x Centro de Custo'!$C$5:$C$1270,$C126)</f>
        <v>5851.9</v>
      </c>
      <c r="G126" s="15" t="n">
        <f aca="false">SUMIFS('NF x Centro de Custo'!$G$5:$G$1270,'NF x Centro de Custo'!$C$5:$C$1270,$C126)</f>
        <v>2100.05</v>
      </c>
      <c r="H126" s="15" t="n">
        <f aca="false">F126+G126</f>
        <v>7951.95</v>
      </c>
      <c r="I126" s="25" t="n">
        <v>7951.95</v>
      </c>
      <c r="J126" s="15" t="n">
        <f aca="false">ROUND(H126-I126,2)</f>
        <v>0</v>
      </c>
      <c r="K126" s="26" t="str">
        <f aca="false">IF(ABS(J126)&lt;0.05,"OK","Verificar")</f>
        <v>OK</v>
      </c>
    </row>
    <row r="127" customFormat="false" ht="15" hidden="false" customHeight="false" outlineLevel="0" collapsed="false">
      <c r="A127" s="3" t="n">
        <v>2</v>
      </c>
      <c r="B127" s="24" t="n">
        <v>46054</v>
      </c>
      <c r="C127" s="3" t="s">
        <v>354</v>
      </c>
      <c r="D127" s="3" t="s">
        <v>269</v>
      </c>
      <c r="E127" s="3" t="n">
        <f aca="false">COUNTIF('NF x Centro de Custo'!$C$5:$C$1270,$C127)</f>
        <v>1</v>
      </c>
      <c r="F127" s="15" t="n">
        <f aca="false">SUMIFS('NF x Centro de Custo'!$F$5:$F$1270,'NF x Centro de Custo'!$C$5:$C$1270,$C127)</f>
        <v>106673.58</v>
      </c>
      <c r="G127" s="15" t="n">
        <f aca="false">SUMIFS('NF x Centro de Custo'!$G$5:$G$1270,'NF x Centro de Custo'!$C$5:$C$1270,$C127)</f>
        <v>37131.57</v>
      </c>
      <c r="H127" s="15" t="n">
        <f aca="false">F127+G127</f>
        <v>143805.15</v>
      </c>
      <c r="I127" s="25" t="n">
        <v>143805.15</v>
      </c>
      <c r="J127" s="15" t="n">
        <f aca="false">ROUND(H127-I127,2)</f>
        <v>0</v>
      </c>
      <c r="K127" s="26" t="str">
        <f aca="false">IF(ABS(J127)&lt;0.05,"OK","Verificar")</f>
        <v>OK</v>
      </c>
    </row>
    <row r="128" customFormat="false" ht="15" hidden="false" customHeight="false" outlineLevel="0" collapsed="false">
      <c r="A128" s="3" t="n">
        <v>2</v>
      </c>
      <c r="B128" s="24" t="n">
        <v>46054</v>
      </c>
      <c r="C128" s="3" t="s">
        <v>355</v>
      </c>
      <c r="D128" s="3" t="s">
        <v>269</v>
      </c>
      <c r="E128" s="3" t="n">
        <f aca="false">COUNTIF('NF x Centro de Custo'!$C$5:$C$1270,$C128)</f>
        <v>5</v>
      </c>
      <c r="F128" s="15" t="n">
        <f aca="false">SUMIFS('NF x Centro de Custo'!$F$5:$F$1270,'NF x Centro de Custo'!$C$5:$C$1270,$C128)</f>
        <v>60555.64</v>
      </c>
      <c r="G128" s="15" t="n">
        <f aca="false">SUMIFS('NF x Centro de Custo'!$G$5:$G$1270,'NF x Centro de Custo'!$C$5:$C$1270,$C128)</f>
        <v>21439.95</v>
      </c>
      <c r="H128" s="15" t="n">
        <f aca="false">F128+G128</f>
        <v>81995.59</v>
      </c>
      <c r="I128" s="25" t="n">
        <v>81995.59</v>
      </c>
      <c r="J128" s="15" t="n">
        <f aca="false">ROUND(H128-I128,2)</f>
        <v>0</v>
      </c>
      <c r="K128" s="26" t="str">
        <f aca="false">IF(ABS(J128)&lt;0.05,"OK","Verificar")</f>
        <v>OK</v>
      </c>
    </row>
    <row r="129" customFormat="false" ht="15" hidden="false" customHeight="false" outlineLevel="0" collapsed="false">
      <c r="A129" s="3" t="n">
        <v>2</v>
      </c>
      <c r="B129" s="24" t="n">
        <v>46054</v>
      </c>
      <c r="C129" s="3" t="s">
        <v>356</v>
      </c>
      <c r="D129" s="3" t="s">
        <v>269</v>
      </c>
      <c r="E129" s="3" t="n">
        <f aca="false">COUNTIF('NF x Centro de Custo'!$C$5:$C$1270,$C129)</f>
        <v>5</v>
      </c>
      <c r="F129" s="15" t="n">
        <f aca="false">SUMIFS('NF x Centro de Custo'!$F$5:$F$1270,'NF x Centro de Custo'!$C$5:$C$1270,$C129)</f>
        <v>37699.62</v>
      </c>
      <c r="G129" s="15" t="n">
        <f aca="false">SUMIFS('NF x Centro de Custo'!$G$5:$G$1270,'NF x Centro de Custo'!$C$5:$C$1270,$C129)</f>
        <v>13340.05</v>
      </c>
      <c r="H129" s="15" t="n">
        <f aca="false">F129+G129</f>
        <v>51039.67</v>
      </c>
      <c r="I129" s="25" t="n">
        <v>51039.67</v>
      </c>
      <c r="J129" s="15" t="n">
        <f aca="false">ROUND(H129-I129,2)</f>
        <v>0</v>
      </c>
      <c r="K129" s="26" t="str">
        <f aca="false">IF(ABS(J129)&lt;0.05,"OK","Verificar")</f>
        <v>OK</v>
      </c>
    </row>
    <row r="130" customFormat="false" ht="15" hidden="false" customHeight="false" outlineLevel="0" collapsed="false">
      <c r="A130" s="3" t="n">
        <v>2</v>
      </c>
      <c r="B130" s="24" t="n">
        <v>46054</v>
      </c>
      <c r="C130" s="3" t="s">
        <v>357</v>
      </c>
      <c r="D130" s="3" t="s">
        <v>224</v>
      </c>
      <c r="E130" s="3" t="n">
        <f aca="false">COUNTIF('NF x Centro de Custo'!$C$5:$C$1270,$C130)</f>
        <v>1</v>
      </c>
      <c r="F130" s="15" t="n">
        <f aca="false">SUMIFS('NF x Centro de Custo'!$F$5:$F$1270,'NF x Centro de Custo'!$C$5:$C$1270,$C130)</f>
        <v>8467.15</v>
      </c>
      <c r="G130" s="15" t="n">
        <f aca="false">SUMIFS('NF x Centro de Custo'!$G$5:$G$1270,'NF x Centro de Custo'!$C$5:$C$1270,$C130)</f>
        <v>3001.44</v>
      </c>
      <c r="H130" s="15" t="n">
        <f aca="false">F130+G130</f>
        <v>11468.59</v>
      </c>
      <c r="I130" s="25" t="n">
        <v>11468.59</v>
      </c>
      <c r="J130" s="15" t="n">
        <f aca="false">ROUND(H130-I130,2)</f>
        <v>0</v>
      </c>
      <c r="K130" s="26" t="str">
        <f aca="false">IF(ABS(J130)&lt;0.05,"OK","Verificar")</f>
        <v>OK</v>
      </c>
    </row>
    <row r="131" customFormat="false" ht="15" hidden="false" customHeight="false" outlineLevel="0" collapsed="false">
      <c r="A131" s="3" t="n">
        <v>2</v>
      </c>
      <c r="B131" s="24" t="n">
        <v>46054</v>
      </c>
      <c r="C131" s="3" t="s">
        <v>358</v>
      </c>
      <c r="D131" s="3" t="s">
        <v>224</v>
      </c>
      <c r="E131" s="3" t="n">
        <f aca="false">COUNTIF('NF x Centro de Custo'!$C$5:$C$1270,$C131)</f>
        <v>1</v>
      </c>
      <c r="F131" s="15" t="n">
        <f aca="false">SUMIFS('NF x Centro de Custo'!$F$5:$F$1270,'NF x Centro de Custo'!$C$5:$C$1270,$C131)</f>
        <v>4745.32</v>
      </c>
      <c r="G131" s="15" t="n">
        <f aca="false">SUMIFS('NF x Centro de Custo'!$G$5:$G$1270,'NF x Centro de Custo'!$C$5:$C$1270,$C131)</f>
        <v>1784.72</v>
      </c>
      <c r="H131" s="15" t="n">
        <f aca="false">F131+G131</f>
        <v>6530.04</v>
      </c>
      <c r="I131" s="25" t="n">
        <v>6530.04</v>
      </c>
      <c r="J131" s="15" t="n">
        <f aca="false">ROUND(H131-I131,2)</f>
        <v>0</v>
      </c>
      <c r="K131" s="26" t="str">
        <f aca="false">IF(ABS(J131)&lt;0.05,"OK","Verificar")</f>
        <v>OK</v>
      </c>
    </row>
    <row r="132" customFormat="false" ht="15" hidden="false" customHeight="false" outlineLevel="0" collapsed="false">
      <c r="A132" s="3" t="n">
        <v>2</v>
      </c>
      <c r="B132" s="24" t="n">
        <v>46054</v>
      </c>
      <c r="C132" s="3" t="s">
        <v>359</v>
      </c>
      <c r="D132" s="3" t="s">
        <v>224</v>
      </c>
      <c r="E132" s="3" t="n">
        <f aca="false">COUNTIF('NF x Centro de Custo'!$C$5:$C$1270,$C132)</f>
        <v>1</v>
      </c>
      <c r="F132" s="15" t="n">
        <f aca="false">SUMIFS('NF x Centro de Custo'!$F$5:$F$1270,'NF x Centro de Custo'!$C$5:$C$1270,$C132)</f>
        <v>32385.85</v>
      </c>
      <c r="G132" s="15" t="n">
        <f aca="false">SUMIFS('NF x Centro de Custo'!$G$5:$G$1270,'NF x Centro de Custo'!$C$5:$C$1270,$C132)</f>
        <v>11268.24</v>
      </c>
      <c r="H132" s="15" t="n">
        <f aca="false">F132+G132</f>
        <v>43654.09</v>
      </c>
      <c r="I132" s="25" t="n">
        <v>43654.09</v>
      </c>
      <c r="J132" s="15" t="n">
        <f aca="false">ROUND(H132-I132,2)</f>
        <v>0</v>
      </c>
      <c r="K132" s="26" t="str">
        <f aca="false">IF(ABS(J132)&lt;0.05,"OK","Verificar")</f>
        <v>OK</v>
      </c>
    </row>
    <row r="133" customFormat="false" ht="15" hidden="false" customHeight="false" outlineLevel="0" collapsed="false">
      <c r="A133" s="3" t="n">
        <v>2</v>
      </c>
      <c r="B133" s="24" t="n">
        <v>46054</v>
      </c>
      <c r="C133" s="3" t="s">
        <v>360</v>
      </c>
      <c r="D133" s="3" t="s">
        <v>224</v>
      </c>
      <c r="E133" s="3" t="n">
        <f aca="false">COUNTIF('NF x Centro de Custo'!$C$5:$C$1270,$C133)</f>
        <v>1</v>
      </c>
      <c r="F133" s="15" t="n">
        <f aca="false">SUMIFS('NF x Centro de Custo'!$F$5:$F$1270,'NF x Centro de Custo'!$C$5:$C$1270,$C133)</f>
        <v>442.22</v>
      </c>
      <c r="G133" s="15" t="n">
        <f aca="false">SUMIFS('NF x Centro de Custo'!$G$5:$G$1270,'NF x Centro de Custo'!$C$5:$C$1270,$C133)</f>
        <v>153.27</v>
      </c>
      <c r="H133" s="15" t="n">
        <f aca="false">F133+G133</f>
        <v>595.49</v>
      </c>
      <c r="I133" s="25" t="n">
        <v>595.49</v>
      </c>
      <c r="J133" s="15" t="n">
        <f aca="false">ROUND(H133-I133,2)</f>
        <v>0</v>
      </c>
      <c r="K133" s="26" t="str">
        <f aca="false">IF(ABS(J133)&lt;0.05,"OK","Verificar")</f>
        <v>OK</v>
      </c>
    </row>
    <row r="134" customFormat="false" ht="15" hidden="false" customHeight="false" outlineLevel="0" collapsed="false">
      <c r="A134" s="3" t="n">
        <v>2</v>
      </c>
      <c r="B134" s="24" t="n">
        <v>46054</v>
      </c>
      <c r="C134" s="3" t="s">
        <v>361</v>
      </c>
      <c r="D134" s="3" t="s">
        <v>237</v>
      </c>
      <c r="E134" s="3" t="n">
        <f aca="false">COUNTIF('NF x Centro de Custo'!$C$5:$C$1270,$C134)</f>
        <v>1</v>
      </c>
      <c r="F134" s="15" t="n">
        <f aca="false">SUMIFS('NF x Centro de Custo'!$F$5:$F$1270,'NF x Centro de Custo'!$C$5:$C$1270,$C134)</f>
        <v>8005.1</v>
      </c>
      <c r="G134" s="15" t="n">
        <f aca="false">SUMIFS('NF x Centro de Custo'!$G$5:$G$1270,'NF x Centro de Custo'!$C$5:$C$1270,$C134)</f>
        <v>2783.69</v>
      </c>
      <c r="H134" s="15" t="n">
        <f aca="false">F134+G134</f>
        <v>10788.79</v>
      </c>
      <c r="I134" s="25" t="n">
        <v>10788.79</v>
      </c>
      <c r="J134" s="15" t="n">
        <f aca="false">ROUND(H134-I134,2)</f>
        <v>0</v>
      </c>
      <c r="K134" s="26" t="str">
        <f aca="false">IF(ABS(J134)&lt;0.05,"OK","Verificar")</f>
        <v>OK</v>
      </c>
    </row>
    <row r="135" customFormat="false" ht="15" hidden="false" customHeight="false" outlineLevel="0" collapsed="false">
      <c r="A135" s="3" t="n">
        <v>2</v>
      </c>
      <c r="B135" s="24" t="n">
        <v>46054</v>
      </c>
      <c r="C135" s="3" t="s">
        <v>362</v>
      </c>
      <c r="D135" s="3" t="s">
        <v>228</v>
      </c>
      <c r="E135" s="3" t="n">
        <f aca="false">COUNTIF('NF x Centro de Custo'!$C$5:$C$1270,$C135)</f>
        <v>2</v>
      </c>
      <c r="F135" s="15" t="n">
        <f aca="false">SUMIFS('NF x Centro de Custo'!$F$5:$F$1270,'NF x Centro de Custo'!$C$5:$C$1270,$C135)</f>
        <v>58489.45</v>
      </c>
      <c r="G135" s="15" t="n">
        <f aca="false">SUMIFS('NF x Centro de Custo'!$G$5:$G$1270,'NF x Centro de Custo'!$C$5:$C$1270,$C135)</f>
        <v>20372.27</v>
      </c>
      <c r="H135" s="15" t="n">
        <f aca="false">F135+G135</f>
        <v>78861.72</v>
      </c>
      <c r="I135" s="25" t="n">
        <v>78861.72</v>
      </c>
      <c r="J135" s="15" t="n">
        <f aca="false">ROUND(H135-I135,2)</f>
        <v>0</v>
      </c>
      <c r="K135" s="26" t="str">
        <f aca="false">IF(ABS(J135)&lt;0.05,"OK","Verificar")</f>
        <v>OK</v>
      </c>
    </row>
    <row r="136" customFormat="false" ht="15" hidden="false" customHeight="false" outlineLevel="0" collapsed="false">
      <c r="A136" s="3" t="n">
        <v>2</v>
      </c>
      <c r="B136" s="24" t="n">
        <v>46054</v>
      </c>
      <c r="C136" s="3" t="s">
        <v>363</v>
      </c>
      <c r="D136" s="3" t="s">
        <v>212</v>
      </c>
      <c r="E136" s="3" t="n">
        <f aca="false">COUNTIF('NF x Centro de Custo'!$C$5:$C$1270,$C136)</f>
        <v>1</v>
      </c>
      <c r="F136" s="15" t="n">
        <f aca="false">SUMIFS('NF x Centro de Custo'!$F$5:$F$1270,'NF x Centro de Custo'!$C$5:$C$1270,$C136)</f>
        <v>9290.45</v>
      </c>
      <c r="G136" s="15" t="n">
        <f aca="false">SUMIFS('NF x Centro de Custo'!$G$5:$G$1270,'NF x Centro de Custo'!$C$5:$C$1270,$C136)</f>
        <v>2795.22</v>
      </c>
      <c r="H136" s="15" t="n">
        <f aca="false">F136+G136</f>
        <v>12085.67</v>
      </c>
      <c r="I136" s="25" t="n">
        <v>12085.67</v>
      </c>
      <c r="J136" s="15" t="n">
        <f aca="false">ROUND(H136-I136,2)</f>
        <v>0</v>
      </c>
      <c r="K136" s="26" t="str">
        <f aca="false">IF(ABS(J136)&lt;0.05,"OK","Verificar")</f>
        <v>OK</v>
      </c>
    </row>
    <row r="137" customFormat="false" ht="15" hidden="false" customHeight="false" outlineLevel="0" collapsed="false">
      <c r="A137" s="3" t="n">
        <v>2</v>
      </c>
      <c r="B137" s="24" t="n">
        <v>46054</v>
      </c>
      <c r="C137" s="3" t="s">
        <v>364</v>
      </c>
      <c r="D137" s="3" t="s">
        <v>226</v>
      </c>
      <c r="E137" s="3" t="n">
        <f aca="false">COUNTIF('NF x Centro de Custo'!$C$5:$C$1270,$C137)</f>
        <v>1</v>
      </c>
      <c r="F137" s="15" t="n">
        <f aca="false">SUMIFS('NF x Centro de Custo'!$F$5:$F$1270,'NF x Centro de Custo'!$C$5:$C$1270,$C137)</f>
        <v>28823.02</v>
      </c>
      <c r="G137" s="15" t="n">
        <f aca="false">SUMIFS('NF x Centro de Custo'!$G$5:$G$1270,'NF x Centro de Custo'!$C$5:$C$1270,$C137)</f>
        <v>8684.08</v>
      </c>
      <c r="H137" s="15" t="n">
        <f aca="false">F137+G137</f>
        <v>37507.1</v>
      </c>
      <c r="I137" s="25" t="n">
        <v>37507.1</v>
      </c>
      <c r="J137" s="15" t="n">
        <f aca="false">ROUND(H137-I137,2)</f>
        <v>0</v>
      </c>
      <c r="K137" s="26" t="str">
        <f aca="false">IF(ABS(J137)&lt;0.05,"OK","Verificar")</f>
        <v>OK</v>
      </c>
    </row>
    <row r="138" customFormat="false" ht="15" hidden="false" customHeight="false" outlineLevel="0" collapsed="false">
      <c r="A138" s="3" t="n">
        <v>2</v>
      </c>
      <c r="B138" s="24" t="n">
        <v>46054</v>
      </c>
      <c r="C138" s="3" t="s">
        <v>365</v>
      </c>
      <c r="D138" s="3" t="s">
        <v>222</v>
      </c>
      <c r="E138" s="3" t="n">
        <f aca="false">COUNTIF('NF x Centro de Custo'!$C$5:$C$1270,$C138)</f>
        <v>4</v>
      </c>
      <c r="F138" s="15" t="n">
        <f aca="false">SUMIFS('NF x Centro de Custo'!$F$5:$F$1270,'NF x Centro de Custo'!$C$5:$C$1270,$C138)</f>
        <v>67279.2</v>
      </c>
      <c r="G138" s="15" t="n">
        <f aca="false">SUMIFS('NF x Centro de Custo'!$G$5:$G$1270,'NF x Centro de Custo'!$C$5:$C$1270,$C138)</f>
        <v>0</v>
      </c>
      <c r="H138" s="15" t="n">
        <f aca="false">F138+G138</f>
        <v>67279.2</v>
      </c>
      <c r="I138" s="25" t="n">
        <v>67279.2</v>
      </c>
      <c r="J138" s="15" t="n">
        <f aca="false">ROUND(H138-I138,2)</f>
        <v>0</v>
      </c>
      <c r="K138" s="26" t="str">
        <f aca="false">IF(ABS(J138)&lt;0.05,"OK","Verificar")</f>
        <v>OK</v>
      </c>
    </row>
    <row r="139" customFormat="false" ht="15" hidden="false" customHeight="false" outlineLevel="0" collapsed="false">
      <c r="A139" s="3" t="n">
        <v>2</v>
      </c>
      <c r="B139" s="24" t="n">
        <v>46054</v>
      </c>
      <c r="C139" s="3" t="s">
        <v>366</v>
      </c>
      <c r="D139" s="3" t="s">
        <v>222</v>
      </c>
      <c r="E139" s="3" t="n">
        <f aca="false">COUNTIF('NF x Centro de Custo'!$C$5:$C$1270,$C139)</f>
        <v>4</v>
      </c>
      <c r="F139" s="15" t="n">
        <f aca="false">SUMIFS('NF x Centro de Custo'!$F$5:$F$1270,'NF x Centro de Custo'!$C$5:$C$1270,$C139)</f>
        <v>4926.26</v>
      </c>
      <c r="G139" s="15" t="n">
        <f aca="false">SUMIFS('NF x Centro de Custo'!$G$5:$G$1270,'NF x Centro de Custo'!$C$5:$C$1270,$C139)</f>
        <v>0</v>
      </c>
      <c r="H139" s="15" t="n">
        <f aca="false">F139+G139</f>
        <v>4926.26</v>
      </c>
      <c r="I139" s="25" t="n">
        <v>4926.26</v>
      </c>
      <c r="J139" s="15" t="n">
        <f aca="false">ROUND(H139-I139,2)</f>
        <v>0</v>
      </c>
      <c r="K139" s="26" t="str">
        <f aca="false">IF(ABS(J139)&lt;0.05,"OK","Verificar")</f>
        <v>OK</v>
      </c>
    </row>
    <row r="140" customFormat="false" ht="15" hidden="false" customHeight="false" outlineLevel="0" collapsed="false">
      <c r="A140" s="3" t="n">
        <v>2</v>
      </c>
      <c r="B140" s="24" t="n">
        <v>46054</v>
      </c>
      <c r="C140" s="3" t="s">
        <v>367</v>
      </c>
      <c r="D140" s="3" t="s">
        <v>222</v>
      </c>
      <c r="E140" s="3" t="n">
        <f aca="false">COUNTIF('NF x Centro de Custo'!$C$5:$C$1270,$C140)</f>
        <v>14</v>
      </c>
      <c r="F140" s="15" t="n">
        <f aca="false">SUMIFS('NF x Centro de Custo'!$F$5:$F$1270,'NF x Centro de Custo'!$C$5:$C$1270,$C140)</f>
        <v>216881.04</v>
      </c>
      <c r="G140" s="15" t="n">
        <f aca="false">SUMIFS('NF x Centro de Custo'!$G$5:$G$1270,'NF x Centro de Custo'!$C$5:$C$1270,$C140)</f>
        <v>0</v>
      </c>
      <c r="H140" s="15" t="n">
        <f aca="false">F140+G140</f>
        <v>216881.04</v>
      </c>
      <c r="I140" s="25" t="n">
        <v>216881.04</v>
      </c>
      <c r="J140" s="15" t="n">
        <f aca="false">ROUND(H140-I140,2)</f>
        <v>0</v>
      </c>
      <c r="K140" s="26" t="str">
        <f aca="false">IF(ABS(J140)&lt;0.05,"OK","Verificar")</f>
        <v>OK</v>
      </c>
    </row>
    <row r="141" customFormat="false" ht="15" hidden="false" customHeight="false" outlineLevel="0" collapsed="false">
      <c r="A141" s="3" t="n">
        <v>2</v>
      </c>
      <c r="B141" s="24" t="n">
        <v>46054</v>
      </c>
      <c r="C141" s="3" t="s">
        <v>368</v>
      </c>
      <c r="D141" s="3" t="s">
        <v>222</v>
      </c>
      <c r="E141" s="3" t="n">
        <f aca="false">COUNTIF('NF x Centro de Custo'!$C$5:$C$1270,$C141)</f>
        <v>10</v>
      </c>
      <c r="F141" s="15" t="n">
        <f aca="false">SUMIFS('NF x Centro de Custo'!$F$5:$F$1270,'NF x Centro de Custo'!$C$5:$C$1270,$C141)</f>
        <v>15212.35</v>
      </c>
      <c r="G141" s="15" t="n">
        <f aca="false">SUMIFS('NF x Centro de Custo'!$G$5:$G$1270,'NF x Centro de Custo'!$C$5:$C$1270,$C141)</f>
        <v>0</v>
      </c>
      <c r="H141" s="15" t="n">
        <f aca="false">F141+G141</f>
        <v>15212.35</v>
      </c>
      <c r="I141" s="25" t="n">
        <v>15212.35</v>
      </c>
      <c r="J141" s="15" t="n">
        <f aca="false">ROUND(H141-I141,2)</f>
        <v>0</v>
      </c>
      <c r="K141" s="26" t="str">
        <f aca="false">IF(ABS(J141)&lt;0.05,"OK","Verificar")</f>
        <v>OK</v>
      </c>
    </row>
    <row r="142" customFormat="false" ht="15" hidden="false" customHeight="false" outlineLevel="0" collapsed="false">
      <c r="A142" s="3" t="n">
        <v>2</v>
      </c>
      <c r="B142" s="24" t="n">
        <v>46054</v>
      </c>
      <c r="C142" s="3" t="s">
        <v>369</v>
      </c>
      <c r="D142" s="3" t="s">
        <v>222</v>
      </c>
      <c r="E142" s="3" t="n">
        <f aca="false">COUNTIF('NF x Centro de Custo'!$C$5:$C$1270,$C142)</f>
        <v>2</v>
      </c>
      <c r="F142" s="15" t="n">
        <f aca="false">SUMIFS('NF x Centro de Custo'!$F$5:$F$1270,'NF x Centro de Custo'!$C$5:$C$1270,$C142)</f>
        <v>1354.02</v>
      </c>
      <c r="G142" s="15" t="n">
        <f aca="false">SUMIFS('NF x Centro de Custo'!$G$5:$G$1270,'NF x Centro de Custo'!$C$5:$C$1270,$C142)</f>
        <v>0</v>
      </c>
      <c r="H142" s="15" t="n">
        <f aca="false">F142+G142</f>
        <v>1354.02</v>
      </c>
      <c r="I142" s="25" t="n">
        <v>1354.02</v>
      </c>
      <c r="J142" s="15" t="n">
        <f aca="false">ROUND(H142-I142,2)</f>
        <v>0</v>
      </c>
      <c r="K142" s="26" t="str">
        <f aca="false">IF(ABS(J142)&lt;0.05,"OK","Verificar")</f>
        <v>OK</v>
      </c>
    </row>
    <row r="143" customFormat="false" ht="15" hidden="false" customHeight="false" outlineLevel="0" collapsed="false">
      <c r="A143" s="3" t="n">
        <v>2</v>
      </c>
      <c r="B143" s="24" t="n">
        <v>46054</v>
      </c>
      <c r="C143" s="3" t="s">
        <v>370</v>
      </c>
      <c r="D143" s="3" t="s">
        <v>212</v>
      </c>
      <c r="E143" s="3" t="n">
        <f aca="false">COUNTIF('NF x Centro de Custo'!$C$5:$C$1270,$C143)</f>
        <v>8</v>
      </c>
      <c r="F143" s="15" t="n">
        <f aca="false">SUMIFS('NF x Centro de Custo'!$F$5:$F$1270,'NF x Centro de Custo'!$C$5:$C$1270,$C143)</f>
        <v>41990.77</v>
      </c>
      <c r="G143" s="15" t="n">
        <f aca="false">SUMIFS('NF x Centro de Custo'!$G$5:$G$1270,'NF x Centro de Custo'!$C$5:$C$1270,$C143)</f>
        <v>0</v>
      </c>
      <c r="H143" s="15" t="n">
        <f aca="false">F143+G143</f>
        <v>41990.77</v>
      </c>
      <c r="I143" s="25" t="n">
        <v>41990.77</v>
      </c>
      <c r="J143" s="15" t="n">
        <f aca="false">ROUND(H143-I143,2)</f>
        <v>0</v>
      </c>
      <c r="K143" s="26" t="str">
        <f aca="false">IF(ABS(J143)&lt;0.05,"OK","Verificar")</f>
        <v>OK</v>
      </c>
    </row>
    <row r="144" customFormat="false" ht="15" hidden="false" customHeight="false" outlineLevel="0" collapsed="false">
      <c r="A144" s="3" t="n">
        <v>2</v>
      </c>
      <c r="B144" s="24" t="n">
        <v>46054</v>
      </c>
      <c r="C144" s="3" t="s">
        <v>371</v>
      </c>
      <c r="D144" s="3" t="s">
        <v>222</v>
      </c>
      <c r="E144" s="3" t="n">
        <f aca="false">COUNTIF('NF x Centro de Custo'!$C$5:$C$1270,$C144)</f>
        <v>4</v>
      </c>
      <c r="F144" s="15" t="n">
        <f aca="false">SUMIFS('NF x Centro de Custo'!$F$5:$F$1270,'NF x Centro de Custo'!$C$5:$C$1270,$C144)</f>
        <v>13014.4</v>
      </c>
      <c r="G144" s="15" t="n">
        <f aca="false">SUMIFS('NF x Centro de Custo'!$G$5:$G$1270,'NF x Centro de Custo'!$C$5:$C$1270,$C144)</f>
        <v>0</v>
      </c>
      <c r="H144" s="15" t="n">
        <f aca="false">F144+G144</f>
        <v>13014.4</v>
      </c>
      <c r="I144" s="25" t="n">
        <v>13014.4</v>
      </c>
      <c r="J144" s="15" t="n">
        <f aca="false">ROUND(H144-I144,2)</f>
        <v>0</v>
      </c>
      <c r="K144" s="26" t="str">
        <f aca="false">IF(ABS(J144)&lt;0.05,"OK","Verificar")</f>
        <v>OK</v>
      </c>
    </row>
    <row r="145" customFormat="false" ht="15" hidden="false" customHeight="false" outlineLevel="0" collapsed="false">
      <c r="A145" s="3" t="n">
        <v>2</v>
      </c>
      <c r="B145" s="24" t="n">
        <v>46054</v>
      </c>
      <c r="C145" s="3" t="s">
        <v>372</v>
      </c>
      <c r="D145" s="3" t="s">
        <v>214</v>
      </c>
      <c r="E145" s="3" t="n">
        <f aca="false">COUNTIF('NF x Centro de Custo'!$C$5:$C$1270,$C145)</f>
        <v>1</v>
      </c>
      <c r="F145" s="15" t="n">
        <f aca="false">SUMIFS('NF x Centro de Custo'!$F$5:$F$1270,'NF x Centro de Custo'!$C$5:$C$1270,$C145)</f>
        <v>1270.52</v>
      </c>
      <c r="G145" s="15" t="n">
        <f aca="false">SUMIFS('NF x Centro de Custo'!$G$5:$G$1270,'NF x Centro de Custo'!$C$5:$C$1270,$C145)</f>
        <v>0</v>
      </c>
      <c r="H145" s="15" t="n">
        <f aca="false">F145+G145</f>
        <v>1270.52</v>
      </c>
      <c r="I145" s="25" t="n">
        <v>1270.52</v>
      </c>
      <c r="J145" s="15" t="n">
        <f aca="false">ROUND(H145-I145,2)</f>
        <v>0</v>
      </c>
      <c r="K145" s="26" t="str">
        <f aca="false">IF(ABS(J145)&lt;0.05,"OK","Verificar")</f>
        <v>OK</v>
      </c>
    </row>
    <row r="146" customFormat="false" ht="15" hidden="false" customHeight="false" outlineLevel="0" collapsed="false">
      <c r="A146" s="3" t="n">
        <v>2</v>
      </c>
      <c r="B146" s="24" t="n">
        <v>46054</v>
      </c>
      <c r="C146" s="3" t="s">
        <v>373</v>
      </c>
      <c r="D146" s="3" t="s">
        <v>214</v>
      </c>
      <c r="E146" s="3" t="n">
        <f aca="false">COUNTIF('NF x Centro de Custo'!$C$5:$C$1270,$C146)</f>
        <v>1</v>
      </c>
      <c r="F146" s="15" t="n">
        <f aca="false">SUMIFS('NF x Centro de Custo'!$F$5:$F$1270,'NF x Centro de Custo'!$C$5:$C$1270,$C146)</f>
        <v>1839.19</v>
      </c>
      <c r="G146" s="15" t="n">
        <f aca="false">SUMIFS('NF x Centro de Custo'!$G$5:$G$1270,'NF x Centro de Custo'!$C$5:$C$1270,$C146)</f>
        <v>0</v>
      </c>
      <c r="H146" s="15" t="n">
        <f aca="false">F146+G146</f>
        <v>1839.19</v>
      </c>
      <c r="I146" s="25" t="n">
        <v>1839.19</v>
      </c>
      <c r="J146" s="15" t="n">
        <f aca="false">ROUND(H146-I146,2)</f>
        <v>0</v>
      </c>
      <c r="K146" s="26" t="str">
        <f aca="false">IF(ABS(J146)&lt;0.05,"OK","Verificar")</f>
        <v>OK</v>
      </c>
    </row>
    <row r="147" customFormat="false" ht="15" hidden="false" customHeight="false" outlineLevel="0" collapsed="false">
      <c r="A147" s="3" t="n">
        <v>2</v>
      </c>
      <c r="B147" s="24" t="n">
        <v>46054</v>
      </c>
      <c r="C147" s="3" t="s">
        <v>374</v>
      </c>
      <c r="D147" s="3" t="s">
        <v>231</v>
      </c>
      <c r="E147" s="3" t="n">
        <f aca="false">COUNTIF('NF x Centro de Custo'!$C$5:$C$1270,$C147)</f>
        <v>1</v>
      </c>
      <c r="F147" s="15" t="n">
        <f aca="false">SUMIFS('NF x Centro de Custo'!$F$5:$F$1270,'NF x Centro de Custo'!$C$5:$C$1270,$C147)</f>
        <v>6438.7</v>
      </c>
      <c r="G147" s="15" t="n">
        <f aca="false">SUMIFS('NF x Centro de Custo'!$G$5:$G$1270,'NF x Centro de Custo'!$C$5:$C$1270,$C147)</f>
        <v>0</v>
      </c>
      <c r="H147" s="15" t="n">
        <f aca="false">F147+G147</f>
        <v>6438.7</v>
      </c>
      <c r="I147" s="25" t="n">
        <v>6438.7</v>
      </c>
      <c r="J147" s="15" t="n">
        <f aca="false">ROUND(H147-I147,2)</f>
        <v>0</v>
      </c>
      <c r="K147" s="26" t="str">
        <f aca="false">IF(ABS(J147)&lt;0.05,"OK","Verificar")</f>
        <v>OK</v>
      </c>
    </row>
    <row r="148" customFormat="false" ht="15" hidden="false" customHeight="false" outlineLevel="0" collapsed="false">
      <c r="A148" s="3" t="n">
        <v>2</v>
      </c>
      <c r="B148" s="24" t="n">
        <v>46054</v>
      </c>
      <c r="C148" s="3" t="s">
        <v>375</v>
      </c>
      <c r="D148" s="3" t="s">
        <v>231</v>
      </c>
      <c r="E148" s="3" t="n">
        <f aca="false">COUNTIF('NF x Centro de Custo'!$C$5:$C$1270,$C148)</f>
        <v>1</v>
      </c>
      <c r="F148" s="15" t="n">
        <f aca="false">SUMIFS('NF x Centro de Custo'!$F$5:$F$1270,'NF x Centro de Custo'!$C$5:$C$1270,$C148)</f>
        <v>16886.03</v>
      </c>
      <c r="G148" s="15" t="n">
        <f aca="false">SUMIFS('NF x Centro de Custo'!$G$5:$G$1270,'NF x Centro de Custo'!$C$5:$C$1270,$C148)</f>
        <v>0</v>
      </c>
      <c r="H148" s="15" t="n">
        <f aca="false">F148+G148</f>
        <v>16886.03</v>
      </c>
      <c r="I148" s="25" t="n">
        <v>16886.03</v>
      </c>
      <c r="J148" s="15" t="n">
        <f aca="false">ROUND(H148-I148,2)</f>
        <v>0</v>
      </c>
      <c r="K148" s="26" t="str">
        <f aca="false">IF(ABS(J148)&lt;0.05,"OK","Verificar")</f>
        <v>OK</v>
      </c>
    </row>
    <row r="149" customFormat="false" ht="15" hidden="false" customHeight="false" outlineLevel="0" collapsed="false">
      <c r="A149" s="3" t="n">
        <v>2</v>
      </c>
      <c r="B149" s="24" t="n">
        <v>46054</v>
      </c>
      <c r="C149" s="3" t="s">
        <v>376</v>
      </c>
      <c r="D149" s="3" t="s">
        <v>234</v>
      </c>
      <c r="E149" s="3" t="n">
        <f aca="false">COUNTIF('NF x Centro de Custo'!$C$5:$C$1270,$C149)</f>
        <v>1</v>
      </c>
      <c r="F149" s="15" t="n">
        <f aca="false">SUMIFS('NF x Centro de Custo'!$F$5:$F$1270,'NF x Centro de Custo'!$C$5:$C$1270,$C149)</f>
        <v>5674.1</v>
      </c>
      <c r="G149" s="15" t="n">
        <f aca="false">SUMIFS('NF x Centro de Custo'!$G$5:$G$1270,'NF x Centro de Custo'!$C$5:$C$1270,$C149)</f>
        <v>0</v>
      </c>
      <c r="H149" s="15" t="n">
        <f aca="false">F149+G149</f>
        <v>5674.1</v>
      </c>
      <c r="I149" s="25" t="n">
        <v>5674.1</v>
      </c>
      <c r="J149" s="15" t="n">
        <f aca="false">ROUND(H149-I149,2)</f>
        <v>0</v>
      </c>
      <c r="K149" s="26" t="str">
        <f aca="false">IF(ABS(J149)&lt;0.05,"OK","Verificar")</f>
        <v>OK</v>
      </c>
    </row>
    <row r="150" customFormat="false" ht="15" hidden="false" customHeight="false" outlineLevel="0" collapsed="false">
      <c r="A150" s="3" t="n">
        <v>2</v>
      </c>
      <c r="B150" s="24" t="n">
        <v>46054</v>
      </c>
      <c r="C150" s="3" t="s">
        <v>377</v>
      </c>
      <c r="D150" s="3" t="s">
        <v>234</v>
      </c>
      <c r="E150" s="3" t="n">
        <f aca="false">COUNTIF('NF x Centro de Custo'!$C$5:$C$1270,$C150)</f>
        <v>1</v>
      </c>
      <c r="F150" s="15" t="n">
        <f aca="false">SUMIFS('NF x Centro de Custo'!$F$5:$F$1270,'NF x Centro de Custo'!$C$5:$C$1270,$C150)</f>
        <v>10897.43</v>
      </c>
      <c r="G150" s="15" t="n">
        <f aca="false">SUMIFS('NF x Centro de Custo'!$G$5:$G$1270,'NF x Centro de Custo'!$C$5:$C$1270,$C150)</f>
        <v>0</v>
      </c>
      <c r="H150" s="15" t="n">
        <f aca="false">F150+G150</f>
        <v>10897.43</v>
      </c>
      <c r="I150" s="25" t="n">
        <v>10897.43</v>
      </c>
      <c r="J150" s="15" t="n">
        <f aca="false">ROUND(H150-I150,2)</f>
        <v>0</v>
      </c>
      <c r="K150" s="26" t="str">
        <f aca="false">IF(ABS(J150)&lt;0.05,"OK","Verificar")</f>
        <v>OK</v>
      </c>
    </row>
    <row r="151" customFormat="false" ht="15" hidden="false" customHeight="false" outlineLevel="0" collapsed="false">
      <c r="A151" s="3" t="n">
        <v>2</v>
      </c>
      <c r="B151" s="24" t="n">
        <v>46054</v>
      </c>
      <c r="C151" s="3" t="s">
        <v>378</v>
      </c>
      <c r="D151" s="3" t="s">
        <v>237</v>
      </c>
      <c r="E151" s="3" t="n">
        <f aca="false">COUNTIF('NF x Centro de Custo'!$C$5:$C$1270,$C151)</f>
        <v>1</v>
      </c>
      <c r="F151" s="15" t="n">
        <f aca="false">SUMIFS('NF x Centro de Custo'!$F$5:$F$1270,'NF x Centro de Custo'!$C$5:$C$1270,$C151)</f>
        <v>3464.4</v>
      </c>
      <c r="G151" s="15" t="n">
        <f aca="false">SUMIFS('NF x Centro de Custo'!$G$5:$G$1270,'NF x Centro de Custo'!$C$5:$C$1270,$C151)</f>
        <v>0</v>
      </c>
      <c r="H151" s="15" t="n">
        <f aca="false">F151+G151</f>
        <v>3464.4</v>
      </c>
      <c r="I151" s="25" t="n">
        <v>3464.4</v>
      </c>
      <c r="J151" s="15" t="n">
        <f aca="false">ROUND(H151-I151,2)</f>
        <v>0</v>
      </c>
      <c r="K151" s="26" t="str">
        <f aca="false">IF(ABS(J151)&lt;0.05,"OK","Verificar")</f>
        <v>OK</v>
      </c>
    </row>
    <row r="152" customFormat="false" ht="15" hidden="false" customHeight="false" outlineLevel="0" collapsed="false">
      <c r="A152" s="3" t="n">
        <v>2</v>
      </c>
      <c r="B152" s="24" t="n">
        <v>46054</v>
      </c>
      <c r="C152" s="3" t="s">
        <v>379</v>
      </c>
      <c r="D152" s="3" t="s">
        <v>237</v>
      </c>
      <c r="E152" s="3" t="n">
        <f aca="false">COUNTIF('NF x Centro de Custo'!$C$5:$C$1270,$C152)</f>
        <v>1</v>
      </c>
      <c r="F152" s="15" t="n">
        <f aca="false">SUMIFS('NF x Centro de Custo'!$F$5:$F$1270,'NF x Centro de Custo'!$C$5:$C$1270,$C152)</f>
        <v>14537.02</v>
      </c>
      <c r="G152" s="15" t="n">
        <f aca="false">SUMIFS('NF x Centro de Custo'!$G$5:$G$1270,'NF x Centro de Custo'!$C$5:$C$1270,$C152)</f>
        <v>0</v>
      </c>
      <c r="H152" s="15" t="n">
        <f aca="false">F152+G152</f>
        <v>14537.02</v>
      </c>
      <c r="I152" s="25" t="n">
        <v>14537.02</v>
      </c>
      <c r="J152" s="15" t="n">
        <f aca="false">ROUND(H152-I152,2)</f>
        <v>0</v>
      </c>
      <c r="K152" s="26" t="str">
        <f aca="false">IF(ABS(J152)&lt;0.05,"OK","Verificar")</f>
        <v>OK</v>
      </c>
    </row>
    <row r="153" customFormat="false" ht="15" hidden="false" customHeight="false" outlineLevel="0" collapsed="false">
      <c r="A153" s="3" t="n">
        <v>2</v>
      </c>
      <c r="B153" s="24" t="n">
        <v>46054</v>
      </c>
      <c r="C153" s="3" t="s">
        <v>380</v>
      </c>
      <c r="D153" s="3" t="s">
        <v>237</v>
      </c>
      <c r="E153" s="3" t="n">
        <f aca="false">COUNTIF('NF x Centro de Custo'!$C$5:$C$1270,$C153)</f>
        <v>2</v>
      </c>
      <c r="F153" s="15" t="n">
        <f aca="false">SUMIFS('NF x Centro de Custo'!$F$5:$F$1270,'NF x Centro de Custo'!$C$5:$C$1270,$C153)</f>
        <v>52278.68</v>
      </c>
      <c r="G153" s="15" t="n">
        <f aca="false">SUMIFS('NF x Centro de Custo'!$G$5:$G$1270,'NF x Centro de Custo'!$C$5:$C$1270,$C153)</f>
        <v>0</v>
      </c>
      <c r="H153" s="15" t="n">
        <f aca="false">F153+G153</f>
        <v>52278.68</v>
      </c>
      <c r="I153" s="25" t="n">
        <v>52278.68</v>
      </c>
      <c r="J153" s="15" t="n">
        <f aca="false">ROUND(H153-I153,2)</f>
        <v>0</v>
      </c>
      <c r="K153" s="26" t="str">
        <f aca="false">IF(ABS(J153)&lt;0.05,"OK","Verificar")</f>
        <v>OK</v>
      </c>
    </row>
    <row r="154" customFormat="false" ht="15" hidden="false" customHeight="false" outlineLevel="0" collapsed="false">
      <c r="A154" s="3" t="n">
        <v>2</v>
      </c>
      <c r="B154" s="24" t="n">
        <v>46054</v>
      </c>
      <c r="C154" s="3" t="s">
        <v>381</v>
      </c>
      <c r="D154" s="3" t="s">
        <v>226</v>
      </c>
      <c r="E154" s="3" t="n">
        <f aca="false">COUNTIF('NF x Centro de Custo'!$C$5:$C$1270,$C154)</f>
        <v>5</v>
      </c>
      <c r="F154" s="15" t="n">
        <f aca="false">SUMIFS('NF x Centro de Custo'!$F$5:$F$1270,'NF x Centro de Custo'!$C$5:$C$1270,$C154)</f>
        <v>50982.61</v>
      </c>
      <c r="G154" s="15" t="n">
        <f aca="false">SUMIFS('NF x Centro de Custo'!$G$5:$G$1270,'NF x Centro de Custo'!$C$5:$C$1270,$C154)</f>
        <v>0</v>
      </c>
      <c r="H154" s="15" t="n">
        <f aca="false">F154+G154</f>
        <v>50982.61</v>
      </c>
      <c r="I154" s="25" t="n">
        <v>50982.61</v>
      </c>
      <c r="J154" s="15" t="n">
        <f aca="false">ROUND(H154-I154,2)</f>
        <v>0</v>
      </c>
      <c r="K154" s="26" t="str">
        <f aca="false">IF(ABS(J154)&lt;0.05,"OK","Verificar")</f>
        <v>OK</v>
      </c>
    </row>
    <row r="155" customFormat="false" ht="15" hidden="false" customHeight="false" outlineLevel="0" collapsed="false">
      <c r="A155" s="3" t="n">
        <v>2</v>
      </c>
      <c r="B155" s="24" t="n">
        <v>46054</v>
      </c>
      <c r="C155" s="3" t="s">
        <v>382</v>
      </c>
      <c r="D155" s="3" t="s">
        <v>226</v>
      </c>
      <c r="E155" s="3" t="n">
        <f aca="false">COUNTIF('NF x Centro de Custo'!$C$5:$C$1270,$C155)</f>
        <v>1</v>
      </c>
      <c r="F155" s="15" t="n">
        <f aca="false">SUMIFS('NF x Centro de Custo'!$F$5:$F$1270,'NF x Centro de Custo'!$C$5:$C$1270,$C155)</f>
        <v>2087.72</v>
      </c>
      <c r="G155" s="15" t="n">
        <f aca="false">SUMIFS('NF x Centro de Custo'!$G$5:$G$1270,'NF x Centro de Custo'!$C$5:$C$1270,$C155)</f>
        <v>0</v>
      </c>
      <c r="H155" s="15" t="n">
        <f aca="false">F155+G155</f>
        <v>2087.72</v>
      </c>
      <c r="I155" s="25" t="n">
        <v>2087.72</v>
      </c>
      <c r="J155" s="15" t="n">
        <f aca="false">ROUND(H155-I155,2)</f>
        <v>0</v>
      </c>
      <c r="K155" s="26" t="str">
        <f aca="false">IF(ABS(J155)&lt;0.05,"OK","Verificar")</f>
        <v>OK</v>
      </c>
    </row>
    <row r="156" customFormat="false" ht="15" hidden="false" customHeight="false" outlineLevel="0" collapsed="false">
      <c r="A156" s="3" t="n">
        <v>2</v>
      </c>
      <c r="B156" s="24" t="n">
        <v>46054</v>
      </c>
      <c r="C156" s="3" t="s">
        <v>383</v>
      </c>
      <c r="D156" s="3" t="s">
        <v>243</v>
      </c>
      <c r="E156" s="3" t="n">
        <f aca="false">COUNTIF('NF x Centro de Custo'!$C$5:$C$1270,$C156)</f>
        <v>1</v>
      </c>
      <c r="F156" s="15" t="n">
        <f aca="false">SUMIFS('NF x Centro de Custo'!$F$5:$F$1270,'NF x Centro de Custo'!$C$5:$C$1270,$C156)</f>
        <v>2506.91</v>
      </c>
      <c r="G156" s="15" t="n">
        <f aca="false">SUMIFS('NF x Centro de Custo'!$G$5:$G$1270,'NF x Centro de Custo'!$C$5:$C$1270,$C156)</f>
        <v>0</v>
      </c>
      <c r="H156" s="15" t="n">
        <f aca="false">F156+G156</f>
        <v>2506.91</v>
      </c>
      <c r="I156" s="25" t="n">
        <v>2506.91</v>
      </c>
      <c r="J156" s="15" t="n">
        <f aca="false">ROUND(H156-I156,2)</f>
        <v>0</v>
      </c>
      <c r="K156" s="26" t="str">
        <f aca="false">IF(ABS(J156)&lt;0.05,"OK","Verificar")</f>
        <v>OK</v>
      </c>
    </row>
    <row r="157" customFormat="false" ht="15" hidden="false" customHeight="false" outlineLevel="0" collapsed="false">
      <c r="A157" s="3" t="n">
        <v>2</v>
      </c>
      <c r="B157" s="24" t="n">
        <v>46054</v>
      </c>
      <c r="C157" s="3" t="s">
        <v>384</v>
      </c>
      <c r="D157" s="3" t="s">
        <v>243</v>
      </c>
      <c r="E157" s="3" t="n">
        <f aca="false">COUNTIF('NF x Centro de Custo'!$C$5:$C$1270,$C157)</f>
        <v>1</v>
      </c>
      <c r="F157" s="15" t="n">
        <f aca="false">SUMIFS('NF x Centro de Custo'!$F$5:$F$1270,'NF x Centro de Custo'!$C$5:$C$1270,$C157)</f>
        <v>6052.03</v>
      </c>
      <c r="G157" s="15" t="n">
        <f aca="false">SUMIFS('NF x Centro de Custo'!$G$5:$G$1270,'NF x Centro de Custo'!$C$5:$C$1270,$C157)</f>
        <v>0</v>
      </c>
      <c r="H157" s="15" t="n">
        <f aca="false">F157+G157</f>
        <v>6052.03</v>
      </c>
      <c r="I157" s="25" t="n">
        <v>6052.03</v>
      </c>
      <c r="J157" s="15" t="n">
        <f aca="false">ROUND(H157-I157,2)</f>
        <v>0</v>
      </c>
      <c r="K157" s="26" t="str">
        <f aca="false">IF(ABS(J157)&lt;0.05,"OK","Verificar")</f>
        <v>OK</v>
      </c>
    </row>
    <row r="158" customFormat="false" ht="15" hidden="false" customHeight="false" outlineLevel="0" collapsed="false">
      <c r="A158" s="3" t="n">
        <v>2</v>
      </c>
      <c r="B158" s="24" t="n">
        <v>46054</v>
      </c>
      <c r="C158" s="3" t="s">
        <v>385</v>
      </c>
      <c r="D158" s="3" t="s">
        <v>246</v>
      </c>
      <c r="E158" s="3" t="n">
        <f aca="false">COUNTIF('NF x Centro de Custo'!$C$5:$C$1270,$C158)</f>
        <v>1</v>
      </c>
      <c r="F158" s="15" t="n">
        <f aca="false">SUMIFS('NF x Centro de Custo'!$F$5:$F$1270,'NF x Centro de Custo'!$C$5:$C$1270,$C158)</f>
        <v>1684.2</v>
      </c>
      <c r="G158" s="15" t="n">
        <f aca="false">SUMIFS('NF x Centro de Custo'!$G$5:$G$1270,'NF x Centro de Custo'!$C$5:$C$1270,$C158)</f>
        <v>0</v>
      </c>
      <c r="H158" s="15" t="n">
        <f aca="false">F158+G158</f>
        <v>1684.2</v>
      </c>
      <c r="I158" s="25" t="n">
        <v>1684.2</v>
      </c>
      <c r="J158" s="15" t="n">
        <f aca="false">ROUND(H158-I158,2)</f>
        <v>0</v>
      </c>
      <c r="K158" s="26" t="str">
        <f aca="false">IF(ABS(J158)&lt;0.05,"OK","Verificar")</f>
        <v>OK</v>
      </c>
    </row>
    <row r="159" customFormat="false" ht="15" hidden="false" customHeight="false" outlineLevel="0" collapsed="false">
      <c r="A159" s="3" t="n">
        <v>2</v>
      </c>
      <c r="B159" s="24" t="n">
        <v>46054</v>
      </c>
      <c r="C159" s="3" t="s">
        <v>386</v>
      </c>
      <c r="D159" s="3" t="s">
        <v>246</v>
      </c>
      <c r="E159" s="3" t="n">
        <f aca="false">COUNTIF('NF x Centro de Custo'!$C$5:$C$1270,$C159)</f>
        <v>1</v>
      </c>
      <c r="F159" s="15" t="n">
        <f aca="false">SUMIFS('NF x Centro de Custo'!$F$5:$F$1270,'NF x Centro de Custo'!$C$5:$C$1270,$C159)</f>
        <v>830.1</v>
      </c>
      <c r="G159" s="15" t="n">
        <f aca="false">SUMIFS('NF x Centro de Custo'!$G$5:$G$1270,'NF x Centro de Custo'!$C$5:$C$1270,$C159)</f>
        <v>0</v>
      </c>
      <c r="H159" s="15" t="n">
        <f aca="false">F159+G159</f>
        <v>830.1</v>
      </c>
      <c r="I159" s="25" t="n">
        <v>830.1</v>
      </c>
      <c r="J159" s="15" t="n">
        <f aca="false">ROUND(H159-I159,2)</f>
        <v>0</v>
      </c>
      <c r="K159" s="26" t="str">
        <f aca="false">IF(ABS(J159)&lt;0.05,"OK","Verificar")</f>
        <v>OK</v>
      </c>
    </row>
    <row r="160" customFormat="false" ht="15" hidden="false" customHeight="false" outlineLevel="0" collapsed="false">
      <c r="A160" s="3" t="n">
        <v>2</v>
      </c>
      <c r="B160" s="24" t="n">
        <v>46054</v>
      </c>
      <c r="C160" s="3" t="s">
        <v>387</v>
      </c>
      <c r="D160" s="3" t="s">
        <v>249</v>
      </c>
      <c r="E160" s="3" t="n">
        <f aca="false">COUNTIF('NF x Centro de Custo'!$C$5:$C$1270,$C160)</f>
        <v>1</v>
      </c>
      <c r="F160" s="15" t="n">
        <f aca="false">SUMIFS('NF x Centro de Custo'!$F$5:$F$1270,'NF x Centro de Custo'!$C$5:$C$1270,$C160)</f>
        <v>5087.1</v>
      </c>
      <c r="G160" s="15" t="n">
        <f aca="false">SUMIFS('NF x Centro de Custo'!$G$5:$G$1270,'NF x Centro de Custo'!$C$5:$C$1270,$C160)</f>
        <v>0</v>
      </c>
      <c r="H160" s="15" t="n">
        <f aca="false">F160+G160</f>
        <v>5087.1</v>
      </c>
      <c r="I160" s="25" t="n">
        <v>5087.1</v>
      </c>
      <c r="J160" s="15" t="n">
        <f aca="false">ROUND(H160-I160,2)</f>
        <v>0</v>
      </c>
      <c r="K160" s="26" t="str">
        <f aca="false">IF(ABS(J160)&lt;0.05,"OK","Verificar")</f>
        <v>OK</v>
      </c>
    </row>
    <row r="161" customFormat="false" ht="15" hidden="false" customHeight="false" outlineLevel="0" collapsed="false">
      <c r="A161" s="3" t="n">
        <v>2</v>
      </c>
      <c r="B161" s="24" t="n">
        <v>46054</v>
      </c>
      <c r="C161" s="3" t="s">
        <v>388</v>
      </c>
      <c r="D161" s="3" t="s">
        <v>249</v>
      </c>
      <c r="E161" s="3" t="n">
        <f aca="false">COUNTIF('NF x Centro de Custo'!$C$5:$C$1270,$C161)</f>
        <v>1</v>
      </c>
      <c r="F161" s="15" t="n">
        <f aca="false">SUMIFS('NF x Centro de Custo'!$F$5:$F$1270,'NF x Centro de Custo'!$C$5:$C$1270,$C161)</f>
        <v>3627.4</v>
      </c>
      <c r="G161" s="15" t="n">
        <f aca="false">SUMIFS('NF x Centro de Custo'!$G$5:$G$1270,'NF x Centro de Custo'!$C$5:$C$1270,$C161)</f>
        <v>0</v>
      </c>
      <c r="H161" s="15" t="n">
        <f aca="false">F161+G161</f>
        <v>3627.4</v>
      </c>
      <c r="I161" s="25" t="n">
        <v>3627.4</v>
      </c>
      <c r="J161" s="15" t="n">
        <f aca="false">ROUND(H161-I161,2)</f>
        <v>0</v>
      </c>
      <c r="K161" s="26" t="str">
        <f aca="false">IF(ABS(J161)&lt;0.05,"OK","Verificar")</f>
        <v>OK</v>
      </c>
    </row>
    <row r="162" customFormat="false" ht="15" hidden="false" customHeight="false" outlineLevel="0" collapsed="false">
      <c r="A162" s="3" t="n">
        <v>2</v>
      </c>
      <c r="B162" s="24" t="n">
        <v>46054</v>
      </c>
      <c r="C162" s="3" t="s">
        <v>389</v>
      </c>
      <c r="D162" s="3" t="s">
        <v>252</v>
      </c>
      <c r="E162" s="3" t="n">
        <f aca="false">COUNTIF('NF x Centro de Custo'!$C$5:$C$1270,$C162)</f>
        <v>1</v>
      </c>
      <c r="F162" s="15" t="n">
        <f aca="false">SUMIFS('NF x Centro de Custo'!$F$5:$F$1270,'NF x Centro de Custo'!$C$5:$C$1270,$C162)</f>
        <v>1940.2</v>
      </c>
      <c r="G162" s="15" t="n">
        <f aca="false">SUMIFS('NF x Centro de Custo'!$G$5:$G$1270,'NF x Centro de Custo'!$C$5:$C$1270,$C162)</f>
        <v>0</v>
      </c>
      <c r="H162" s="15" t="n">
        <f aca="false">F162+G162</f>
        <v>1940.2</v>
      </c>
      <c r="I162" s="25" t="n">
        <v>1940.2</v>
      </c>
      <c r="J162" s="15" t="n">
        <f aca="false">ROUND(H162-I162,2)</f>
        <v>0</v>
      </c>
      <c r="K162" s="26" t="str">
        <f aca="false">IF(ABS(J162)&lt;0.05,"OK","Verificar")</f>
        <v>OK</v>
      </c>
    </row>
    <row r="163" customFormat="false" ht="15" hidden="false" customHeight="false" outlineLevel="0" collapsed="false">
      <c r="A163" s="3" t="n">
        <v>2</v>
      </c>
      <c r="B163" s="24" t="n">
        <v>46054</v>
      </c>
      <c r="C163" s="3" t="s">
        <v>390</v>
      </c>
      <c r="D163" s="3" t="s">
        <v>252</v>
      </c>
      <c r="E163" s="3" t="n">
        <f aca="false">COUNTIF('NF x Centro de Custo'!$C$5:$C$1270,$C163)</f>
        <v>1</v>
      </c>
      <c r="F163" s="15" t="n">
        <f aca="false">SUMIFS('NF x Centro de Custo'!$F$5:$F$1270,'NF x Centro de Custo'!$C$5:$C$1270,$C163)</f>
        <v>1860.2</v>
      </c>
      <c r="G163" s="15" t="n">
        <f aca="false">SUMIFS('NF x Centro de Custo'!$G$5:$G$1270,'NF x Centro de Custo'!$C$5:$C$1270,$C163)</f>
        <v>0</v>
      </c>
      <c r="H163" s="15" t="n">
        <f aca="false">F163+G163</f>
        <v>1860.2</v>
      </c>
      <c r="I163" s="25" t="n">
        <v>1860.2</v>
      </c>
      <c r="J163" s="15" t="n">
        <f aca="false">ROUND(H163-I163,2)</f>
        <v>0</v>
      </c>
      <c r="K163" s="26" t="str">
        <f aca="false">IF(ABS(J163)&lt;0.05,"OK","Verificar")</f>
        <v>OK</v>
      </c>
    </row>
    <row r="164" customFormat="false" ht="15" hidden="false" customHeight="false" outlineLevel="0" collapsed="false">
      <c r="A164" s="3" t="n">
        <v>2</v>
      </c>
      <c r="B164" s="24" t="n">
        <v>46054</v>
      </c>
      <c r="C164" s="3" t="s">
        <v>391</v>
      </c>
      <c r="D164" s="3" t="s">
        <v>255</v>
      </c>
      <c r="E164" s="3" t="n">
        <f aca="false">COUNTIF('NF x Centro de Custo'!$C$5:$C$1270,$C164)</f>
        <v>1</v>
      </c>
      <c r="F164" s="15" t="n">
        <f aca="false">SUMIFS('NF x Centro de Custo'!$F$5:$F$1270,'NF x Centro de Custo'!$C$5:$C$1270,$C164)</f>
        <v>2589.8</v>
      </c>
      <c r="G164" s="15" t="n">
        <f aca="false">SUMIFS('NF x Centro de Custo'!$G$5:$G$1270,'NF x Centro de Custo'!$C$5:$C$1270,$C164)</f>
        <v>0</v>
      </c>
      <c r="H164" s="15" t="n">
        <f aca="false">F164+G164</f>
        <v>2589.8</v>
      </c>
      <c r="I164" s="25" t="n">
        <v>2589.8</v>
      </c>
      <c r="J164" s="15" t="n">
        <f aca="false">ROUND(H164-I164,2)</f>
        <v>0</v>
      </c>
      <c r="K164" s="26" t="str">
        <f aca="false">IF(ABS(J164)&lt;0.05,"OK","Verificar")</f>
        <v>OK</v>
      </c>
    </row>
    <row r="165" customFormat="false" ht="15" hidden="false" customHeight="false" outlineLevel="0" collapsed="false">
      <c r="A165" s="3" t="n">
        <v>2</v>
      </c>
      <c r="B165" s="24" t="n">
        <v>46054</v>
      </c>
      <c r="C165" s="3" t="s">
        <v>392</v>
      </c>
      <c r="D165" s="3" t="s">
        <v>258</v>
      </c>
      <c r="E165" s="3" t="n">
        <f aca="false">COUNTIF('NF x Centro de Custo'!$C$5:$C$1270,$C165)</f>
        <v>1</v>
      </c>
      <c r="F165" s="15" t="n">
        <f aca="false">SUMIFS('NF x Centro de Custo'!$F$5:$F$1270,'NF x Centro de Custo'!$C$5:$C$1270,$C165)</f>
        <v>3343.4</v>
      </c>
      <c r="G165" s="15" t="n">
        <f aca="false">SUMIFS('NF x Centro de Custo'!$G$5:$G$1270,'NF x Centro de Custo'!$C$5:$C$1270,$C165)</f>
        <v>0</v>
      </c>
      <c r="H165" s="15" t="n">
        <f aca="false">F165+G165</f>
        <v>3343.4</v>
      </c>
      <c r="I165" s="25" t="n">
        <v>3343.4</v>
      </c>
      <c r="J165" s="15" t="n">
        <f aca="false">ROUND(H165-I165,2)</f>
        <v>0</v>
      </c>
      <c r="K165" s="26" t="str">
        <f aca="false">IF(ABS(J165)&lt;0.05,"OK","Verificar")</f>
        <v>OK</v>
      </c>
    </row>
    <row r="166" customFormat="false" ht="15" hidden="false" customHeight="false" outlineLevel="0" collapsed="false">
      <c r="A166" s="3" t="n">
        <v>2</v>
      </c>
      <c r="B166" s="24" t="n">
        <v>46054</v>
      </c>
      <c r="C166" s="3" t="s">
        <v>393</v>
      </c>
      <c r="D166" s="3" t="s">
        <v>258</v>
      </c>
      <c r="E166" s="3" t="n">
        <f aca="false">COUNTIF('NF x Centro de Custo'!$C$5:$C$1270,$C166)</f>
        <v>1</v>
      </c>
      <c r="F166" s="15" t="n">
        <f aca="false">SUMIFS('NF x Centro de Custo'!$F$5:$F$1270,'NF x Centro de Custo'!$C$5:$C$1270,$C166)</f>
        <v>4383.73</v>
      </c>
      <c r="G166" s="15" t="n">
        <f aca="false">SUMIFS('NF x Centro de Custo'!$G$5:$G$1270,'NF x Centro de Custo'!$C$5:$C$1270,$C166)</f>
        <v>0</v>
      </c>
      <c r="H166" s="15" t="n">
        <f aca="false">F166+G166</f>
        <v>4383.73</v>
      </c>
      <c r="I166" s="25" t="n">
        <v>4383.73</v>
      </c>
      <c r="J166" s="15" t="n">
        <f aca="false">ROUND(H166-I166,2)</f>
        <v>0</v>
      </c>
      <c r="K166" s="26" t="str">
        <f aca="false">IF(ABS(J166)&lt;0.05,"OK","Verificar")</f>
        <v>OK</v>
      </c>
    </row>
    <row r="167" customFormat="false" ht="15" hidden="false" customHeight="false" outlineLevel="0" collapsed="false">
      <c r="A167" s="3" t="n">
        <v>2</v>
      </c>
      <c r="B167" s="24" t="n">
        <v>46054</v>
      </c>
      <c r="C167" s="3" t="s">
        <v>394</v>
      </c>
      <c r="D167" s="3" t="s">
        <v>344</v>
      </c>
      <c r="E167" s="3" t="n">
        <f aca="false">COUNTIF('NF x Centro de Custo'!$C$5:$C$1270,$C167)</f>
        <v>1</v>
      </c>
      <c r="F167" s="15" t="n">
        <f aca="false">SUMIFS('NF x Centro de Custo'!$F$5:$F$1270,'NF x Centro de Custo'!$C$5:$C$1270,$C167)</f>
        <v>3355.74</v>
      </c>
      <c r="G167" s="15" t="n">
        <f aca="false">SUMIFS('NF x Centro de Custo'!$G$5:$G$1270,'NF x Centro de Custo'!$C$5:$C$1270,$C167)</f>
        <v>0</v>
      </c>
      <c r="H167" s="15" t="n">
        <f aca="false">F167+G167</f>
        <v>3355.74</v>
      </c>
      <c r="I167" s="25" t="n">
        <v>3355.74</v>
      </c>
      <c r="J167" s="15" t="n">
        <f aca="false">ROUND(H167-I167,2)</f>
        <v>0</v>
      </c>
      <c r="K167" s="26" t="str">
        <f aca="false">IF(ABS(J167)&lt;0.05,"OK","Verificar")</f>
        <v>OK</v>
      </c>
    </row>
    <row r="168" customFormat="false" ht="15" hidden="false" customHeight="false" outlineLevel="0" collapsed="false">
      <c r="A168" s="3" t="n">
        <v>2</v>
      </c>
      <c r="B168" s="24" t="n">
        <v>46054</v>
      </c>
      <c r="C168" s="3" t="s">
        <v>395</v>
      </c>
      <c r="D168" s="3" t="s">
        <v>344</v>
      </c>
      <c r="E168" s="3" t="n">
        <f aca="false">COUNTIF('NF x Centro de Custo'!$C$5:$C$1270,$C168)</f>
        <v>1</v>
      </c>
      <c r="F168" s="15" t="n">
        <f aca="false">SUMIFS('NF x Centro de Custo'!$F$5:$F$1270,'NF x Centro de Custo'!$C$5:$C$1270,$C168)</f>
        <v>4744.98</v>
      </c>
      <c r="G168" s="15" t="n">
        <f aca="false">SUMIFS('NF x Centro de Custo'!$G$5:$G$1270,'NF x Centro de Custo'!$C$5:$C$1270,$C168)</f>
        <v>0</v>
      </c>
      <c r="H168" s="15" t="n">
        <f aca="false">F168+G168</f>
        <v>4744.98</v>
      </c>
      <c r="I168" s="25" t="n">
        <v>4744.98</v>
      </c>
      <c r="J168" s="15" t="n">
        <f aca="false">ROUND(H168-I168,2)</f>
        <v>0</v>
      </c>
      <c r="K168" s="26" t="str">
        <f aca="false">IF(ABS(J168)&lt;0.05,"OK","Verificar")</f>
        <v>OK</v>
      </c>
    </row>
    <row r="169" customFormat="false" ht="15" hidden="false" customHeight="false" outlineLevel="0" collapsed="false">
      <c r="A169" s="3" t="n">
        <v>2</v>
      </c>
      <c r="B169" s="24" t="n">
        <v>46054</v>
      </c>
      <c r="C169" s="3" t="s">
        <v>396</v>
      </c>
      <c r="D169" s="3" t="s">
        <v>217</v>
      </c>
      <c r="E169" s="3" t="n">
        <f aca="false">COUNTIF('NF x Centro de Custo'!$C$5:$C$1270,$C169)</f>
        <v>1</v>
      </c>
      <c r="F169" s="15" t="n">
        <f aca="false">SUMIFS('NF x Centro de Custo'!$F$5:$F$1270,'NF x Centro de Custo'!$C$5:$C$1270,$C169)</f>
        <v>2661.5</v>
      </c>
      <c r="G169" s="15" t="n">
        <f aca="false">SUMIFS('NF x Centro de Custo'!$G$5:$G$1270,'NF x Centro de Custo'!$C$5:$C$1270,$C169)</f>
        <v>0</v>
      </c>
      <c r="H169" s="15" t="n">
        <f aca="false">F169+G169</f>
        <v>2661.5</v>
      </c>
      <c r="I169" s="25" t="n">
        <v>2661.5</v>
      </c>
      <c r="J169" s="15" t="n">
        <f aca="false">ROUND(H169-I169,2)</f>
        <v>0</v>
      </c>
      <c r="K169" s="26" t="str">
        <f aca="false">IF(ABS(J169)&lt;0.05,"OK","Verificar")</f>
        <v>OK</v>
      </c>
    </row>
    <row r="170" customFormat="false" ht="15" hidden="false" customHeight="false" outlineLevel="0" collapsed="false">
      <c r="A170" s="3" t="n">
        <v>2</v>
      </c>
      <c r="B170" s="24" t="n">
        <v>46054</v>
      </c>
      <c r="C170" s="3" t="s">
        <v>397</v>
      </c>
      <c r="D170" s="3" t="s">
        <v>217</v>
      </c>
      <c r="E170" s="3" t="n">
        <f aca="false">COUNTIF('NF x Centro de Custo'!$C$5:$C$1270,$C170)</f>
        <v>2</v>
      </c>
      <c r="F170" s="15" t="n">
        <f aca="false">SUMIFS('NF x Centro de Custo'!$F$5:$F$1270,'NF x Centro de Custo'!$C$5:$C$1270,$C170)</f>
        <v>18611.37</v>
      </c>
      <c r="G170" s="15" t="n">
        <f aca="false">SUMIFS('NF x Centro de Custo'!$G$5:$G$1270,'NF x Centro de Custo'!$C$5:$C$1270,$C170)</f>
        <v>0</v>
      </c>
      <c r="H170" s="15" t="n">
        <f aca="false">F170+G170</f>
        <v>18611.37</v>
      </c>
      <c r="I170" s="25" t="n">
        <v>18611.37</v>
      </c>
      <c r="J170" s="15" t="n">
        <f aca="false">ROUND(H170-I170,2)</f>
        <v>0</v>
      </c>
      <c r="K170" s="26" t="str">
        <f aca="false">IF(ABS(J170)&lt;0.05,"OK","Verificar")</f>
        <v>OK</v>
      </c>
    </row>
    <row r="171" customFormat="false" ht="15" hidden="false" customHeight="false" outlineLevel="0" collapsed="false">
      <c r="A171" s="3" t="n">
        <v>2</v>
      </c>
      <c r="B171" s="24" t="n">
        <v>46054</v>
      </c>
      <c r="C171" s="3" t="s">
        <v>398</v>
      </c>
      <c r="D171" s="3" t="s">
        <v>219</v>
      </c>
      <c r="E171" s="3" t="n">
        <f aca="false">COUNTIF('NF x Centro de Custo'!$C$5:$C$1270,$C171)</f>
        <v>1</v>
      </c>
      <c r="F171" s="15" t="n">
        <f aca="false">SUMIFS('NF x Centro de Custo'!$F$5:$F$1270,'NF x Centro de Custo'!$C$5:$C$1270,$C171)</f>
        <v>5638.2</v>
      </c>
      <c r="G171" s="15" t="n">
        <f aca="false">SUMIFS('NF x Centro de Custo'!$G$5:$G$1270,'NF x Centro de Custo'!$C$5:$C$1270,$C171)</f>
        <v>0</v>
      </c>
      <c r="H171" s="15" t="n">
        <f aca="false">F171+G171</f>
        <v>5638.2</v>
      </c>
      <c r="I171" s="25" t="n">
        <v>5638.2</v>
      </c>
      <c r="J171" s="15" t="n">
        <f aca="false">ROUND(H171-I171,2)</f>
        <v>0</v>
      </c>
      <c r="K171" s="26" t="str">
        <f aca="false">IF(ABS(J171)&lt;0.05,"OK","Verificar")</f>
        <v>OK</v>
      </c>
    </row>
    <row r="172" customFormat="false" ht="15" hidden="false" customHeight="false" outlineLevel="0" collapsed="false">
      <c r="A172" s="3" t="n">
        <v>2</v>
      </c>
      <c r="B172" s="24" t="n">
        <v>46054</v>
      </c>
      <c r="C172" s="3" t="s">
        <v>399</v>
      </c>
      <c r="D172" s="3" t="s">
        <v>219</v>
      </c>
      <c r="E172" s="3" t="n">
        <f aca="false">COUNTIF('NF x Centro de Custo'!$C$5:$C$1270,$C172)</f>
        <v>1</v>
      </c>
      <c r="F172" s="15" t="n">
        <f aca="false">SUMIFS('NF x Centro de Custo'!$F$5:$F$1270,'NF x Centro de Custo'!$C$5:$C$1270,$C172)</f>
        <v>19467.01</v>
      </c>
      <c r="G172" s="15" t="n">
        <f aca="false">SUMIFS('NF x Centro de Custo'!$G$5:$G$1270,'NF x Centro de Custo'!$C$5:$C$1270,$C172)</f>
        <v>0</v>
      </c>
      <c r="H172" s="15" t="n">
        <f aca="false">F172+G172</f>
        <v>19467.01</v>
      </c>
      <c r="I172" s="25" t="n">
        <v>19467.01</v>
      </c>
      <c r="J172" s="15" t="n">
        <f aca="false">ROUND(H172-I172,2)</f>
        <v>0</v>
      </c>
      <c r="K172" s="26" t="str">
        <f aca="false">IF(ABS(J172)&lt;0.05,"OK","Verificar")</f>
        <v>OK</v>
      </c>
    </row>
    <row r="173" customFormat="false" ht="15" hidden="false" customHeight="false" outlineLevel="0" collapsed="false">
      <c r="A173" s="3" t="n">
        <v>2</v>
      </c>
      <c r="B173" s="24" t="n">
        <v>46054</v>
      </c>
      <c r="C173" s="3" t="s">
        <v>400</v>
      </c>
      <c r="D173" s="3" t="s">
        <v>219</v>
      </c>
      <c r="E173" s="3" t="n">
        <f aca="false">COUNTIF('NF x Centro de Custo'!$C$5:$C$1270,$C173)</f>
        <v>1</v>
      </c>
      <c r="F173" s="15" t="n">
        <f aca="false">SUMIFS('NF x Centro de Custo'!$F$5:$F$1270,'NF x Centro de Custo'!$C$5:$C$1270,$C173)</f>
        <v>2593.94</v>
      </c>
      <c r="G173" s="15" t="n">
        <f aca="false">SUMIFS('NF x Centro de Custo'!$G$5:$G$1270,'NF x Centro de Custo'!$C$5:$C$1270,$C173)</f>
        <v>0</v>
      </c>
      <c r="H173" s="15" t="n">
        <f aca="false">F173+G173</f>
        <v>2593.94</v>
      </c>
      <c r="I173" s="25" t="n">
        <v>2593.94</v>
      </c>
      <c r="J173" s="15" t="n">
        <f aca="false">ROUND(H173-I173,2)</f>
        <v>0</v>
      </c>
      <c r="K173" s="26" t="str">
        <f aca="false">IF(ABS(J173)&lt;0.05,"OK","Verificar")</f>
        <v>OK</v>
      </c>
    </row>
    <row r="174" customFormat="false" ht="15" hidden="false" customHeight="false" outlineLevel="0" collapsed="false">
      <c r="A174" s="3" t="n">
        <v>2</v>
      </c>
      <c r="B174" s="24" t="n">
        <v>46054</v>
      </c>
      <c r="C174" s="3" t="s">
        <v>401</v>
      </c>
      <c r="D174" s="3" t="s">
        <v>228</v>
      </c>
      <c r="E174" s="3" t="n">
        <f aca="false">COUNTIF('NF x Centro de Custo'!$C$5:$C$1270,$C174)</f>
        <v>4</v>
      </c>
      <c r="F174" s="15" t="n">
        <f aca="false">SUMIFS('NF x Centro de Custo'!$F$5:$F$1270,'NF x Centro de Custo'!$C$5:$C$1270,$C174)</f>
        <v>68531.18</v>
      </c>
      <c r="G174" s="15" t="n">
        <f aca="false">SUMIFS('NF x Centro de Custo'!$G$5:$G$1270,'NF x Centro de Custo'!$C$5:$C$1270,$C174)</f>
        <v>0</v>
      </c>
      <c r="H174" s="15" t="n">
        <f aca="false">F174+G174</f>
        <v>68531.18</v>
      </c>
      <c r="I174" s="25" t="n">
        <v>68531.18</v>
      </c>
      <c r="J174" s="15" t="n">
        <f aca="false">ROUND(H174-I174,2)</f>
        <v>0</v>
      </c>
      <c r="K174" s="26" t="str">
        <f aca="false">IF(ABS(J174)&lt;0.05,"OK","Verificar")</f>
        <v>OK</v>
      </c>
    </row>
    <row r="175" customFormat="false" ht="15" hidden="false" customHeight="false" outlineLevel="0" collapsed="false">
      <c r="A175" s="3" t="n">
        <v>2</v>
      </c>
      <c r="B175" s="24" t="n">
        <v>46054</v>
      </c>
      <c r="C175" s="3" t="s">
        <v>402</v>
      </c>
      <c r="D175" s="3" t="s">
        <v>228</v>
      </c>
      <c r="E175" s="3" t="n">
        <f aca="false">COUNTIF('NF x Centro de Custo'!$C$5:$C$1270,$C175)</f>
        <v>1</v>
      </c>
      <c r="F175" s="15" t="n">
        <f aca="false">SUMIFS('NF x Centro de Custo'!$F$5:$F$1270,'NF x Centro de Custo'!$C$5:$C$1270,$C175)</f>
        <v>7575.8</v>
      </c>
      <c r="G175" s="15" t="n">
        <f aca="false">SUMIFS('NF x Centro de Custo'!$G$5:$G$1270,'NF x Centro de Custo'!$C$5:$C$1270,$C175)</f>
        <v>0</v>
      </c>
      <c r="H175" s="15" t="n">
        <f aca="false">F175+G175</f>
        <v>7575.8</v>
      </c>
      <c r="I175" s="25" t="n">
        <v>7575.8</v>
      </c>
      <c r="J175" s="15" t="n">
        <f aca="false">ROUND(H175-I175,2)</f>
        <v>0</v>
      </c>
      <c r="K175" s="26" t="str">
        <f aca="false">IF(ABS(J175)&lt;0.05,"OK","Verificar")</f>
        <v>OK</v>
      </c>
    </row>
    <row r="176" customFormat="false" ht="15" hidden="false" customHeight="false" outlineLevel="0" collapsed="false">
      <c r="A176" s="3" t="n">
        <v>2</v>
      </c>
      <c r="B176" s="24" t="n">
        <v>46054</v>
      </c>
      <c r="C176" s="3" t="s">
        <v>403</v>
      </c>
      <c r="D176" s="3" t="s">
        <v>261</v>
      </c>
      <c r="E176" s="3" t="n">
        <f aca="false">COUNTIF('NF x Centro de Custo'!$C$5:$C$1270,$C176)</f>
        <v>1</v>
      </c>
      <c r="F176" s="15" t="n">
        <f aca="false">SUMIFS('NF x Centro de Custo'!$F$5:$F$1270,'NF x Centro de Custo'!$C$5:$C$1270,$C176)</f>
        <v>1787.2</v>
      </c>
      <c r="G176" s="15" t="n">
        <f aca="false">SUMIFS('NF x Centro de Custo'!$G$5:$G$1270,'NF x Centro de Custo'!$C$5:$C$1270,$C176)</f>
        <v>0</v>
      </c>
      <c r="H176" s="15" t="n">
        <f aca="false">F176+G176</f>
        <v>1787.2</v>
      </c>
      <c r="I176" s="25" t="n">
        <v>1787.2</v>
      </c>
      <c r="J176" s="15" t="n">
        <f aca="false">ROUND(H176-I176,2)</f>
        <v>0</v>
      </c>
      <c r="K176" s="26" t="str">
        <f aca="false">IF(ABS(J176)&lt;0.05,"OK","Verificar")</f>
        <v>OK</v>
      </c>
    </row>
    <row r="177" customFormat="false" ht="15" hidden="false" customHeight="false" outlineLevel="0" collapsed="false">
      <c r="A177" s="3" t="n">
        <v>2</v>
      </c>
      <c r="B177" s="24" t="n">
        <v>46054</v>
      </c>
      <c r="C177" s="3" t="s">
        <v>404</v>
      </c>
      <c r="D177" s="3" t="s">
        <v>261</v>
      </c>
      <c r="E177" s="3" t="n">
        <f aca="false">COUNTIF('NF x Centro de Custo'!$C$5:$C$1270,$C177)</f>
        <v>2</v>
      </c>
      <c r="F177" s="15" t="n">
        <f aca="false">SUMIFS('NF x Centro de Custo'!$F$5:$F$1270,'NF x Centro de Custo'!$C$5:$C$1270,$C177)</f>
        <v>2426.8</v>
      </c>
      <c r="G177" s="15" t="n">
        <f aca="false">SUMIFS('NF x Centro de Custo'!$G$5:$G$1270,'NF x Centro de Custo'!$C$5:$C$1270,$C177)</f>
        <v>0</v>
      </c>
      <c r="H177" s="15" t="n">
        <f aca="false">F177+G177</f>
        <v>2426.8</v>
      </c>
      <c r="I177" s="25" t="n">
        <v>2426.8</v>
      </c>
      <c r="J177" s="15" t="n">
        <f aca="false">ROUND(H177-I177,2)</f>
        <v>0</v>
      </c>
      <c r="K177" s="26" t="str">
        <f aca="false">IF(ABS(J177)&lt;0.05,"OK","Verificar")</f>
        <v>OK</v>
      </c>
    </row>
    <row r="178" customFormat="false" ht="15" hidden="false" customHeight="false" outlineLevel="0" collapsed="false">
      <c r="A178" s="3" t="n">
        <v>2</v>
      </c>
      <c r="B178" s="24" t="n">
        <v>46054</v>
      </c>
      <c r="C178" s="3" t="s">
        <v>405</v>
      </c>
      <c r="D178" s="3" t="s">
        <v>224</v>
      </c>
      <c r="E178" s="3" t="n">
        <f aca="false">COUNTIF('NF x Centro de Custo'!$C$5:$C$1270,$C178)</f>
        <v>1</v>
      </c>
      <c r="F178" s="15" t="n">
        <f aca="false">SUMIFS('NF x Centro de Custo'!$F$5:$F$1270,'NF x Centro de Custo'!$C$5:$C$1270,$C178)</f>
        <v>2288.23</v>
      </c>
      <c r="G178" s="15" t="n">
        <f aca="false">SUMIFS('NF x Centro de Custo'!$G$5:$G$1270,'NF x Centro de Custo'!$C$5:$C$1270,$C178)</f>
        <v>0</v>
      </c>
      <c r="H178" s="15" t="n">
        <f aca="false">F178+G178</f>
        <v>2288.23</v>
      </c>
      <c r="I178" s="25" t="n">
        <v>2288.23</v>
      </c>
      <c r="J178" s="15" t="n">
        <f aca="false">ROUND(H178-I178,2)</f>
        <v>0</v>
      </c>
      <c r="K178" s="26" t="str">
        <f aca="false">IF(ABS(J178)&lt;0.05,"OK","Verificar")</f>
        <v>OK</v>
      </c>
    </row>
    <row r="179" customFormat="false" ht="15" hidden="false" customHeight="false" outlineLevel="0" collapsed="false">
      <c r="A179" s="3" t="n">
        <v>2</v>
      </c>
      <c r="B179" s="24" t="n">
        <v>46054</v>
      </c>
      <c r="C179" s="3" t="s">
        <v>406</v>
      </c>
      <c r="D179" s="3" t="s">
        <v>224</v>
      </c>
      <c r="E179" s="3" t="n">
        <f aca="false">COUNTIF('NF x Centro de Custo'!$C$5:$C$1270,$C179)</f>
        <v>1</v>
      </c>
      <c r="F179" s="15" t="n">
        <f aca="false">SUMIFS('NF x Centro de Custo'!$F$5:$F$1270,'NF x Centro de Custo'!$C$5:$C$1270,$C179)</f>
        <v>3205.33</v>
      </c>
      <c r="G179" s="15" t="n">
        <f aca="false">SUMIFS('NF x Centro de Custo'!$G$5:$G$1270,'NF x Centro de Custo'!$C$5:$C$1270,$C179)</f>
        <v>0</v>
      </c>
      <c r="H179" s="15" t="n">
        <f aca="false">F179+G179</f>
        <v>3205.33</v>
      </c>
      <c r="I179" s="25" t="n">
        <v>3205.33</v>
      </c>
      <c r="J179" s="15" t="n">
        <f aca="false">ROUND(H179-I179,2)</f>
        <v>0</v>
      </c>
      <c r="K179" s="26" t="str">
        <f aca="false">IF(ABS(J179)&lt;0.05,"OK","Verificar")</f>
        <v>OK</v>
      </c>
    </row>
    <row r="180" customFormat="false" ht="15" hidden="false" customHeight="false" outlineLevel="0" collapsed="false">
      <c r="A180" s="3" t="n">
        <v>2</v>
      </c>
      <c r="B180" s="24" t="n">
        <v>46054</v>
      </c>
      <c r="C180" s="3" t="s">
        <v>407</v>
      </c>
      <c r="D180" s="3" t="s">
        <v>224</v>
      </c>
      <c r="E180" s="3" t="n">
        <f aca="false">COUNTIF('NF x Centro de Custo'!$C$5:$C$1270,$C180)</f>
        <v>1</v>
      </c>
      <c r="F180" s="15" t="n">
        <f aca="false">SUMIFS('NF x Centro de Custo'!$F$5:$F$1270,'NF x Centro de Custo'!$C$5:$C$1270,$C180)</f>
        <v>10748.52</v>
      </c>
      <c r="G180" s="15" t="n">
        <f aca="false">SUMIFS('NF x Centro de Custo'!$G$5:$G$1270,'NF x Centro de Custo'!$C$5:$C$1270,$C180)</f>
        <v>0</v>
      </c>
      <c r="H180" s="15" t="n">
        <f aca="false">F180+G180</f>
        <v>10748.52</v>
      </c>
      <c r="I180" s="25" t="n">
        <v>10748.52</v>
      </c>
      <c r="J180" s="15" t="n">
        <f aca="false">ROUND(H180-I180,2)</f>
        <v>0</v>
      </c>
      <c r="K180" s="26" t="str">
        <f aca="false">IF(ABS(J180)&lt;0.05,"OK","Verificar")</f>
        <v>OK</v>
      </c>
    </row>
    <row r="181" customFormat="false" ht="15" hidden="false" customHeight="false" outlineLevel="0" collapsed="false">
      <c r="A181" s="3" t="n">
        <v>2</v>
      </c>
      <c r="B181" s="24" t="n">
        <v>46054</v>
      </c>
      <c r="C181" s="3" t="s">
        <v>408</v>
      </c>
      <c r="D181" s="3" t="s">
        <v>224</v>
      </c>
      <c r="E181" s="3" t="n">
        <f aca="false">COUNTIF('NF x Centro de Custo'!$C$5:$C$1270,$C181)</f>
        <v>1</v>
      </c>
      <c r="F181" s="15" t="n">
        <f aca="false">SUMIFS('NF x Centro de Custo'!$F$5:$F$1270,'NF x Centro de Custo'!$C$5:$C$1270,$C181)</f>
        <v>3.5</v>
      </c>
      <c r="G181" s="15" t="n">
        <f aca="false">SUMIFS('NF x Centro de Custo'!$G$5:$G$1270,'NF x Centro de Custo'!$C$5:$C$1270,$C181)</f>
        <v>0</v>
      </c>
      <c r="H181" s="15" t="n">
        <f aca="false">F181+G181</f>
        <v>3.5</v>
      </c>
      <c r="I181" s="25" t="n">
        <v>3.5</v>
      </c>
      <c r="J181" s="15" t="n">
        <f aca="false">ROUND(H181-I181,2)</f>
        <v>0</v>
      </c>
      <c r="K181" s="26" t="str">
        <f aca="false">IF(ABS(J181)&lt;0.05,"OK","Verificar")</f>
        <v>OK</v>
      </c>
    </row>
    <row r="182" customFormat="false" ht="15" hidden="false" customHeight="false" outlineLevel="0" collapsed="false">
      <c r="A182" s="3" t="n">
        <v>2</v>
      </c>
      <c r="B182" s="24" t="n">
        <v>46054</v>
      </c>
      <c r="C182" s="3" t="s">
        <v>409</v>
      </c>
      <c r="D182" s="3" t="s">
        <v>269</v>
      </c>
      <c r="E182" s="3" t="n">
        <f aca="false">COUNTIF('NF x Centro de Custo'!$C$5:$C$1270,$C182)</f>
        <v>1</v>
      </c>
      <c r="F182" s="15" t="n">
        <f aca="false">SUMIFS('NF x Centro de Custo'!$F$5:$F$1270,'NF x Centro de Custo'!$C$5:$C$1270,$C182)</f>
        <v>71920.43</v>
      </c>
      <c r="G182" s="15" t="n">
        <f aca="false">SUMIFS('NF x Centro de Custo'!$G$5:$G$1270,'NF x Centro de Custo'!$C$5:$C$1270,$C182)</f>
        <v>0</v>
      </c>
      <c r="H182" s="15" t="n">
        <f aca="false">F182+G182</f>
        <v>71920.43</v>
      </c>
      <c r="I182" s="25" t="n">
        <v>71920.43</v>
      </c>
      <c r="J182" s="15" t="n">
        <f aca="false">ROUND(H182-I182,2)</f>
        <v>0</v>
      </c>
      <c r="K182" s="26" t="str">
        <f aca="false">IF(ABS(J182)&lt;0.05,"OK","Verificar")</f>
        <v>OK</v>
      </c>
    </row>
    <row r="183" customFormat="false" ht="15" hidden="false" customHeight="false" outlineLevel="0" collapsed="false">
      <c r="A183" s="3" t="n">
        <v>2</v>
      </c>
      <c r="B183" s="24" t="n">
        <v>46054</v>
      </c>
      <c r="C183" s="3" t="s">
        <v>410</v>
      </c>
      <c r="D183" s="3" t="s">
        <v>269</v>
      </c>
      <c r="E183" s="3" t="n">
        <f aca="false">COUNTIF('NF x Centro de Custo'!$C$5:$C$1270,$C183)</f>
        <v>5</v>
      </c>
      <c r="F183" s="15" t="n">
        <f aca="false">SUMIFS('NF x Centro de Custo'!$F$5:$F$1270,'NF x Centro de Custo'!$C$5:$C$1270,$C183)</f>
        <v>16899.16</v>
      </c>
      <c r="G183" s="15" t="n">
        <f aca="false">SUMIFS('NF x Centro de Custo'!$G$5:$G$1270,'NF x Centro de Custo'!$C$5:$C$1270,$C183)</f>
        <v>0</v>
      </c>
      <c r="H183" s="15" t="n">
        <f aca="false">F183+G183</f>
        <v>16899.16</v>
      </c>
      <c r="I183" s="25" t="n">
        <v>16899.16</v>
      </c>
      <c r="J183" s="15" t="n">
        <f aca="false">ROUND(H183-I183,2)</f>
        <v>0</v>
      </c>
      <c r="K183" s="26" t="str">
        <f aca="false">IF(ABS(J183)&lt;0.05,"OK","Verificar")</f>
        <v>OK</v>
      </c>
    </row>
    <row r="184" customFormat="false" ht="15" hidden="false" customHeight="false" outlineLevel="0" collapsed="false">
      <c r="A184" s="3" t="n">
        <v>2</v>
      </c>
      <c r="B184" s="24" t="n">
        <v>46054</v>
      </c>
      <c r="C184" s="3" t="s">
        <v>411</v>
      </c>
      <c r="D184" s="3" t="s">
        <v>269</v>
      </c>
      <c r="E184" s="3" t="n">
        <f aca="false">COUNTIF('NF x Centro de Custo'!$C$5:$C$1270,$C184)</f>
        <v>5</v>
      </c>
      <c r="F184" s="15" t="n">
        <f aca="false">SUMIFS('NF x Centro de Custo'!$F$5:$F$1270,'NF x Centro de Custo'!$C$5:$C$1270,$C184)</f>
        <v>10018.92</v>
      </c>
      <c r="G184" s="15" t="n">
        <f aca="false">SUMIFS('NF x Centro de Custo'!$G$5:$G$1270,'NF x Centro de Custo'!$C$5:$C$1270,$C184)</f>
        <v>0</v>
      </c>
      <c r="H184" s="15" t="n">
        <f aca="false">F184+G184</f>
        <v>10018.92</v>
      </c>
      <c r="I184" s="25" t="n">
        <v>10018.92</v>
      </c>
      <c r="J184" s="15" t="n">
        <f aca="false">ROUND(H184-I184,2)</f>
        <v>0</v>
      </c>
      <c r="K184" s="26" t="str">
        <f aca="false">IF(ABS(J184)&lt;0.05,"OK","Verificar")</f>
        <v>OK</v>
      </c>
    </row>
    <row r="185" customFormat="false" ht="15" hidden="false" customHeight="false" outlineLevel="0" collapsed="false">
      <c r="A185" s="3" t="n">
        <v>2</v>
      </c>
      <c r="B185" s="24" t="n">
        <v>46054</v>
      </c>
      <c r="C185" s="3" t="s">
        <v>412</v>
      </c>
      <c r="D185" s="3" t="s">
        <v>237</v>
      </c>
      <c r="E185" s="3" t="n">
        <f aca="false">COUNTIF('NF x Centro de Custo'!$C$5:$C$1270,$C185)</f>
        <v>1</v>
      </c>
      <c r="F185" s="15" t="n">
        <f aca="false">SUMIFS('NF x Centro de Custo'!$F$5:$F$1270,'NF x Centro de Custo'!$C$5:$C$1270,$C185)</f>
        <v>2579.6</v>
      </c>
      <c r="G185" s="15" t="n">
        <f aca="false">SUMIFS('NF x Centro de Custo'!$G$5:$G$1270,'NF x Centro de Custo'!$C$5:$C$1270,$C185)</f>
        <v>0</v>
      </c>
      <c r="H185" s="15" t="n">
        <f aca="false">F185+G185</f>
        <v>2579.6</v>
      </c>
      <c r="I185" s="25" t="n">
        <v>2579.6</v>
      </c>
      <c r="J185" s="15" t="n">
        <f aca="false">ROUND(H185-I185,2)</f>
        <v>0</v>
      </c>
      <c r="K185" s="26" t="str">
        <f aca="false">IF(ABS(J185)&lt;0.05,"OK","Verificar")</f>
        <v>OK</v>
      </c>
    </row>
    <row r="186" customFormat="false" ht="15" hidden="false" customHeight="false" outlineLevel="0" collapsed="false">
      <c r="A186" s="3" t="n">
        <v>2</v>
      </c>
      <c r="B186" s="24" t="n">
        <v>46054</v>
      </c>
      <c r="C186" s="3" t="s">
        <v>413</v>
      </c>
      <c r="D186" s="3" t="s">
        <v>212</v>
      </c>
      <c r="E186" s="3" t="n">
        <f aca="false">COUNTIF('NF x Centro de Custo'!$C$5:$C$1270,$C186)</f>
        <v>1</v>
      </c>
      <c r="F186" s="15" t="n">
        <f aca="false">SUMIFS('NF x Centro de Custo'!$F$5:$F$1270,'NF x Centro de Custo'!$C$5:$C$1270,$C186)</f>
        <v>659.5</v>
      </c>
      <c r="G186" s="15" t="n">
        <f aca="false">SUMIFS('NF x Centro de Custo'!$G$5:$G$1270,'NF x Centro de Custo'!$C$5:$C$1270,$C186)</f>
        <v>0</v>
      </c>
      <c r="H186" s="15" t="n">
        <f aca="false">F186+G186</f>
        <v>659.5</v>
      </c>
      <c r="I186" s="25" t="n">
        <v>659.5</v>
      </c>
      <c r="J186" s="15" t="n">
        <f aca="false">ROUND(H186-I186,2)</f>
        <v>0</v>
      </c>
      <c r="K186" s="26" t="str">
        <f aca="false">IF(ABS(J186)&lt;0.05,"OK","Verificar")</f>
        <v>OK</v>
      </c>
    </row>
    <row r="187" customFormat="false" ht="15" hidden="false" customHeight="false" outlineLevel="0" collapsed="false">
      <c r="A187" s="3" t="n">
        <v>2</v>
      </c>
      <c r="B187" s="24" t="n">
        <v>46054</v>
      </c>
      <c r="C187" s="3" t="s">
        <v>414</v>
      </c>
      <c r="D187" s="3" t="s">
        <v>226</v>
      </c>
      <c r="E187" s="3" t="n">
        <f aca="false">COUNTIF('NF x Centro de Custo'!$C$5:$C$1270,$C187)</f>
        <v>2</v>
      </c>
      <c r="F187" s="15" t="n">
        <f aca="false">SUMIFS('NF x Centro de Custo'!$F$5:$F$1270,'NF x Centro de Custo'!$C$5:$C$1270,$C187)</f>
        <v>11006.07</v>
      </c>
      <c r="G187" s="15" t="n">
        <f aca="false">SUMIFS('NF x Centro de Custo'!$G$5:$G$1270,'NF x Centro de Custo'!$C$5:$C$1270,$C187)</f>
        <v>0</v>
      </c>
      <c r="H187" s="15" t="n">
        <f aca="false">F187+G187</f>
        <v>11006.07</v>
      </c>
      <c r="I187" s="25" t="n">
        <v>11006.07</v>
      </c>
      <c r="J187" s="15" t="n">
        <f aca="false">ROUND(H187-I187,2)</f>
        <v>0</v>
      </c>
      <c r="K187" s="26" t="str">
        <f aca="false">IF(ABS(J187)&lt;0.05,"OK","Verificar")</f>
        <v>OK</v>
      </c>
    </row>
    <row r="188" customFormat="false" ht="15" hidden="false" customHeight="false" outlineLevel="0" collapsed="false">
      <c r="A188" s="3" t="n">
        <v>2</v>
      </c>
      <c r="B188" s="24" t="n">
        <v>46054</v>
      </c>
      <c r="C188" s="3" t="s">
        <v>415</v>
      </c>
      <c r="D188" s="3" t="s">
        <v>224</v>
      </c>
      <c r="E188" s="3" t="n">
        <f aca="false">COUNTIF('NF x Centro de Custo'!$C$5:$C$1270,$C188)</f>
        <v>1</v>
      </c>
      <c r="F188" s="15" t="n">
        <f aca="false">SUMIFS('NF x Centro de Custo'!$F$5:$F$1270,'NF x Centro de Custo'!$C$5:$C$1270,$C188)</f>
        <v>8467.15</v>
      </c>
      <c r="G188" s="15" t="n">
        <f aca="false">SUMIFS('NF x Centro de Custo'!$G$5:$G$1270,'NF x Centro de Custo'!$C$5:$C$1270,$C188)</f>
        <v>3001.44</v>
      </c>
      <c r="H188" s="15" t="n">
        <f aca="false">F188+G188</f>
        <v>11468.59</v>
      </c>
      <c r="I188" s="25" t="n">
        <v>11468.59</v>
      </c>
      <c r="J188" s="15" t="n">
        <f aca="false">ROUND(H188-I188,2)</f>
        <v>0</v>
      </c>
      <c r="K188" s="26" t="str">
        <f aca="false">IF(ABS(J188)&lt;0.05,"OK","Verificar")</f>
        <v>OK</v>
      </c>
    </row>
    <row r="189" customFormat="false" ht="15" hidden="false" customHeight="false" outlineLevel="0" collapsed="false">
      <c r="A189" s="3" t="n">
        <v>2</v>
      </c>
      <c r="B189" s="24" t="n">
        <v>46054</v>
      </c>
      <c r="C189" s="3" t="s">
        <v>416</v>
      </c>
      <c r="D189" s="3" t="s">
        <v>224</v>
      </c>
      <c r="E189" s="3" t="n">
        <f aca="false">COUNTIF('NF x Centro de Custo'!$C$5:$C$1270,$C189)</f>
        <v>1</v>
      </c>
      <c r="F189" s="15" t="n">
        <f aca="false">SUMIFS('NF x Centro de Custo'!$F$5:$F$1270,'NF x Centro de Custo'!$C$5:$C$1270,$C189)</f>
        <v>4745.32</v>
      </c>
      <c r="G189" s="15" t="n">
        <f aca="false">SUMIFS('NF x Centro de Custo'!$G$5:$G$1270,'NF x Centro de Custo'!$C$5:$C$1270,$C189)</f>
        <v>1784.72</v>
      </c>
      <c r="H189" s="15" t="n">
        <f aca="false">F189+G189</f>
        <v>6530.04</v>
      </c>
      <c r="I189" s="25" t="n">
        <v>6530.04</v>
      </c>
      <c r="J189" s="15" t="n">
        <f aca="false">ROUND(H189-I189,2)</f>
        <v>0</v>
      </c>
      <c r="K189" s="26" t="str">
        <f aca="false">IF(ABS(J189)&lt;0.05,"OK","Verificar")</f>
        <v>OK</v>
      </c>
    </row>
    <row r="190" customFormat="false" ht="15" hidden="false" customHeight="false" outlineLevel="0" collapsed="false">
      <c r="A190" s="3" t="n">
        <v>2</v>
      </c>
      <c r="B190" s="24" t="n">
        <v>46054</v>
      </c>
      <c r="C190" s="3" t="s">
        <v>417</v>
      </c>
      <c r="D190" s="3" t="s">
        <v>224</v>
      </c>
      <c r="E190" s="3" t="n">
        <f aca="false">COUNTIF('NF x Centro de Custo'!$C$5:$C$1270,$C190)</f>
        <v>1</v>
      </c>
      <c r="F190" s="15" t="n">
        <f aca="false">SUMIFS('NF x Centro de Custo'!$F$5:$F$1270,'NF x Centro de Custo'!$C$5:$C$1270,$C190)</f>
        <v>32385.85</v>
      </c>
      <c r="G190" s="15" t="n">
        <f aca="false">SUMIFS('NF x Centro de Custo'!$G$5:$G$1270,'NF x Centro de Custo'!$C$5:$C$1270,$C190)</f>
        <v>11268.24</v>
      </c>
      <c r="H190" s="15" t="n">
        <f aca="false">F190+G190</f>
        <v>43654.09</v>
      </c>
      <c r="I190" s="25" t="n">
        <v>43654.09</v>
      </c>
      <c r="J190" s="15" t="n">
        <f aca="false">ROUND(H190-I190,2)</f>
        <v>0</v>
      </c>
      <c r="K190" s="26" t="str">
        <f aca="false">IF(ABS(J190)&lt;0.05,"OK","Verificar")</f>
        <v>OK</v>
      </c>
    </row>
    <row r="191" customFormat="false" ht="15" hidden="false" customHeight="false" outlineLevel="0" collapsed="false">
      <c r="A191" s="3" t="n">
        <v>2</v>
      </c>
      <c r="B191" s="24" t="n">
        <v>46054</v>
      </c>
      <c r="C191" s="3" t="s">
        <v>418</v>
      </c>
      <c r="D191" s="3" t="s">
        <v>224</v>
      </c>
      <c r="E191" s="3" t="n">
        <f aca="false">COUNTIF('NF x Centro de Custo'!$C$5:$C$1270,$C191)</f>
        <v>1</v>
      </c>
      <c r="F191" s="15" t="n">
        <f aca="false">SUMIFS('NF x Centro de Custo'!$F$5:$F$1270,'NF x Centro de Custo'!$C$5:$C$1270,$C191)</f>
        <v>442.22</v>
      </c>
      <c r="G191" s="15" t="n">
        <f aca="false">SUMIFS('NF x Centro de Custo'!$G$5:$G$1270,'NF x Centro de Custo'!$C$5:$C$1270,$C191)</f>
        <v>153.27</v>
      </c>
      <c r="H191" s="15" t="n">
        <f aca="false">F191+G191</f>
        <v>595.49</v>
      </c>
      <c r="I191" s="25" t="n">
        <v>595.49</v>
      </c>
      <c r="J191" s="15" t="n">
        <f aca="false">ROUND(H191-I191,2)</f>
        <v>0</v>
      </c>
      <c r="K191" s="26" t="str">
        <f aca="false">IF(ABS(J191)&lt;0.05,"OK","Verificar")</f>
        <v>OK</v>
      </c>
    </row>
    <row r="192" customFormat="false" ht="15" hidden="false" customHeight="false" outlineLevel="0" collapsed="false">
      <c r="A192" s="3" t="n">
        <v>2</v>
      </c>
      <c r="B192" s="24" t="n">
        <v>46054</v>
      </c>
      <c r="C192" s="3" t="s">
        <v>419</v>
      </c>
      <c r="D192" s="3" t="s">
        <v>237</v>
      </c>
      <c r="E192" s="3" t="n">
        <f aca="false">COUNTIF('NF x Centro de Custo'!$C$5:$C$1270,$C192)</f>
        <v>2</v>
      </c>
      <c r="F192" s="15" t="n">
        <f aca="false">SUMIFS('NF x Centro de Custo'!$F$5:$F$1270,'NF x Centro de Custo'!$C$5:$C$1270,$C192)</f>
        <v>89956.84</v>
      </c>
      <c r="G192" s="15" t="n">
        <f aca="false">SUMIFS('NF x Centro de Custo'!$G$5:$G$1270,'NF x Centro de Custo'!$C$5:$C$1270,$C192)</f>
        <v>31325.63</v>
      </c>
      <c r="H192" s="15" t="n">
        <f aca="false">F192+G192</f>
        <v>121282.47</v>
      </c>
      <c r="I192" s="25" t="n">
        <v>121282.47</v>
      </c>
      <c r="J192" s="15" t="n">
        <f aca="false">ROUND(H192-I192,2)</f>
        <v>0</v>
      </c>
      <c r="K192" s="26" t="str">
        <f aca="false">IF(ABS(J192)&lt;0.05,"OK","Verificar")</f>
        <v>OK</v>
      </c>
    </row>
    <row r="193" customFormat="false" ht="15" hidden="false" customHeight="false" outlineLevel="0" collapsed="false">
      <c r="A193" s="3" t="n">
        <v>3</v>
      </c>
      <c r="B193" s="24" t="n">
        <v>46082</v>
      </c>
      <c r="C193" s="3" t="s">
        <v>420</v>
      </c>
      <c r="D193" s="3" t="s">
        <v>222</v>
      </c>
      <c r="E193" s="3" t="n">
        <f aca="false">COUNTIF('NF x Centro de Custo'!$C$5:$C$1270,$C193)</f>
        <v>4</v>
      </c>
      <c r="F193" s="15" t="n">
        <f aca="false">SUMIFS('NF x Centro de Custo'!$F$5:$F$1270,'NF x Centro de Custo'!$C$5:$C$1270,$C193)</f>
        <v>731751.43</v>
      </c>
      <c r="G193" s="15" t="n">
        <f aca="false">SUMIFS('NF x Centro de Custo'!$G$5:$G$1270,'NF x Centro de Custo'!$C$5:$C$1270,$C193)</f>
        <v>258605.42</v>
      </c>
      <c r="H193" s="15" t="n">
        <f aca="false">F193+G193</f>
        <v>990356.85</v>
      </c>
      <c r="I193" s="25" t="n">
        <v>990356.85</v>
      </c>
      <c r="J193" s="15" t="n">
        <f aca="false">ROUND(H193-I193,2)</f>
        <v>0</v>
      </c>
      <c r="K193" s="26" t="str">
        <f aca="false">IF(ABS(J193)&lt;0.05,"OK","Verificar")</f>
        <v>OK</v>
      </c>
    </row>
    <row r="194" customFormat="false" ht="15" hidden="false" customHeight="false" outlineLevel="0" collapsed="false">
      <c r="A194" s="3" t="n">
        <v>3</v>
      </c>
      <c r="B194" s="24" t="n">
        <v>46082</v>
      </c>
      <c r="C194" s="3" t="s">
        <v>421</v>
      </c>
      <c r="D194" s="3" t="s">
        <v>222</v>
      </c>
      <c r="E194" s="3" t="n">
        <f aca="false">COUNTIF('NF x Centro de Custo'!$C$5:$C$1270,$C194)</f>
        <v>14</v>
      </c>
      <c r="F194" s="15" t="n">
        <f aca="false">SUMIFS('NF x Centro de Custo'!$F$5:$F$1270,'NF x Centro de Custo'!$C$5:$C$1270,$C194)</f>
        <v>1798183.53</v>
      </c>
      <c r="G194" s="15" t="n">
        <f aca="false">SUMIFS('NF x Centro de Custo'!$G$5:$G$1270,'NF x Centro de Custo'!$C$5:$C$1270,$C194)</f>
        <v>634409.23</v>
      </c>
      <c r="H194" s="15" t="n">
        <f aca="false">F194+G194</f>
        <v>2432592.76</v>
      </c>
      <c r="I194" s="25" t="n">
        <v>2432592.76</v>
      </c>
      <c r="J194" s="15" t="n">
        <f aca="false">ROUND(H194-I194,2)</f>
        <v>0</v>
      </c>
      <c r="K194" s="26" t="str">
        <f aca="false">IF(ABS(J194)&lt;0.05,"OK","Verificar")</f>
        <v>OK</v>
      </c>
    </row>
    <row r="195" customFormat="false" ht="15" hidden="false" customHeight="false" outlineLevel="0" collapsed="false">
      <c r="A195" s="3" t="n">
        <v>3</v>
      </c>
      <c r="B195" s="24" t="n">
        <v>46082</v>
      </c>
      <c r="C195" s="3" t="s">
        <v>422</v>
      </c>
      <c r="D195" s="3" t="s">
        <v>222</v>
      </c>
      <c r="E195" s="3" t="n">
        <f aca="false">COUNTIF('NF x Centro de Custo'!$C$5:$C$1270,$C195)</f>
        <v>2</v>
      </c>
      <c r="F195" s="15" t="n">
        <f aca="false">SUMIFS('NF x Centro de Custo'!$F$5:$F$1270,'NF x Centro de Custo'!$C$5:$C$1270,$C195)</f>
        <v>19665.28</v>
      </c>
      <c r="G195" s="15" t="n">
        <f aca="false">SUMIFS('NF x Centro de Custo'!$G$5:$G$1270,'NF x Centro de Custo'!$C$5:$C$1270,$C195)</f>
        <v>6899.49</v>
      </c>
      <c r="H195" s="15" t="n">
        <f aca="false">F195+G195</f>
        <v>26564.77</v>
      </c>
      <c r="I195" s="25" t="n">
        <v>26564.77</v>
      </c>
      <c r="J195" s="15" t="n">
        <f aca="false">ROUND(H195-I195,2)</f>
        <v>0</v>
      </c>
      <c r="K195" s="26" t="str">
        <f aca="false">IF(ABS(J195)&lt;0.05,"OK","Verificar")</f>
        <v>OK</v>
      </c>
    </row>
    <row r="196" customFormat="false" ht="15" hidden="false" customHeight="false" outlineLevel="0" collapsed="false">
      <c r="A196" s="3" t="n">
        <v>3</v>
      </c>
      <c r="B196" s="24" t="n">
        <v>46082</v>
      </c>
      <c r="C196" s="3" t="s">
        <v>423</v>
      </c>
      <c r="D196" s="3" t="s">
        <v>212</v>
      </c>
      <c r="E196" s="3" t="n">
        <f aca="false">COUNTIF('NF x Centro de Custo'!$C$5:$C$1270,$C196)</f>
        <v>8</v>
      </c>
      <c r="F196" s="15" t="n">
        <f aca="false">SUMIFS('NF x Centro de Custo'!$F$5:$F$1270,'NF x Centro de Custo'!$C$5:$C$1270,$C196)</f>
        <v>237952.08</v>
      </c>
      <c r="G196" s="15" t="n">
        <f aca="false">SUMIFS('NF x Centro de Custo'!$G$5:$G$1270,'NF x Centro de Custo'!$C$5:$C$1270,$C196)</f>
        <v>73249.97</v>
      </c>
      <c r="H196" s="15" t="n">
        <f aca="false">F196+G196</f>
        <v>311202.05</v>
      </c>
      <c r="I196" s="25" t="n">
        <v>311202.05</v>
      </c>
      <c r="J196" s="15" t="n">
        <f aca="false">ROUND(H196-I196,2)</f>
        <v>0</v>
      </c>
      <c r="K196" s="26" t="str">
        <f aca="false">IF(ABS(J196)&lt;0.05,"OK","Verificar")</f>
        <v>OK</v>
      </c>
    </row>
    <row r="197" customFormat="false" ht="15" hidden="false" customHeight="false" outlineLevel="0" collapsed="false">
      <c r="A197" s="3" t="n">
        <v>3</v>
      </c>
      <c r="B197" s="24" t="n">
        <v>46082</v>
      </c>
      <c r="C197" s="3" t="s">
        <v>424</v>
      </c>
      <c r="D197" s="3" t="s">
        <v>214</v>
      </c>
      <c r="E197" s="3" t="n">
        <f aca="false">COUNTIF('NF x Centro de Custo'!$C$5:$C$1270,$C197)</f>
        <v>1</v>
      </c>
      <c r="F197" s="15" t="n">
        <f aca="false">SUMIFS('NF x Centro de Custo'!$F$5:$F$1270,'NF x Centro de Custo'!$C$5:$C$1270,$C197)</f>
        <v>5690.62</v>
      </c>
      <c r="G197" s="15" t="n">
        <f aca="false">SUMIFS('NF x Centro de Custo'!$G$5:$G$1270,'NF x Centro de Custo'!$C$5:$C$1270,$C197)</f>
        <v>2009.15</v>
      </c>
      <c r="H197" s="15" t="n">
        <f aca="false">F197+G197</f>
        <v>7699.77</v>
      </c>
      <c r="I197" s="25" t="n">
        <v>7699.77</v>
      </c>
      <c r="J197" s="15" t="n">
        <f aca="false">ROUND(H197-I197,2)</f>
        <v>0</v>
      </c>
      <c r="K197" s="26" t="str">
        <f aca="false">IF(ABS(J197)&lt;0.05,"OK","Verificar")</f>
        <v>OK</v>
      </c>
    </row>
    <row r="198" customFormat="false" ht="15" hidden="false" customHeight="false" outlineLevel="0" collapsed="false">
      <c r="A198" s="3" t="n">
        <v>3</v>
      </c>
      <c r="B198" s="24" t="n">
        <v>46082</v>
      </c>
      <c r="C198" s="3" t="s">
        <v>425</v>
      </c>
      <c r="D198" s="3" t="s">
        <v>214</v>
      </c>
      <c r="E198" s="3" t="n">
        <f aca="false">COUNTIF('NF x Centro de Custo'!$C$5:$C$1270,$C198)</f>
        <v>1</v>
      </c>
      <c r="F198" s="15" t="n">
        <f aca="false">SUMIFS('NF x Centro de Custo'!$F$5:$F$1270,'NF x Centro de Custo'!$C$5:$C$1270,$C198)</f>
        <v>7156.62</v>
      </c>
      <c r="G198" s="15" t="n">
        <f aca="false">SUMIFS('NF x Centro de Custo'!$G$5:$G$1270,'NF x Centro de Custo'!$C$5:$C$1270,$C198)</f>
        <v>2551.14</v>
      </c>
      <c r="H198" s="15" t="n">
        <f aca="false">F198+G198</f>
        <v>9707.76</v>
      </c>
      <c r="I198" s="25" t="n">
        <v>9707.76</v>
      </c>
      <c r="J198" s="15" t="n">
        <f aca="false">ROUND(H198-I198,2)</f>
        <v>0</v>
      </c>
      <c r="K198" s="26" t="str">
        <f aca="false">IF(ABS(J198)&lt;0.05,"OK","Verificar")</f>
        <v>OK</v>
      </c>
    </row>
    <row r="199" customFormat="false" ht="15" hidden="false" customHeight="false" outlineLevel="0" collapsed="false">
      <c r="A199" s="3" t="n">
        <v>3</v>
      </c>
      <c r="B199" s="24" t="n">
        <v>46082</v>
      </c>
      <c r="C199" s="3" t="s">
        <v>426</v>
      </c>
      <c r="D199" s="3" t="s">
        <v>222</v>
      </c>
      <c r="E199" s="3" t="n">
        <f aca="false">COUNTIF('NF x Centro de Custo'!$C$5:$C$1270,$C199)</f>
        <v>3</v>
      </c>
      <c r="F199" s="15" t="n">
        <f aca="false">SUMIFS('NF x Centro de Custo'!$F$5:$F$1270,'NF x Centro de Custo'!$C$5:$C$1270,$C199)</f>
        <v>249830.74</v>
      </c>
      <c r="G199" s="15" t="n">
        <f aca="false">SUMIFS('NF x Centro de Custo'!$G$5:$G$1270,'NF x Centro de Custo'!$C$5:$C$1270,$C199)</f>
        <v>88335.89</v>
      </c>
      <c r="H199" s="15" t="n">
        <f aca="false">F199+G199</f>
        <v>338166.63</v>
      </c>
      <c r="I199" s="25" t="n">
        <v>338166.63</v>
      </c>
      <c r="J199" s="15" t="n">
        <f aca="false">ROUND(H199-I199,2)</f>
        <v>0</v>
      </c>
      <c r="K199" s="26" t="str">
        <f aca="false">IF(ABS(J199)&lt;0.05,"OK","Verificar")</f>
        <v>OK</v>
      </c>
    </row>
    <row r="200" customFormat="false" ht="15" hidden="false" customHeight="false" outlineLevel="0" collapsed="false">
      <c r="A200" s="3" t="n">
        <v>3</v>
      </c>
      <c r="B200" s="24" t="n">
        <v>46082</v>
      </c>
      <c r="C200" s="3" t="s">
        <v>427</v>
      </c>
      <c r="D200" s="3" t="s">
        <v>321</v>
      </c>
      <c r="E200" s="3" t="n">
        <f aca="false">COUNTIF('NF x Centro de Custo'!$C$5:$C$1270,$C200)</f>
        <v>1</v>
      </c>
      <c r="F200" s="15" t="n">
        <f aca="false">SUMIFS('NF x Centro de Custo'!$F$5:$F$1270,'NF x Centro de Custo'!$C$5:$C$1270,$C200)</f>
        <v>33834.04</v>
      </c>
      <c r="G200" s="15" t="n">
        <f aca="false">SUMIFS('NF x Centro de Custo'!$G$5:$G$1270,'NF x Centro de Custo'!$C$5:$C$1270,$C200)</f>
        <v>11241.64</v>
      </c>
      <c r="H200" s="15" t="n">
        <f aca="false">F200+G200</f>
        <v>45075.68</v>
      </c>
      <c r="I200" s="25" t="n">
        <v>45075.68</v>
      </c>
      <c r="J200" s="15" t="n">
        <f aca="false">ROUND(H200-I200,2)</f>
        <v>0</v>
      </c>
      <c r="K200" s="26" t="str">
        <f aca="false">IF(ABS(J200)&lt;0.05,"OK","Verificar")</f>
        <v>OK</v>
      </c>
    </row>
    <row r="201" customFormat="false" ht="15" hidden="false" customHeight="false" outlineLevel="0" collapsed="false">
      <c r="A201" s="3" t="n">
        <v>3</v>
      </c>
      <c r="B201" s="24" t="n">
        <v>46082</v>
      </c>
      <c r="C201" s="3" t="s">
        <v>428</v>
      </c>
      <c r="D201" s="3" t="s">
        <v>217</v>
      </c>
      <c r="E201" s="3" t="n">
        <f aca="false">COUNTIF('NF x Centro de Custo'!$C$5:$C$1270,$C201)</f>
        <v>2</v>
      </c>
      <c r="F201" s="15" t="n">
        <f aca="false">SUMIFS('NF x Centro de Custo'!$F$5:$F$1270,'NF x Centro de Custo'!$C$5:$C$1270,$C201)</f>
        <v>14083.35</v>
      </c>
      <c r="G201" s="15" t="n">
        <f aca="false">SUMIFS('NF x Centro de Custo'!$G$5:$G$1270,'NF x Centro de Custo'!$C$5:$C$1270,$C201)</f>
        <v>5197.32</v>
      </c>
      <c r="H201" s="15" t="n">
        <f aca="false">F201+G201</f>
        <v>19280.67</v>
      </c>
      <c r="I201" s="25" t="n">
        <v>19280.67</v>
      </c>
      <c r="J201" s="15" t="n">
        <f aca="false">ROUND(H201-I201,2)</f>
        <v>0</v>
      </c>
      <c r="K201" s="26" t="str">
        <f aca="false">IF(ABS(J201)&lt;0.05,"OK","Verificar")</f>
        <v>OK</v>
      </c>
    </row>
    <row r="202" customFormat="false" ht="15" hidden="false" customHeight="false" outlineLevel="0" collapsed="false">
      <c r="A202" s="3" t="n">
        <v>3</v>
      </c>
      <c r="B202" s="24" t="n">
        <v>46082</v>
      </c>
      <c r="C202" s="3" t="s">
        <v>429</v>
      </c>
      <c r="D202" s="3" t="s">
        <v>217</v>
      </c>
      <c r="E202" s="3" t="n">
        <f aca="false">COUNTIF('NF x Centro de Custo'!$C$5:$C$1270,$C202)</f>
        <v>1</v>
      </c>
      <c r="F202" s="15" t="n">
        <f aca="false">SUMIFS('NF x Centro de Custo'!$F$5:$F$1270,'NF x Centro de Custo'!$C$5:$C$1270,$C202)</f>
        <v>35234.91</v>
      </c>
      <c r="G202" s="15" t="n">
        <f aca="false">SUMIFS('NF x Centro de Custo'!$G$5:$G$1270,'NF x Centro de Custo'!$C$5:$C$1270,$C202)</f>
        <v>12400.39</v>
      </c>
      <c r="H202" s="15" t="n">
        <f aca="false">F202+G202</f>
        <v>47635.3</v>
      </c>
      <c r="I202" s="25" t="n">
        <v>47635.3</v>
      </c>
      <c r="J202" s="15" t="n">
        <f aca="false">ROUND(H202-I202,2)</f>
        <v>0</v>
      </c>
      <c r="K202" s="26" t="str">
        <f aca="false">IF(ABS(J202)&lt;0.05,"OK","Verificar")</f>
        <v>OK</v>
      </c>
    </row>
    <row r="203" customFormat="false" ht="15" hidden="false" customHeight="false" outlineLevel="0" collapsed="false">
      <c r="A203" s="3" t="n">
        <v>3</v>
      </c>
      <c r="B203" s="24" t="n">
        <v>46082</v>
      </c>
      <c r="C203" s="3" t="s">
        <v>430</v>
      </c>
      <c r="D203" s="3" t="s">
        <v>217</v>
      </c>
      <c r="E203" s="3" t="n">
        <f aca="false">COUNTIF('NF x Centro de Custo'!$C$5:$C$1270,$C203)</f>
        <v>1</v>
      </c>
      <c r="F203" s="15" t="n">
        <f aca="false">SUMIFS('NF x Centro de Custo'!$F$5:$F$1270,'NF x Centro de Custo'!$C$5:$C$1270,$C203)</f>
        <v>5553.85</v>
      </c>
      <c r="G203" s="15" t="n">
        <f aca="false">SUMIFS('NF x Centro de Custo'!$G$5:$G$1270,'NF x Centro de Custo'!$C$5:$C$1270,$C203)</f>
        <v>1991.43</v>
      </c>
      <c r="H203" s="15" t="n">
        <f aca="false">F203+G203</f>
        <v>7545.28</v>
      </c>
      <c r="I203" s="25" t="n">
        <v>7545.28</v>
      </c>
      <c r="J203" s="15" t="n">
        <f aca="false">ROUND(H203-I203,2)</f>
        <v>0</v>
      </c>
      <c r="K203" s="26" t="str">
        <f aca="false">IF(ABS(J203)&lt;0.05,"OK","Verificar")</f>
        <v>OK</v>
      </c>
    </row>
    <row r="204" customFormat="false" ht="15" hidden="false" customHeight="false" outlineLevel="0" collapsed="false">
      <c r="A204" s="3" t="n">
        <v>3</v>
      </c>
      <c r="B204" s="24" t="n">
        <v>46082</v>
      </c>
      <c r="C204" s="3" t="s">
        <v>431</v>
      </c>
      <c r="D204" s="3" t="s">
        <v>219</v>
      </c>
      <c r="E204" s="3" t="n">
        <f aca="false">COUNTIF('NF x Centro de Custo'!$C$5:$C$1270,$C204)</f>
        <v>1</v>
      </c>
      <c r="F204" s="15" t="n">
        <f aca="false">SUMIFS('NF x Centro de Custo'!$F$5:$F$1270,'NF x Centro de Custo'!$C$5:$C$1270,$C204)</f>
        <v>11230.88</v>
      </c>
      <c r="G204" s="15" t="n">
        <f aca="false">SUMIFS('NF x Centro de Custo'!$G$5:$G$1270,'NF x Centro de Custo'!$C$5:$C$1270,$C204)</f>
        <v>4026.87</v>
      </c>
      <c r="H204" s="15" t="n">
        <f aca="false">F204+G204</f>
        <v>15257.75</v>
      </c>
      <c r="I204" s="25" t="n">
        <v>15257.75</v>
      </c>
      <c r="J204" s="15" t="n">
        <f aca="false">ROUND(H204-I204,2)</f>
        <v>0</v>
      </c>
      <c r="K204" s="26" t="str">
        <f aca="false">IF(ABS(J204)&lt;0.05,"OK","Verificar")</f>
        <v>OK</v>
      </c>
    </row>
    <row r="205" customFormat="false" ht="15" hidden="false" customHeight="false" outlineLevel="0" collapsed="false">
      <c r="A205" s="3" t="n">
        <v>3</v>
      </c>
      <c r="B205" s="24" t="n">
        <v>46082</v>
      </c>
      <c r="C205" s="3" t="s">
        <v>432</v>
      </c>
      <c r="D205" s="3" t="s">
        <v>219</v>
      </c>
      <c r="E205" s="3" t="n">
        <f aca="false">COUNTIF('NF x Centro de Custo'!$C$5:$C$1270,$C205)</f>
        <v>1</v>
      </c>
      <c r="F205" s="15" t="n">
        <f aca="false">SUMIFS('NF x Centro de Custo'!$F$5:$F$1270,'NF x Centro de Custo'!$C$5:$C$1270,$C205)</f>
        <v>53082.38</v>
      </c>
      <c r="G205" s="15" t="n">
        <f aca="false">SUMIFS('NF x Centro de Custo'!$G$5:$G$1270,'NF x Centro de Custo'!$C$5:$C$1270,$C205)</f>
        <v>19296.44</v>
      </c>
      <c r="H205" s="15" t="n">
        <f aca="false">F205+G205</f>
        <v>72378.82</v>
      </c>
      <c r="I205" s="25" t="n">
        <v>72378.82</v>
      </c>
      <c r="J205" s="15" t="n">
        <f aca="false">ROUND(H205-I205,2)</f>
        <v>0</v>
      </c>
      <c r="K205" s="26" t="str">
        <f aca="false">IF(ABS(J205)&lt;0.05,"OK","Verificar")</f>
        <v>OK</v>
      </c>
    </row>
    <row r="206" customFormat="false" ht="15" hidden="false" customHeight="false" outlineLevel="0" collapsed="false">
      <c r="A206" s="3" t="n">
        <v>3</v>
      </c>
      <c r="B206" s="24" t="n">
        <v>46082</v>
      </c>
      <c r="C206" s="3" t="s">
        <v>433</v>
      </c>
      <c r="D206" s="3" t="s">
        <v>219</v>
      </c>
      <c r="E206" s="3" t="n">
        <f aca="false">COUNTIF('NF x Centro de Custo'!$C$5:$C$1270,$C206)</f>
        <v>1</v>
      </c>
      <c r="F206" s="15" t="n">
        <f aca="false">SUMIFS('NF x Centro de Custo'!$F$5:$F$1270,'NF x Centro de Custo'!$C$5:$C$1270,$C206)</f>
        <v>22339.5</v>
      </c>
      <c r="G206" s="15" t="n">
        <f aca="false">SUMIFS('NF x Centro de Custo'!$G$5:$G$1270,'NF x Centro de Custo'!$C$5:$C$1270,$C206)</f>
        <v>7763.94</v>
      </c>
      <c r="H206" s="15" t="n">
        <f aca="false">F206+G206</f>
        <v>30103.44</v>
      </c>
      <c r="I206" s="25" t="n">
        <v>30103.44</v>
      </c>
      <c r="J206" s="15" t="n">
        <f aca="false">ROUND(H206-I206,2)</f>
        <v>0</v>
      </c>
      <c r="K206" s="26" t="str">
        <f aca="false">IF(ABS(J206)&lt;0.05,"OK","Verificar")</f>
        <v>OK</v>
      </c>
    </row>
    <row r="207" customFormat="false" ht="15" hidden="false" customHeight="false" outlineLevel="0" collapsed="false">
      <c r="A207" s="3" t="n">
        <v>3</v>
      </c>
      <c r="B207" s="24" t="n">
        <v>46082</v>
      </c>
      <c r="C207" s="3" t="s">
        <v>434</v>
      </c>
      <c r="D207" s="3" t="s">
        <v>219</v>
      </c>
      <c r="E207" s="3" t="n">
        <f aca="false">COUNTIF('NF x Centro de Custo'!$C$5:$C$1270,$C207)</f>
        <v>1</v>
      </c>
      <c r="F207" s="15" t="n">
        <f aca="false">SUMIFS('NF x Centro de Custo'!$F$5:$F$1270,'NF x Centro de Custo'!$C$5:$C$1270,$C207)</f>
        <v>48620.37</v>
      </c>
      <c r="G207" s="15" t="n">
        <f aca="false">SUMIFS('NF x Centro de Custo'!$G$5:$G$1270,'NF x Centro de Custo'!$C$5:$C$1270,$C207)</f>
        <v>17021.48</v>
      </c>
      <c r="H207" s="15" t="n">
        <f aca="false">F207+G207</f>
        <v>65641.85</v>
      </c>
      <c r="I207" s="25" t="n">
        <v>65641.85</v>
      </c>
      <c r="J207" s="15" t="n">
        <f aca="false">ROUND(H207-I207,2)</f>
        <v>0</v>
      </c>
      <c r="K207" s="26" t="str">
        <f aca="false">IF(ABS(J207)&lt;0.05,"OK","Verificar")</f>
        <v>OK</v>
      </c>
    </row>
    <row r="208" customFormat="false" ht="15" hidden="false" customHeight="false" outlineLevel="0" collapsed="false">
      <c r="A208" s="3" t="n">
        <v>3</v>
      </c>
      <c r="B208" s="24" t="n">
        <v>46082</v>
      </c>
      <c r="C208" s="3" t="s">
        <v>435</v>
      </c>
      <c r="D208" s="3" t="s">
        <v>228</v>
      </c>
      <c r="E208" s="3" t="n">
        <f aca="false">COUNTIF('NF x Centro de Custo'!$C$5:$C$1270,$C208)</f>
        <v>2</v>
      </c>
      <c r="F208" s="15" t="n">
        <f aca="false">SUMIFS('NF x Centro de Custo'!$F$5:$F$1270,'NF x Centro de Custo'!$C$5:$C$1270,$C208)</f>
        <v>57505.68</v>
      </c>
      <c r="G208" s="15" t="n">
        <f aca="false">SUMIFS('NF x Centro de Custo'!$G$5:$G$1270,'NF x Centro de Custo'!$C$5:$C$1270,$C208)</f>
        <v>20035.13</v>
      </c>
      <c r="H208" s="15" t="n">
        <f aca="false">F208+G208</f>
        <v>77540.81</v>
      </c>
      <c r="I208" s="25" t="n">
        <v>77540.81</v>
      </c>
      <c r="J208" s="15" t="n">
        <f aca="false">ROUND(H208-I208,2)</f>
        <v>0</v>
      </c>
      <c r="K208" s="26" t="str">
        <f aca="false">IF(ABS(J208)&lt;0.05,"OK","Verificar")</f>
        <v>OK</v>
      </c>
    </row>
    <row r="209" customFormat="false" ht="15" hidden="false" customHeight="false" outlineLevel="0" collapsed="false">
      <c r="A209" s="3" t="n">
        <v>3</v>
      </c>
      <c r="B209" s="24" t="n">
        <v>46082</v>
      </c>
      <c r="C209" s="3" t="s">
        <v>436</v>
      </c>
      <c r="D209" s="3" t="s">
        <v>228</v>
      </c>
      <c r="E209" s="3" t="n">
        <f aca="false">COUNTIF('NF x Centro de Custo'!$C$5:$C$1270,$C209)</f>
        <v>1</v>
      </c>
      <c r="F209" s="15" t="n">
        <f aca="false">SUMIFS('NF x Centro de Custo'!$F$5:$F$1270,'NF x Centro de Custo'!$C$5:$C$1270,$C209)</f>
        <v>14824.61</v>
      </c>
      <c r="G209" s="15" t="n">
        <f aca="false">SUMIFS('NF x Centro de Custo'!$G$5:$G$1270,'NF x Centro de Custo'!$C$5:$C$1270,$C209)</f>
        <v>5506.9</v>
      </c>
      <c r="H209" s="15" t="n">
        <f aca="false">F209+G209</f>
        <v>20331.51</v>
      </c>
      <c r="I209" s="25" t="n">
        <v>20331.51</v>
      </c>
      <c r="J209" s="15" t="n">
        <f aca="false">ROUND(H209-I209,2)</f>
        <v>0</v>
      </c>
      <c r="K209" s="26" t="str">
        <f aca="false">IF(ABS(J209)&lt;0.05,"OK","Verificar")</f>
        <v>OK</v>
      </c>
    </row>
    <row r="210" customFormat="false" ht="15" hidden="false" customHeight="false" outlineLevel="0" collapsed="false">
      <c r="A210" s="3" t="n">
        <v>3</v>
      </c>
      <c r="B210" s="24" t="n">
        <v>46082</v>
      </c>
      <c r="C210" s="3" t="s">
        <v>437</v>
      </c>
      <c r="D210" s="3" t="s">
        <v>231</v>
      </c>
      <c r="E210" s="3" t="n">
        <f aca="false">COUNTIF('NF x Centro de Custo'!$C$5:$C$1270,$C210)</f>
        <v>1</v>
      </c>
      <c r="F210" s="15" t="n">
        <f aca="false">SUMIFS('NF x Centro de Custo'!$F$5:$F$1270,'NF x Centro de Custo'!$C$5:$C$1270,$C210)</f>
        <v>20179.74</v>
      </c>
      <c r="G210" s="15" t="n">
        <f aca="false">SUMIFS('NF x Centro de Custo'!$G$5:$G$1270,'NF x Centro de Custo'!$C$5:$C$1270,$C210)</f>
        <v>7185.31</v>
      </c>
      <c r="H210" s="15" t="n">
        <f aca="false">F210+G210</f>
        <v>27365.05</v>
      </c>
      <c r="I210" s="25" t="n">
        <v>27365.05</v>
      </c>
      <c r="J210" s="15" t="n">
        <f aca="false">ROUND(H210-I210,2)</f>
        <v>0</v>
      </c>
      <c r="K210" s="26" t="str">
        <f aca="false">IF(ABS(J210)&lt;0.05,"OK","Verificar")</f>
        <v>OK</v>
      </c>
    </row>
    <row r="211" customFormat="false" ht="15" hidden="false" customHeight="false" outlineLevel="0" collapsed="false">
      <c r="A211" s="3" t="n">
        <v>3</v>
      </c>
      <c r="B211" s="24" t="n">
        <v>46082</v>
      </c>
      <c r="C211" s="3" t="s">
        <v>438</v>
      </c>
      <c r="D211" s="3" t="s">
        <v>231</v>
      </c>
      <c r="E211" s="3" t="n">
        <f aca="false">COUNTIF('NF x Centro de Custo'!$C$5:$C$1270,$C211)</f>
        <v>1</v>
      </c>
      <c r="F211" s="15" t="n">
        <f aca="false">SUMIFS('NF x Centro de Custo'!$F$5:$F$1270,'NF x Centro de Custo'!$C$5:$C$1270,$C211)</f>
        <v>46786.17</v>
      </c>
      <c r="G211" s="15" t="n">
        <f aca="false">SUMIFS('NF x Centro de Custo'!$G$5:$G$1270,'NF x Centro de Custo'!$C$5:$C$1270,$C211)</f>
        <v>16833.02</v>
      </c>
      <c r="H211" s="15" t="n">
        <f aca="false">F211+G211</f>
        <v>63619.19</v>
      </c>
      <c r="I211" s="25" t="n">
        <v>63619.19</v>
      </c>
      <c r="J211" s="15" t="n">
        <f aca="false">ROUND(H211-I211,2)</f>
        <v>0</v>
      </c>
      <c r="K211" s="26" t="str">
        <f aca="false">IF(ABS(J211)&lt;0.05,"OK","Verificar")</f>
        <v>OK</v>
      </c>
    </row>
    <row r="212" customFormat="false" ht="15" hidden="false" customHeight="false" outlineLevel="0" collapsed="false">
      <c r="A212" s="3" t="n">
        <v>3</v>
      </c>
      <c r="B212" s="24" t="n">
        <v>46082</v>
      </c>
      <c r="C212" s="3" t="s">
        <v>439</v>
      </c>
      <c r="D212" s="3" t="s">
        <v>440</v>
      </c>
      <c r="E212" s="3" t="n">
        <f aca="false">COUNTIF('NF x Centro de Custo'!$C$5:$C$1270,$C212)</f>
        <v>1</v>
      </c>
      <c r="F212" s="15" t="n">
        <f aca="false">SUMIFS('NF x Centro de Custo'!$F$5:$F$1270,'NF x Centro de Custo'!$C$5:$C$1270,$C212)</f>
        <v>12174.24</v>
      </c>
      <c r="G212" s="15" t="n">
        <f aca="false">SUMIFS('NF x Centro de Custo'!$G$5:$G$1270,'NF x Centro de Custo'!$C$5:$C$1270,$C212)</f>
        <v>4423.83</v>
      </c>
      <c r="H212" s="15" t="n">
        <f aca="false">F212+G212</f>
        <v>16598.07</v>
      </c>
      <c r="I212" s="25" t="n">
        <v>16598.07</v>
      </c>
      <c r="J212" s="15" t="n">
        <f aca="false">ROUND(H212-I212,2)</f>
        <v>0</v>
      </c>
      <c r="K212" s="26" t="str">
        <f aca="false">IF(ABS(J212)&lt;0.05,"OK","Verificar")</f>
        <v>OK</v>
      </c>
    </row>
    <row r="213" customFormat="false" ht="15" hidden="false" customHeight="false" outlineLevel="0" collapsed="false">
      <c r="A213" s="3" t="n">
        <v>3</v>
      </c>
      <c r="B213" s="24" t="n">
        <v>46082</v>
      </c>
      <c r="C213" s="3" t="s">
        <v>441</v>
      </c>
      <c r="D213" s="3" t="s">
        <v>440</v>
      </c>
      <c r="E213" s="3" t="n">
        <f aca="false">COUNTIF('NF x Centro de Custo'!$C$5:$C$1270,$C213)</f>
        <v>1</v>
      </c>
      <c r="F213" s="15" t="n">
        <f aca="false">SUMIFS('NF x Centro de Custo'!$F$5:$F$1270,'NF x Centro de Custo'!$C$5:$C$1270,$C213)</f>
        <v>31244.56</v>
      </c>
      <c r="G213" s="15" t="n">
        <f aca="false">SUMIFS('NF x Centro de Custo'!$G$5:$G$1270,'NF x Centro de Custo'!$C$5:$C$1270,$C213)</f>
        <v>11170.48</v>
      </c>
      <c r="H213" s="15" t="n">
        <f aca="false">F213+G213</f>
        <v>42415.04</v>
      </c>
      <c r="I213" s="25" t="n">
        <v>42415.04</v>
      </c>
      <c r="J213" s="15" t="n">
        <f aca="false">ROUND(H213-I213,2)</f>
        <v>0</v>
      </c>
      <c r="K213" s="26" t="str">
        <f aca="false">IF(ABS(J213)&lt;0.05,"OK","Verificar")</f>
        <v>OK</v>
      </c>
    </row>
    <row r="214" customFormat="false" ht="15" hidden="false" customHeight="false" outlineLevel="0" collapsed="false">
      <c r="A214" s="3" t="n">
        <v>3</v>
      </c>
      <c r="B214" s="24" t="n">
        <v>46082</v>
      </c>
      <c r="C214" s="3" t="s">
        <v>442</v>
      </c>
      <c r="D214" s="3" t="s">
        <v>237</v>
      </c>
      <c r="E214" s="3" t="n">
        <f aca="false">COUNTIF('NF x Centro de Custo'!$C$5:$C$1270,$C214)</f>
        <v>1</v>
      </c>
      <c r="F214" s="15" t="n">
        <f aca="false">SUMIFS('NF x Centro de Custo'!$F$5:$F$1270,'NF x Centro de Custo'!$C$5:$C$1270,$C214)</f>
        <v>10375.76</v>
      </c>
      <c r="G214" s="15" t="n">
        <f aca="false">SUMIFS('NF x Centro de Custo'!$G$5:$G$1270,'NF x Centro de Custo'!$C$5:$C$1270,$C214)</f>
        <v>3706.7</v>
      </c>
      <c r="H214" s="15" t="n">
        <f aca="false">F214+G214</f>
        <v>14082.46</v>
      </c>
      <c r="I214" s="25" t="n">
        <v>14082.46</v>
      </c>
      <c r="J214" s="15" t="n">
        <f aca="false">ROUND(H214-I214,2)</f>
        <v>0</v>
      </c>
      <c r="K214" s="26" t="str">
        <f aca="false">IF(ABS(J214)&lt;0.05,"OK","Verificar")</f>
        <v>OK</v>
      </c>
    </row>
    <row r="215" customFormat="false" ht="15" hidden="false" customHeight="false" outlineLevel="0" collapsed="false">
      <c r="A215" s="3" t="n">
        <v>3</v>
      </c>
      <c r="B215" s="24" t="n">
        <v>46082</v>
      </c>
      <c r="C215" s="3" t="s">
        <v>443</v>
      </c>
      <c r="D215" s="3" t="s">
        <v>237</v>
      </c>
      <c r="E215" s="3" t="n">
        <f aca="false">COUNTIF('NF x Centro de Custo'!$C$5:$C$1270,$C215)</f>
        <v>1</v>
      </c>
      <c r="F215" s="15" t="n">
        <f aca="false">SUMIFS('NF x Centro de Custo'!$F$5:$F$1270,'NF x Centro de Custo'!$C$5:$C$1270,$C215)</f>
        <v>33700.67</v>
      </c>
      <c r="G215" s="15" t="n">
        <f aca="false">SUMIFS('NF x Centro de Custo'!$G$5:$G$1270,'NF x Centro de Custo'!$C$5:$C$1270,$C215)</f>
        <v>12236.1</v>
      </c>
      <c r="H215" s="15" t="n">
        <f aca="false">F215+G215</f>
        <v>45936.77</v>
      </c>
      <c r="I215" s="25" t="n">
        <v>45936.77</v>
      </c>
      <c r="J215" s="15" t="n">
        <f aca="false">ROUND(H215-I215,2)</f>
        <v>0</v>
      </c>
      <c r="K215" s="26" t="str">
        <f aca="false">IF(ABS(J215)&lt;0.05,"OK","Verificar")</f>
        <v>OK</v>
      </c>
    </row>
    <row r="216" customFormat="false" ht="15" hidden="false" customHeight="false" outlineLevel="0" collapsed="false">
      <c r="A216" s="3" t="n">
        <v>3</v>
      </c>
      <c r="B216" s="24" t="n">
        <v>46082</v>
      </c>
      <c r="C216" s="3" t="s">
        <v>444</v>
      </c>
      <c r="D216" s="3" t="s">
        <v>237</v>
      </c>
      <c r="E216" s="3" t="n">
        <f aca="false">COUNTIF('NF x Centro de Custo'!$C$5:$C$1270,$C216)</f>
        <v>2</v>
      </c>
      <c r="F216" s="15" t="n">
        <f aca="false">SUMIFS('NF x Centro de Custo'!$F$5:$F$1270,'NF x Centro de Custo'!$C$5:$C$1270,$C216)</f>
        <v>74977.72</v>
      </c>
      <c r="G216" s="15" t="n">
        <f aca="false">SUMIFS('NF x Centro de Custo'!$G$5:$G$1270,'NF x Centro de Custo'!$C$5:$C$1270,$C216)</f>
        <v>26119.95</v>
      </c>
      <c r="H216" s="15" t="n">
        <f aca="false">F216+G216</f>
        <v>101097.67</v>
      </c>
      <c r="I216" s="25" t="n">
        <v>101097.67</v>
      </c>
      <c r="J216" s="15" t="n">
        <f aca="false">ROUND(H216-I216,2)</f>
        <v>0</v>
      </c>
      <c r="K216" s="26" t="str">
        <f aca="false">IF(ABS(J216)&lt;0.05,"OK","Verificar")</f>
        <v>OK</v>
      </c>
    </row>
    <row r="217" customFormat="false" ht="15" hidden="false" customHeight="false" outlineLevel="0" collapsed="false">
      <c r="A217" s="3" t="n">
        <v>3</v>
      </c>
      <c r="B217" s="24" t="n">
        <v>46082</v>
      </c>
      <c r="C217" s="3" t="s">
        <v>445</v>
      </c>
      <c r="D217" s="3" t="s">
        <v>237</v>
      </c>
      <c r="E217" s="3" t="n">
        <f aca="false">COUNTIF('NF x Centro de Custo'!$C$5:$C$1270,$C217)</f>
        <v>1</v>
      </c>
      <c r="F217" s="15" t="n">
        <f aca="false">SUMIFS('NF x Centro de Custo'!$F$5:$F$1270,'NF x Centro de Custo'!$C$5:$C$1270,$C217)</f>
        <v>752.76</v>
      </c>
      <c r="G217" s="15" t="n">
        <f aca="false">SUMIFS('NF x Centro de Custo'!$G$5:$G$1270,'NF x Centro de Custo'!$C$5:$C$1270,$C217)</f>
        <v>575.11</v>
      </c>
      <c r="H217" s="15" t="n">
        <f aca="false">F217+G217</f>
        <v>1327.87</v>
      </c>
      <c r="I217" s="25" t="n">
        <v>1327.87</v>
      </c>
      <c r="J217" s="15" t="n">
        <f aca="false">ROUND(H217-I217,2)</f>
        <v>0</v>
      </c>
      <c r="K217" s="26" t="str">
        <f aca="false">IF(ABS(J217)&lt;0.05,"OK","Verificar")</f>
        <v>OK</v>
      </c>
    </row>
    <row r="218" customFormat="false" ht="15" hidden="false" customHeight="false" outlineLevel="0" collapsed="false">
      <c r="A218" s="3" t="n">
        <v>3</v>
      </c>
      <c r="B218" s="24" t="n">
        <v>46082</v>
      </c>
      <c r="C218" s="3" t="s">
        <v>446</v>
      </c>
      <c r="D218" s="3" t="s">
        <v>440</v>
      </c>
      <c r="E218" s="3" t="n">
        <f aca="false">COUNTIF('NF x Centro de Custo'!$C$5:$C$1270,$C218)</f>
        <v>5</v>
      </c>
      <c r="F218" s="15" t="n">
        <f aca="false">SUMIFS('NF x Centro de Custo'!$F$5:$F$1270,'NF x Centro de Custo'!$C$5:$C$1270,$C218)</f>
        <v>28397.95</v>
      </c>
      <c r="G218" s="15" t="n">
        <f aca="false">SUMIFS('NF x Centro de Custo'!$G$5:$G$1270,'NF x Centro de Custo'!$C$5:$C$1270,$C218)</f>
        <v>10175.25</v>
      </c>
      <c r="H218" s="15" t="n">
        <f aca="false">F218+G218</f>
        <v>38573.2</v>
      </c>
      <c r="I218" s="25" t="n">
        <v>38573.2</v>
      </c>
      <c r="J218" s="15" t="n">
        <f aca="false">ROUND(H218-I218,2)</f>
        <v>0</v>
      </c>
      <c r="K218" s="26" t="str">
        <f aca="false">IF(ABS(J218)&lt;0.05,"OK","Verificar")</f>
        <v>OK</v>
      </c>
    </row>
    <row r="219" customFormat="false" ht="15" hidden="false" customHeight="false" outlineLevel="0" collapsed="false">
      <c r="A219" s="3" t="n">
        <v>3</v>
      </c>
      <c r="B219" s="24" t="n">
        <v>46082</v>
      </c>
      <c r="C219" s="3" t="s">
        <v>447</v>
      </c>
      <c r="D219" s="3" t="s">
        <v>440</v>
      </c>
      <c r="E219" s="3" t="n">
        <f aca="false">COUNTIF('NF x Centro de Custo'!$C$5:$C$1270,$C219)</f>
        <v>5</v>
      </c>
      <c r="F219" s="15" t="n">
        <f aca="false">SUMIFS('NF x Centro de Custo'!$F$5:$F$1270,'NF x Centro de Custo'!$C$5:$C$1270,$C219)</f>
        <v>50863.86</v>
      </c>
      <c r="G219" s="15" t="n">
        <f aca="false">SUMIFS('NF x Centro de Custo'!$G$5:$G$1270,'NF x Centro de Custo'!$C$5:$C$1270,$C219)</f>
        <v>18324.48</v>
      </c>
      <c r="H219" s="15" t="n">
        <f aca="false">F219+G219</f>
        <v>69188.34</v>
      </c>
      <c r="I219" s="25" t="n">
        <v>69188.34</v>
      </c>
      <c r="J219" s="15" t="n">
        <f aca="false">ROUND(H219-I219,2)</f>
        <v>0</v>
      </c>
      <c r="K219" s="26" t="str">
        <f aca="false">IF(ABS(J219)&lt;0.05,"OK","Verificar")</f>
        <v>OK</v>
      </c>
    </row>
    <row r="220" customFormat="false" ht="15" hidden="false" customHeight="false" outlineLevel="0" collapsed="false">
      <c r="A220" s="3" t="n">
        <v>3</v>
      </c>
      <c r="B220" s="24" t="n">
        <v>46082</v>
      </c>
      <c r="C220" s="3" t="s">
        <v>448</v>
      </c>
      <c r="D220" s="3" t="s">
        <v>440</v>
      </c>
      <c r="E220" s="3" t="n">
        <f aca="false">COUNTIF('NF x Centro de Custo'!$C$5:$C$1270,$C220)</f>
        <v>1</v>
      </c>
      <c r="F220" s="15" t="n">
        <f aca="false">SUMIFS('NF x Centro de Custo'!$F$5:$F$1270,'NF x Centro de Custo'!$C$5:$C$1270,$C220)</f>
        <v>111599.78</v>
      </c>
      <c r="G220" s="15" t="n">
        <f aca="false">SUMIFS('NF x Centro de Custo'!$G$5:$G$1270,'NF x Centro de Custo'!$C$5:$C$1270,$C220)</f>
        <v>38877.480540462</v>
      </c>
      <c r="H220" s="15" t="n">
        <f aca="false">F220+G220</f>
        <v>150477.260540462</v>
      </c>
      <c r="I220" s="25" t="n">
        <v>150477.260540462</v>
      </c>
      <c r="J220" s="15" t="n">
        <f aca="false">ROUND(H220-I220,2)</f>
        <v>0</v>
      </c>
      <c r="K220" s="26" t="str">
        <f aca="false">IF(ABS(J220)&lt;0.05,"OK","Verificar")</f>
        <v>OK</v>
      </c>
    </row>
    <row r="221" customFormat="false" ht="15" hidden="false" customHeight="false" outlineLevel="0" collapsed="false">
      <c r="A221" s="3" t="n">
        <v>3</v>
      </c>
      <c r="B221" s="24" t="n">
        <v>46082</v>
      </c>
      <c r="C221" s="3" t="s">
        <v>449</v>
      </c>
      <c r="D221" s="3" t="s">
        <v>440</v>
      </c>
      <c r="E221" s="3" t="n">
        <f aca="false">COUNTIF('NF x Centro de Custo'!$C$5:$C$1270,$C221)</f>
        <v>1</v>
      </c>
      <c r="F221" s="15" t="n">
        <f aca="false">SUMIFS('NF x Centro de Custo'!$F$5:$F$1270,'NF x Centro de Custo'!$C$5:$C$1270,$C221)</f>
        <v>5412.52</v>
      </c>
      <c r="G221" s="15" t="n">
        <f aca="false">SUMIFS('NF x Centro de Custo'!$G$5:$G$1270,'NF x Centro de Custo'!$C$5:$C$1270,$C221)</f>
        <v>1676.9</v>
      </c>
      <c r="H221" s="15" t="n">
        <f aca="false">F221+G221</f>
        <v>7089.42</v>
      </c>
      <c r="I221" s="25" t="n">
        <v>7089.42</v>
      </c>
      <c r="J221" s="15" t="n">
        <f aca="false">ROUND(H221-I221,2)</f>
        <v>0</v>
      </c>
      <c r="K221" s="26" t="str">
        <f aca="false">IF(ABS(J221)&lt;0.05,"OK","Verificar")</f>
        <v>OK</v>
      </c>
    </row>
    <row r="222" customFormat="false" ht="15" hidden="false" customHeight="false" outlineLevel="0" collapsed="false">
      <c r="A222" s="3" t="n">
        <v>3</v>
      </c>
      <c r="B222" s="24" t="n">
        <v>46082</v>
      </c>
      <c r="C222" s="3" t="s">
        <v>450</v>
      </c>
      <c r="D222" s="3" t="s">
        <v>440</v>
      </c>
      <c r="E222" s="3" t="n">
        <f aca="false">COUNTIF('NF x Centro de Custo'!$C$5:$C$1270,$C222)</f>
        <v>4</v>
      </c>
      <c r="F222" s="15" t="n">
        <f aca="false">SUMIFS('NF x Centro de Custo'!$F$5:$F$1270,'NF x Centro de Custo'!$C$5:$C$1270,$C222)</f>
        <v>107275.81</v>
      </c>
      <c r="G222" s="15" t="n">
        <f aca="false">SUMIFS('NF x Centro de Custo'!$G$5:$G$1270,'NF x Centro de Custo'!$C$5:$C$1270,$C222)</f>
        <v>32449.74</v>
      </c>
      <c r="H222" s="15" t="n">
        <f aca="false">F222+G222</f>
        <v>139725.55</v>
      </c>
      <c r="I222" s="25" t="n">
        <v>139725.55</v>
      </c>
      <c r="J222" s="15" t="n">
        <f aca="false">ROUND(H222-I222,2)</f>
        <v>0</v>
      </c>
      <c r="K222" s="26" t="str">
        <f aca="false">IF(ABS(J222)&lt;0.05,"OK","Verificar")</f>
        <v>OK</v>
      </c>
    </row>
    <row r="223" customFormat="false" ht="15" hidden="false" customHeight="false" outlineLevel="0" collapsed="false">
      <c r="A223" s="3" t="n">
        <v>3</v>
      </c>
      <c r="B223" s="24" t="n">
        <v>46082</v>
      </c>
      <c r="C223" s="3" t="s">
        <v>451</v>
      </c>
      <c r="D223" s="3" t="s">
        <v>440</v>
      </c>
      <c r="E223" s="3" t="n">
        <f aca="false">COUNTIF('NF x Centro de Custo'!$C$5:$C$1270,$C223)</f>
        <v>1</v>
      </c>
      <c r="F223" s="15" t="n">
        <f aca="false">SUMIFS('NF x Centro de Custo'!$F$5:$F$1270,'NF x Centro de Custo'!$C$5:$C$1270,$C223)</f>
        <v>2255.4</v>
      </c>
      <c r="G223" s="15" t="n">
        <f aca="false">SUMIFS('NF x Centro de Custo'!$G$5:$G$1270,'NF x Centro de Custo'!$C$5:$C$1270,$C223)</f>
        <v>868.29</v>
      </c>
      <c r="H223" s="15" t="n">
        <f aca="false">F223+G223</f>
        <v>3123.69</v>
      </c>
      <c r="I223" s="25" t="n">
        <v>3123.69</v>
      </c>
      <c r="J223" s="15" t="n">
        <f aca="false">ROUND(H223-I223,2)</f>
        <v>0</v>
      </c>
      <c r="K223" s="26" t="str">
        <f aca="false">IF(ABS(J223)&lt;0.05,"OK","Verificar")</f>
        <v>OK</v>
      </c>
    </row>
    <row r="224" customFormat="false" ht="15" hidden="false" customHeight="false" outlineLevel="0" collapsed="false">
      <c r="A224" s="3" t="n">
        <v>3</v>
      </c>
      <c r="B224" s="24" t="n">
        <v>46082</v>
      </c>
      <c r="C224" s="3" t="s">
        <v>452</v>
      </c>
      <c r="D224" s="3" t="s">
        <v>440</v>
      </c>
      <c r="E224" s="3" t="n">
        <f aca="false">COUNTIF('NF x Centro de Custo'!$C$5:$C$1270,$C224)</f>
        <v>1</v>
      </c>
      <c r="F224" s="15" t="n">
        <f aca="false">SUMIFS('NF x Centro de Custo'!$F$5:$F$1270,'NF x Centro de Custo'!$C$5:$C$1270,$C224)</f>
        <v>600.18</v>
      </c>
      <c r="G224" s="15" t="n">
        <f aca="false">SUMIFS('NF x Centro de Custo'!$G$5:$G$1270,'NF x Centro de Custo'!$C$5:$C$1270,$C224)</f>
        <v>360.27</v>
      </c>
      <c r="H224" s="15" t="n">
        <f aca="false">F224+G224</f>
        <v>960.45</v>
      </c>
      <c r="I224" s="25" t="n">
        <v>960.45</v>
      </c>
      <c r="J224" s="15" t="n">
        <f aca="false">ROUND(H224-I224,2)</f>
        <v>0</v>
      </c>
      <c r="K224" s="26" t="str">
        <f aca="false">IF(ABS(J224)&lt;0.05,"OK","Verificar")</f>
        <v>OK</v>
      </c>
    </row>
    <row r="225" customFormat="false" ht="15" hidden="false" customHeight="false" outlineLevel="0" collapsed="false">
      <c r="A225" s="3" t="n">
        <v>3</v>
      </c>
      <c r="B225" s="24" t="n">
        <v>46082</v>
      </c>
      <c r="C225" s="3" t="s">
        <v>453</v>
      </c>
      <c r="D225" s="3" t="s">
        <v>440</v>
      </c>
      <c r="E225" s="3" t="n">
        <f aca="false">COUNTIF('NF x Centro de Custo'!$C$5:$C$1270,$C225)</f>
        <v>1</v>
      </c>
      <c r="F225" s="15" t="n">
        <f aca="false">SUMIFS('NF x Centro de Custo'!$F$5:$F$1270,'NF x Centro de Custo'!$C$5:$C$1270,$C225)</f>
        <v>27313.2</v>
      </c>
      <c r="G225" s="15" t="n">
        <f aca="false">SUMIFS('NF x Centro de Custo'!$G$5:$G$1270,'NF x Centro de Custo'!$C$5:$C$1270,$C225)</f>
        <v>9509.16</v>
      </c>
      <c r="H225" s="15" t="n">
        <f aca="false">F225+G225</f>
        <v>36822.36</v>
      </c>
      <c r="I225" s="25" t="n">
        <v>36822.36</v>
      </c>
      <c r="J225" s="15" t="n">
        <f aca="false">ROUND(H225-I225,2)</f>
        <v>0</v>
      </c>
      <c r="K225" s="26" t="str">
        <f aca="false">IF(ABS(J225)&lt;0.05,"OK","Verificar")</f>
        <v>OK</v>
      </c>
    </row>
    <row r="226" customFormat="false" ht="15" hidden="false" customHeight="false" outlineLevel="0" collapsed="false">
      <c r="A226" s="3" t="n">
        <v>3</v>
      </c>
      <c r="B226" s="24" t="n">
        <v>46082</v>
      </c>
      <c r="C226" s="3" t="s">
        <v>454</v>
      </c>
      <c r="D226" s="3" t="s">
        <v>440</v>
      </c>
      <c r="E226" s="3" t="n">
        <f aca="false">COUNTIF('NF x Centro de Custo'!$C$5:$C$1270,$C226)</f>
        <v>1</v>
      </c>
      <c r="F226" s="15" t="n">
        <f aca="false">SUMIFS('NF x Centro de Custo'!$F$5:$F$1270,'NF x Centro de Custo'!$C$5:$C$1270,$C226)</f>
        <v>5977.81</v>
      </c>
      <c r="G226" s="15" t="n">
        <f aca="false">SUMIFS('NF x Centro de Custo'!$G$5:$G$1270,'NF x Centro de Custo'!$C$5:$C$1270,$C226)</f>
        <v>2124.11</v>
      </c>
      <c r="H226" s="15" t="n">
        <f aca="false">F226+G226</f>
        <v>8101.92</v>
      </c>
      <c r="I226" s="25" t="n">
        <v>8101.92</v>
      </c>
      <c r="J226" s="15" t="n">
        <f aca="false">ROUND(H226-I226,2)</f>
        <v>0</v>
      </c>
      <c r="K226" s="26" t="str">
        <f aca="false">IF(ABS(J226)&lt;0.05,"OK","Verificar")</f>
        <v>OK</v>
      </c>
    </row>
    <row r="227" customFormat="false" ht="15" hidden="false" customHeight="false" outlineLevel="0" collapsed="false">
      <c r="A227" s="3" t="n">
        <v>3</v>
      </c>
      <c r="B227" s="24" t="n">
        <v>46082</v>
      </c>
      <c r="C227" s="3" t="s">
        <v>455</v>
      </c>
      <c r="D227" s="3" t="s">
        <v>440</v>
      </c>
      <c r="E227" s="3" t="n">
        <f aca="false">COUNTIF('NF x Centro de Custo'!$C$5:$C$1270,$C227)</f>
        <v>1</v>
      </c>
      <c r="F227" s="15" t="n">
        <f aca="false">SUMIFS('NF x Centro de Custo'!$F$5:$F$1270,'NF x Centro de Custo'!$C$5:$C$1270,$C227)</f>
        <v>16693.81</v>
      </c>
      <c r="G227" s="15" t="n">
        <f aca="false">SUMIFS('NF x Centro de Custo'!$G$5:$G$1270,'NF x Centro de Custo'!$C$5:$C$1270,$C227)</f>
        <v>5898.05</v>
      </c>
      <c r="H227" s="15" t="n">
        <f aca="false">F227+G227</f>
        <v>22591.86</v>
      </c>
      <c r="I227" s="25" t="n">
        <v>22591.86</v>
      </c>
      <c r="J227" s="15" t="n">
        <f aca="false">ROUND(H227-I227,2)</f>
        <v>0</v>
      </c>
      <c r="K227" s="26" t="str">
        <f aca="false">IF(ABS(J227)&lt;0.05,"OK","Verificar")</f>
        <v>OK</v>
      </c>
    </row>
    <row r="228" customFormat="false" ht="15" hidden="false" customHeight="false" outlineLevel="0" collapsed="false">
      <c r="A228" s="3" t="n">
        <v>3</v>
      </c>
      <c r="B228" s="24" t="n">
        <v>46082</v>
      </c>
      <c r="C228" s="3" t="s">
        <v>456</v>
      </c>
      <c r="D228" s="3" t="s">
        <v>440</v>
      </c>
      <c r="E228" s="3" t="n">
        <f aca="false">COUNTIF('NF x Centro de Custo'!$C$5:$C$1270,$C228)</f>
        <v>1</v>
      </c>
      <c r="F228" s="15" t="n">
        <f aca="false">SUMIFS('NF x Centro de Custo'!$F$5:$F$1270,'NF x Centro de Custo'!$C$5:$C$1270,$C228)</f>
        <v>2216.92</v>
      </c>
      <c r="G228" s="15" t="n">
        <f aca="false">SUMIFS('NF x Centro de Custo'!$G$5:$G$1270,'NF x Centro de Custo'!$C$5:$C$1270,$C228)</f>
        <v>791.77</v>
      </c>
      <c r="H228" s="15" t="n">
        <f aca="false">F228+G228</f>
        <v>3008.69</v>
      </c>
      <c r="I228" s="25" t="n">
        <v>3008.69</v>
      </c>
      <c r="J228" s="15" t="n">
        <f aca="false">ROUND(H228-I228,2)</f>
        <v>0</v>
      </c>
      <c r="K228" s="26" t="str">
        <f aca="false">IF(ABS(J228)&lt;0.05,"OK","Verificar")</f>
        <v>OK</v>
      </c>
    </row>
    <row r="229" customFormat="false" ht="15" hidden="false" customHeight="false" outlineLevel="0" collapsed="false">
      <c r="A229" s="3" t="n">
        <v>3</v>
      </c>
      <c r="B229" s="24" t="n">
        <v>46082</v>
      </c>
      <c r="C229" s="3" t="s">
        <v>457</v>
      </c>
      <c r="D229" s="3" t="s">
        <v>440</v>
      </c>
      <c r="E229" s="3" t="n">
        <f aca="false">COUNTIF('NF x Centro de Custo'!$C$5:$C$1270,$C229)</f>
        <v>1</v>
      </c>
      <c r="F229" s="15" t="n">
        <f aca="false">SUMIFS('NF x Centro de Custo'!$F$5:$F$1270,'NF x Centro de Custo'!$C$5:$C$1270,$C229)</f>
        <v>5296.76</v>
      </c>
      <c r="G229" s="15" t="n">
        <f aca="false">SUMIFS('NF x Centro de Custo'!$G$5:$G$1270,'NF x Centro de Custo'!$C$5:$C$1270,$C229)</f>
        <v>1888.05</v>
      </c>
      <c r="H229" s="15" t="n">
        <f aca="false">F229+G229</f>
        <v>7184.81</v>
      </c>
      <c r="I229" s="25" t="n">
        <v>7184.81</v>
      </c>
      <c r="J229" s="15" t="n">
        <f aca="false">ROUND(H229-I229,2)</f>
        <v>0</v>
      </c>
      <c r="K229" s="26" t="str">
        <f aca="false">IF(ABS(J229)&lt;0.05,"OK","Verificar")</f>
        <v>OK</v>
      </c>
    </row>
    <row r="230" customFormat="false" ht="15" hidden="false" customHeight="false" outlineLevel="0" collapsed="false">
      <c r="A230" s="3" t="n">
        <v>3</v>
      </c>
      <c r="B230" s="24" t="n">
        <v>46082</v>
      </c>
      <c r="C230" s="3" t="s">
        <v>458</v>
      </c>
      <c r="D230" s="3" t="s">
        <v>440</v>
      </c>
      <c r="E230" s="3" t="n">
        <f aca="false">COUNTIF('NF x Centro de Custo'!$C$5:$C$1270,$C230)</f>
        <v>1</v>
      </c>
      <c r="F230" s="15" t="n">
        <f aca="false">SUMIFS('NF x Centro de Custo'!$F$5:$F$1270,'NF x Centro de Custo'!$C$5:$C$1270,$C230)</f>
        <v>11053.73</v>
      </c>
      <c r="G230" s="15" t="n">
        <f aca="false">SUMIFS('NF x Centro de Custo'!$G$5:$G$1270,'NF x Centro de Custo'!$C$5:$C$1270,$C230)</f>
        <v>3959.04</v>
      </c>
      <c r="H230" s="15" t="n">
        <f aca="false">F230+G230</f>
        <v>15012.77</v>
      </c>
      <c r="I230" s="25" t="n">
        <v>15012.77</v>
      </c>
      <c r="J230" s="15" t="n">
        <f aca="false">ROUND(H230-I230,2)</f>
        <v>0</v>
      </c>
      <c r="K230" s="26" t="str">
        <f aca="false">IF(ABS(J230)&lt;0.05,"OK","Verificar")</f>
        <v>OK</v>
      </c>
    </row>
    <row r="231" customFormat="false" ht="15" hidden="false" customHeight="false" outlineLevel="0" collapsed="false">
      <c r="A231" s="3" t="n">
        <v>3</v>
      </c>
      <c r="B231" s="24" t="n">
        <v>46082</v>
      </c>
      <c r="C231" s="3" t="s">
        <v>459</v>
      </c>
      <c r="D231" s="3" t="s">
        <v>440</v>
      </c>
      <c r="E231" s="3" t="n">
        <f aca="false">COUNTIF('NF x Centro de Custo'!$C$5:$C$1270,$C231)</f>
        <v>1</v>
      </c>
      <c r="F231" s="15" t="n">
        <f aca="false">SUMIFS('NF x Centro de Custo'!$F$5:$F$1270,'NF x Centro de Custo'!$C$5:$C$1270,$C231)</f>
        <v>13316.72</v>
      </c>
      <c r="G231" s="15" t="n">
        <f aca="false">SUMIFS('NF x Centro de Custo'!$G$5:$G$1270,'NF x Centro de Custo'!$C$5:$C$1270,$C231)</f>
        <v>4759.3</v>
      </c>
      <c r="H231" s="15" t="n">
        <f aca="false">F231+G231</f>
        <v>18076.02</v>
      </c>
      <c r="I231" s="25" t="n">
        <v>18076.02</v>
      </c>
      <c r="J231" s="15" t="n">
        <f aca="false">ROUND(H231-I231,2)</f>
        <v>0</v>
      </c>
      <c r="K231" s="26" t="str">
        <f aca="false">IF(ABS(J231)&lt;0.05,"OK","Verificar")</f>
        <v>OK</v>
      </c>
    </row>
    <row r="232" customFormat="false" ht="15" hidden="false" customHeight="false" outlineLevel="0" collapsed="false">
      <c r="A232" s="3" t="n">
        <v>3</v>
      </c>
      <c r="B232" s="24" t="n">
        <v>46082</v>
      </c>
      <c r="C232" s="3" t="s">
        <v>460</v>
      </c>
      <c r="D232" s="3" t="s">
        <v>440</v>
      </c>
      <c r="E232" s="3" t="n">
        <f aca="false">COUNTIF('NF x Centro de Custo'!$C$5:$C$1270,$C232)</f>
        <v>1</v>
      </c>
      <c r="F232" s="15" t="n">
        <f aca="false">SUMIFS('NF x Centro de Custo'!$F$5:$F$1270,'NF x Centro de Custo'!$C$5:$C$1270,$C232)</f>
        <v>5081.33</v>
      </c>
      <c r="G232" s="15" t="n">
        <f aca="false">SUMIFS('NF x Centro de Custo'!$G$5:$G$1270,'NF x Centro de Custo'!$C$5:$C$1270,$C232)</f>
        <v>1813.4</v>
      </c>
      <c r="H232" s="15" t="n">
        <f aca="false">F232+G232</f>
        <v>6894.73</v>
      </c>
      <c r="I232" s="25" t="n">
        <v>6894.73</v>
      </c>
      <c r="J232" s="15" t="n">
        <f aca="false">ROUND(H232-I232,2)</f>
        <v>0</v>
      </c>
      <c r="K232" s="26" t="str">
        <f aca="false">IF(ABS(J232)&lt;0.05,"OK","Verificar")</f>
        <v>OK</v>
      </c>
    </row>
    <row r="233" customFormat="false" ht="15" hidden="false" customHeight="false" outlineLevel="0" collapsed="false">
      <c r="A233" s="3" t="n">
        <v>3</v>
      </c>
      <c r="B233" s="24" t="n">
        <v>46082</v>
      </c>
      <c r="C233" s="3" t="s">
        <v>461</v>
      </c>
      <c r="D233" s="3" t="s">
        <v>440</v>
      </c>
      <c r="E233" s="3" t="n">
        <f aca="false">COUNTIF('NF x Centro de Custo'!$C$5:$C$1270,$C233)</f>
        <v>1</v>
      </c>
      <c r="F233" s="15" t="n">
        <f aca="false">SUMIFS('NF x Centro de Custo'!$F$5:$F$1270,'NF x Centro de Custo'!$C$5:$C$1270,$C233)</f>
        <v>5521.25</v>
      </c>
      <c r="G233" s="15" t="n">
        <f aca="false">SUMIFS('NF x Centro de Custo'!$G$5:$G$1270,'NF x Centro de Custo'!$C$5:$C$1270,$C233)</f>
        <v>1964.32</v>
      </c>
      <c r="H233" s="15" t="n">
        <f aca="false">F233+G233</f>
        <v>7485.57</v>
      </c>
      <c r="I233" s="25" t="n">
        <v>7485.57</v>
      </c>
      <c r="J233" s="15" t="n">
        <f aca="false">ROUND(H233-I233,2)</f>
        <v>0</v>
      </c>
      <c r="K233" s="26" t="str">
        <f aca="false">IF(ABS(J233)&lt;0.05,"OK","Verificar")</f>
        <v>OK</v>
      </c>
    </row>
    <row r="234" customFormat="false" ht="15" hidden="false" customHeight="false" outlineLevel="0" collapsed="false">
      <c r="A234" s="3" t="n">
        <v>3</v>
      </c>
      <c r="B234" s="24" t="n">
        <v>46082</v>
      </c>
      <c r="C234" s="3" t="s">
        <v>462</v>
      </c>
      <c r="D234" s="3" t="s">
        <v>440</v>
      </c>
      <c r="E234" s="3" t="n">
        <f aca="false">COUNTIF('NF x Centro de Custo'!$C$5:$C$1270,$C234)</f>
        <v>1</v>
      </c>
      <c r="F234" s="15" t="n">
        <f aca="false">SUMIFS('NF x Centro de Custo'!$F$5:$F$1270,'NF x Centro de Custo'!$C$5:$C$1270,$C234)</f>
        <v>6585.69</v>
      </c>
      <c r="G234" s="15" t="n">
        <f aca="false">SUMIFS('NF x Centro de Custo'!$G$5:$G$1270,'NF x Centro de Custo'!$C$5:$C$1270,$C234)</f>
        <v>2431.92</v>
      </c>
      <c r="H234" s="15" t="n">
        <f aca="false">F234+G234</f>
        <v>9017.61</v>
      </c>
      <c r="I234" s="25" t="n">
        <v>9017.61</v>
      </c>
      <c r="J234" s="15" t="n">
        <f aca="false">ROUND(H234-I234,2)</f>
        <v>0</v>
      </c>
      <c r="K234" s="26" t="str">
        <f aca="false">IF(ABS(J234)&lt;0.05,"OK","Verificar")</f>
        <v>OK</v>
      </c>
    </row>
    <row r="235" customFormat="false" ht="15" hidden="false" customHeight="false" outlineLevel="0" collapsed="false">
      <c r="A235" s="3" t="n">
        <v>3</v>
      </c>
      <c r="B235" s="24" t="n">
        <v>46082</v>
      </c>
      <c r="C235" s="3" t="s">
        <v>463</v>
      </c>
      <c r="D235" s="3" t="s">
        <v>440</v>
      </c>
      <c r="E235" s="3" t="n">
        <f aca="false">COUNTIF('NF x Centro de Custo'!$C$5:$C$1270,$C235)</f>
        <v>1</v>
      </c>
      <c r="F235" s="15" t="n">
        <f aca="false">SUMIFS('NF x Centro de Custo'!$F$5:$F$1270,'NF x Centro de Custo'!$C$5:$C$1270,$C235)</f>
        <v>14170.69</v>
      </c>
      <c r="G235" s="15" t="n">
        <f aca="false">SUMIFS('NF x Centro de Custo'!$G$5:$G$1270,'NF x Centro de Custo'!$C$5:$C$1270,$C235)</f>
        <v>5122.75</v>
      </c>
      <c r="H235" s="15" t="n">
        <f aca="false">F235+G235</f>
        <v>19293.44</v>
      </c>
      <c r="I235" s="25" t="n">
        <v>19293.44</v>
      </c>
      <c r="J235" s="15" t="n">
        <f aca="false">ROUND(H235-I235,2)</f>
        <v>0</v>
      </c>
      <c r="K235" s="26" t="str">
        <f aca="false">IF(ABS(J235)&lt;0.05,"OK","Verificar")</f>
        <v>OK</v>
      </c>
    </row>
    <row r="236" customFormat="false" ht="15" hidden="false" customHeight="false" outlineLevel="0" collapsed="false">
      <c r="A236" s="3" t="n">
        <v>3</v>
      </c>
      <c r="B236" s="24" t="n">
        <v>46082</v>
      </c>
      <c r="C236" s="3" t="s">
        <v>464</v>
      </c>
      <c r="D236" s="3" t="s">
        <v>440</v>
      </c>
      <c r="E236" s="3" t="n">
        <f aca="false">COUNTIF('NF x Centro de Custo'!$C$5:$C$1270,$C236)</f>
        <v>1</v>
      </c>
      <c r="F236" s="15" t="n">
        <f aca="false">SUMIFS('NF x Centro de Custo'!$F$5:$F$1270,'NF x Centro de Custo'!$C$5:$C$1270,$C236)</f>
        <v>4033.18</v>
      </c>
      <c r="G236" s="15" t="n">
        <f aca="false">SUMIFS('NF x Centro de Custo'!$G$5:$G$1270,'NF x Centro de Custo'!$C$5:$C$1270,$C236)</f>
        <v>1564.22</v>
      </c>
      <c r="H236" s="15" t="n">
        <f aca="false">F236+G236</f>
        <v>5597.4</v>
      </c>
      <c r="I236" s="25" t="n">
        <v>5597.4</v>
      </c>
      <c r="J236" s="15" t="n">
        <f aca="false">ROUND(H236-I236,2)</f>
        <v>0</v>
      </c>
      <c r="K236" s="26" t="str">
        <f aca="false">IF(ABS(J236)&lt;0.05,"OK","Verificar")</f>
        <v>OK</v>
      </c>
    </row>
    <row r="237" customFormat="false" ht="15" hidden="false" customHeight="false" outlineLevel="0" collapsed="false">
      <c r="A237" s="3" t="n">
        <v>3</v>
      </c>
      <c r="B237" s="24" t="n">
        <v>46082</v>
      </c>
      <c r="C237" s="3" t="s">
        <v>465</v>
      </c>
      <c r="D237" s="3" t="s">
        <v>440</v>
      </c>
      <c r="E237" s="3" t="n">
        <f aca="false">COUNTIF('NF x Centro de Custo'!$C$5:$C$1270,$C237)</f>
        <v>1</v>
      </c>
      <c r="F237" s="15" t="n">
        <f aca="false">SUMIFS('NF x Centro de Custo'!$F$5:$F$1270,'NF x Centro de Custo'!$C$5:$C$1270,$C237)</f>
        <v>13710.45</v>
      </c>
      <c r="G237" s="15" t="n">
        <f aca="false">SUMIFS('NF x Centro de Custo'!$G$5:$G$1270,'NF x Centro de Custo'!$C$5:$C$1270,$C237)</f>
        <v>4890.24</v>
      </c>
      <c r="H237" s="15" t="n">
        <f aca="false">F237+G237</f>
        <v>18600.69</v>
      </c>
      <c r="I237" s="25" t="n">
        <v>18600.69</v>
      </c>
      <c r="J237" s="15" t="n">
        <f aca="false">ROUND(H237-I237,2)</f>
        <v>0</v>
      </c>
      <c r="K237" s="26" t="str">
        <f aca="false">IF(ABS(J237)&lt;0.05,"OK","Verificar")</f>
        <v>OK</v>
      </c>
    </row>
    <row r="238" customFormat="false" ht="15" hidden="false" customHeight="false" outlineLevel="0" collapsed="false">
      <c r="A238" s="3" t="n">
        <v>3</v>
      </c>
      <c r="B238" s="24" t="n">
        <v>46082</v>
      </c>
      <c r="C238" s="3" t="s">
        <v>466</v>
      </c>
      <c r="D238" s="3" t="s">
        <v>440</v>
      </c>
      <c r="E238" s="3" t="n">
        <f aca="false">COUNTIF('NF x Centro de Custo'!$C$5:$C$1270,$C238)</f>
        <v>1</v>
      </c>
      <c r="F238" s="15" t="n">
        <f aca="false">SUMIFS('NF x Centro de Custo'!$F$5:$F$1270,'NF x Centro de Custo'!$C$5:$C$1270,$C238)</f>
        <v>2549.86</v>
      </c>
      <c r="G238" s="15" t="n">
        <f aca="false">SUMIFS('NF x Centro de Custo'!$G$5:$G$1270,'NF x Centro de Custo'!$C$5:$C$1270,$C238)</f>
        <v>967.31</v>
      </c>
      <c r="H238" s="15" t="n">
        <f aca="false">F238+G238</f>
        <v>3517.17</v>
      </c>
      <c r="I238" s="25" t="n">
        <v>3517.17</v>
      </c>
      <c r="J238" s="15" t="n">
        <f aca="false">ROUND(H238-I238,2)</f>
        <v>0</v>
      </c>
      <c r="K238" s="26" t="str">
        <f aca="false">IF(ABS(J238)&lt;0.05,"OK","Verificar")</f>
        <v>OK</v>
      </c>
    </row>
    <row r="239" customFormat="false" ht="15" hidden="false" customHeight="false" outlineLevel="0" collapsed="false">
      <c r="A239" s="3" t="n">
        <v>3</v>
      </c>
      <c r="B239" s="24" t="n">
        <v>46082</v>
      </c>
      <c r="C239" s="3" t="s">
        <v>467</v>
      </c>
      <c r="D239" s="3" t="s">
        <v>440</v>
      </c>
      <c r="E239" s="3" t="n">
        <f aca="false">COUNTIF('NF x Centro de Custo'!$C$5:$C$1270,$C239)</f>
        <v>1</v>
      </c>
      <c r="F239" s="15" t="n">
        <f aca="false">SUMIFS('NF x Centro de Custo'!$F$5:$F$1270,'NF x Centro de Custo'!$C$5:$C$1270,$C239)</f>
        <v>5882.24</v>
      </c>
      <c r="G239" s="15" t="n">
        <f aca="false">SUMIFS('NF x Centro de Custo'!$G$5:$G$1270,'NF x Centro de Custo'!$C$5:$C$1270,$C239)</f>
        <v>2075.55</v>
      </c>
      <c r="H239" s="15" t="n">
        <f aca="false">F239+G239</f>
        <v>7957.79</v>
      </c>
      <c r="I239" s="25" t="n">
        <v>7957.79</v>
      </c>
      <c r="J239" s="15" t="n">
        <f aca="false">ROUND(H239-I239,2)</f>
        <v>0</v>
      </c>
      <c r="K239" s="26" t="str">
        <f aca="false">IF(ABS(J239)&lt;0.05,"OK","Verificar")</f>
        <v>OK</v>
      </c>
    </row>
    <row r="240" customFormat="false" ht="15" hidden="false" customHeight="false" outlineLevel="0" collapsed="false">
      <c r="A240" s="3" t="n">
        <v>3</v>
      </c>
      <c r="B240" s="24" t="n">
        <v>46082</v>
      </c>
      <c r="C240" s="3" t="s">
        <v>468</v>
      </c>
      <c r="D240" s="3" t="s">
        <v>440</v>
      </c>
      <c r="E240" s="3" t="n">
        <f aca="false">COUNTIF('NF x Centro de Custo'!$C$5:$C$1270,$C240)</f>
        <v>1</v>
      </c>
      <c r="F240" s="15" t="n">
        <f aca="false">SUMIFS('NF x Centro de Custo'!$F$5:$F$1270,'NF x Centro de Custo'!$C$5:$C$1270,$C240)</f>
        <v>11630.8</v>
      </c>
      <c r="G240" s="15" t="n">
        <f aca="false">SUMIFS('NF x Centro de Custo'!$G$5:$G$1270,'NF x Centro de Custo'!$C$5:$C$1270,$C240)</f>
        <v>4228.83</v>
      </c>
      <c r="H240" s="15" t="n">
        <f aca="false">F240+G240</f>
        <v>15859.63</v>
      </c>
      <c r="I240" s="25" t="n">
        <v>15859.63</v>
      </c>
      <c r="J240" s="15" t="n">
        <f aca="false">ROUND(H240-I240,2)</f>
        <v>0</v>
      </c>
      <c r="K240" s="26" t="str">
        <f aca="false">IF(ABS(J240)&lt;0.05,"OK","Verificar")</f>
        <v>OK</v>
      </c>
    </row>
    <row r="241" customFormat="false" ht="15" hidden="false" customHeight="false" outlineLevel="0" collapsed="false">
      <c r="A241" s="3" t="n">
        <v>3</v>
      </c>
      <c r="B241" s="24" t="n">
        <v>46082</v>
      </c>
      <c r="C241" s="3" t="s">
        <v>469</v>
      </c>
      <c r="D241" s="3" t="s">
        <v>440</v>
      </c>
      <c r="E241" s="3" t="n">
        <f aca="false">COUNTIF('NF x Centro de Custo'!$C$5:$C$1270,$C241)</f>
        <v>1</v>
      </c>
      <c r="F241" s="15" t="n">
        <f aca="false">SUMIFS('NF x Centro de Custo'!$F$5:$F$1270,'NF x Centro de Custo'!$C$5:$C$1270,$C241)</f>
        <v>11786.1</v>
      </c>
      <c r="G241" s="15" t="n">
        <f aca="false">SUMIFS('NF x Centro de Custo'!$G$5:$G$1270,'NF x Centro de Custo'!$C$5:$C$1270,$C241)</f>
        <v>4192.62</v>
      </c>
      <c r="H241" s="15" t="n">
        <f aca="false">F241+G241</f>
        <v>15978.72</v>
      </c>
      <c r="I241" s="25" t="n">
        <v>15978.72</v>
      </c>
      <c r="J241" s="15" t="n">
        <f aca="false">ROUND(H241-I241,2)</f>
        <v>0</v>
      </c>
      <c r="K241" s="26" t="str">
        <f aca="false">IF(ABS(J241)&lt;0.05,"OK","Verificar")</f>
        <v>OK</v>
      </c>
    </row>
    <row r="242" customFormat="false" ht="15" hidden="false" customHeight="false" outlineLevel="0" collapsed="false">
      <c r="A242" s="3" t="n">
        <v>3</v>
      </c>
      <c r="B242" s="24" t="n">
        <v>46082</v>
      </c>
      <c r="C242" s="3" t="s">
        <v>470</v>
      </c>
      <c r="D242" s="3" t="s">
        <v>471</v>
      </c>
      <c r="E242" s="3" t="n">
        <f aca="false">COUNTIF('NF x Centro de Custo'!$C$5:$C$1270,$C242)</f>
        <v>1</v>
      </c>
      <c r="F242" s="15" t="n">
        <f aca="false">SUMIFS('NF x Centro de Custo'!$F$5:$F$1270,'NF x Centro de Custo'!$C$5:$C$1270,$C242)</f>
        <v>93617.68</v>
      </c>
      <c r="G242" s="15" t="n">
        <f aca="false">SUMIFS('NF x Centro de Custo'!$G$5:$G$1270,'NF x Centro de Custo'!$C$5:$C$1270,$C242)</f>
        <v>32972.02</v>
      </c>
      <c r="H242" s="15" t="n">
        <f aca="false">F242+G242</f>
        <v>126589.7</v>
      </c>
      <c r="I242" s="25" t="n">
        <v>126589.7</v>
      </c>
      <c r="J242" s="15" t="n">
        <f aca="false">ROUND(H242-I242,2)</f>
        <v>0</v>
      </c>
      <c r="K242" s="26" t="str">
        <f aca="false">IF(ABS(J242)&lt;0.05,"OK","Verificar")</f>
        <v>OK</v>
      </c>
    </row>
    <row r="243" customFormat="false" ht="15" hidden="false" customHeight="false" outlineLevel="0" collapsed="false">
      <c r="A243" s="3" t="n">
        <v>3</v>
      </c>
      <c r="B243" s="24" t="n">
        <v>46082</v>
      </c>
      <c r="C243" s="3" t="s">
        <v>472</v>
      </c>
      <c r="D243" s="3" t="s">
        <v>226</v>
      </c>
      <c r="E243" s="3" t="n">
        <f aca="false">COUNTIF('NF x Centro de Custo'!$C$5:$C$1270,$C243)</f>
        <v>1</v>
      </c>
      <c r="F243" s="15" t="n">
        <f aca="false">SUMIFS('NF x Centro de Custo'!$F$5:$F$1270,'NF x Centro de Custo'!$C$5:$C$1270,$C243)</f>
        <v>33834.04</v>
      </c>
      <c r="G243" s="15" t="n">
        <f aca="false">SUMIFS('NF x Centro de Custo'!$G$5:$G$1270,'NF x Centro de Custo'!$C$5:$C$1270,$C243)</f>
        <v>10196.56</v>
      </c>
      <c r="H243" s="15" t="n">
        <f aca="false">F243+G243</f>
        <v>44030.6</v>
      </c>
      <c r="I243" s="25" t="n">
        <v>44030.6</v>
      </c>
      <c r="J243" s="15" t="n">
        <f aca="false">ROUND(H243-I243,2)</f>
        <v>0</v>
      </c>
      <c r="K243" s="26" t="str">
        <f aca="false">IF(ABS(J243)&lt;0.05,"OK","Verificar")</f>
        <v>OK</v>
      </c>
    </row>
    <row r="244" customFormat="false" ht="15" hidden="false" customHeight="false" outlineLevel="0" collapsed="false">
      <c r="A244" s="3" t="n">
        <v>3</v>
      </c>
      <c r="B244" s="24" t="n">
        <v>46082</v>
      </c>
      <c r="C244" s="3" t="s">
        <v>473</v>
      </c>
      <c r="D244" s="3" t="s">
        <v>222</v>
      </c>
      <c r="E244" s="3" t="n">
        <f aca="false">COUNTIF('NF x Centro de Custo'!$C$5:$C$1270,$C244)</f>
        <v>4</v>
      </c>
      <c r="F244" s="15" t="n">
        <f aca="false">SUMIFS('NF x Centro de Custo'!$F$5:$F$1270,'NF x Centro de Custo'!$C$5:$C$1270,$C244)</f>
        <v>44746.63</v>
      </c>
      <c r="G244" s="15" t="n">
        <f aca="false">SUMIFS('NF x Centro de Custo'!$G$5:$G$1270,'NF x Centro de Custo'!$C$5:$C$1270,$C244)</f>
        <v>0</v>
      </c>
      <c r="H244" s="15" t="n">
        <f aca="false">F244+G244</f>
        <v>44746.63</v>
      </c>
      <c r="I244" s="25" t="n">
        <v>44746.63</v>
      </c>
      <c r="J244" s="15" t="n">
        <f aca="false">ROUND(H244-I244,2)</f>
        <v>0</v>
      </c>
      <c r="K244" s="26" t="str">
        <f aca="false">IF(ABS(J244)&lt;0.05,"OK","Verificar")</f>
        <v>OK</v>
      </c>
    </row>
    <row r="245" customFormat="false" ht="15" hidden="false" customHeight="false" outlineLevel="0" collapsed="false">
      <c r="A245" s="3" t="n">
        <v>3</v>
      </c>
      <c r="B245" s="24" t="n">
        <v>46082</v>
      </c>
      <c r="C245" s="3" t="s">
        <v>474</v>
      </c>
      <c r="D245" s="3" t="s">
        <v>222</v>
      </c>
      <c r="E245" s="3" t="n">
        <f aca="false">COUNTIF('NF x Centro de Custo'!$C$5:$C$1270,$C245)</f>
        <v>14</v>
      </c>
      <c r="F245" s="15" t="n">
        <f aca="false">SUMIFS('NF x Centro de Custo'!$F$5:$F$1270,'NF x Centro de Custo'!$C$5:$C$1270,$C245)</f>
        <v>227281.46</v>
      </c>
      <c r="G245" s="15" t="n">
        <f aca="false">SUMIFS('NF x Centro de Custo'!$G$5:$G$1270,'NF x Centro de Custo'!$C$5:$C$1270,$C245)</f>
        <v>0</v>
      </c>
      <c r="H245" s="15" t="n">
        <f aca="false">F245+G245</f>
        <v>227281.46</v>
      </c>
      <c r="I245" s="25" t="n">
        <v>227281.46</v>
      </c>
      <c r="J245" s="15" t="n">
        <f aca="false">ROUND(H245-I245,2)</f>
        <v>0</v>
      </c>
      <c r="K245" s="26" t="str">
        <f aca="false">IF(ABS(J245)&lt;0.05,"OK","Verificar")</f>
        <v>OK</v>
      </c>
    </row>
    <row r="246" customFormat="false" ht="15" hidden="false" customHeight="false" outlineLevel="0" collapsed="false">
      <c r="A246" s="3" t="n">
        <v>3</v>
      </c>
      <c r="B246" s="24" t="n">
        <v>46082</v>
      </c>
      <c r="C246" s="3" t="s">
        <v>475</v>
      </c>
      <c r="D246" s="3" t="s">
        <v>222</v>
      </c>
      <c r="E246" s="3" t="n">
        <f aca="false">COUNTIF('NF x Centro de Custo'!$C$5:$C$1270,$C246)</f>
        <v>2</v>
      </c>
      <c r="F246" s="15" t="n">
        <f aca="false">SUMIFS('NF x Centro de Custo'!$F$5:$F$1270,'NF x Centro de Custo'!$C$5:$C$1270,$C246)</f>
        <v>1422.54</v>
      </c>
      <c r="G246" s="15" t="n">
        <f aca="false">SUMIFS('NF x Centro de Custo'!$G$5:$G$1270,'NF x Centro de Custo'!$C$5:$C$1270,$C246)</f>
        <v>0</v>
      </c>
      <c r="H246" s="15" t="n">
        <f aca="false">F246+G246</f>
        <v>1422.54</v>
      </c>
      <c r="I246" s="25" t="n">
        <v>1422.54</v>
      </c>
      <c r="J246" s="15" t="n">
        <f aca="false">ROUND(H246-I246,2)</f>
        <v>0</v>
      </c>
      <c r="K246" s="26" t="str">
        <f aca="false">IF(ABS(J246)&lt;0.05,"OK","Verificar")</f>
        <v>OK</v>
      </c>
    </row>
    <row r="247" customFormat="false" ht="15" hidden="false" customHeight="false" outlineLevel="0" collapsed="false">
      <c r="A247" s="3" t="n">
        <v>3</v>
      </c>
      <c r="B247" s="24" t="n">
        <v>46082</v>
      </c>
      <c r="C247" s="3" t="s">
        <v>476</v>
      </c>
      <c r="D247" s="3" t="s">
        <v>222</v>
      </c>
      <c r="E247" s="3" t="n">
        <f aca="false">COUNTIF('NF x Centro de Custo'!$C$5:$C$1270,$C247)</f>
        <v>3</v>
      </c>
      <c r="F247" s="15" t="n">
        <f aca="false">SUMIFS('NF x Centro de Custo'!$F$5:$F$1270,'NF x Centro de Custo'!$C$5:$C$1270,$C247)</f>
        <v>32757.07</v>
      </c>
      <c r="G247" s="15" t="n">
        <f aca="false">SUMIFS('NF x Centro de Custo'!$G$5:$G$1270,'NF x Centro de Custo'!$C$5:$C$1270,$C247)</f>
        <v>0</v>
      </c>
      <c r="H247" s="15" t="n">
        <f aca="false">F247+G247</f>
        <v>32757.07</v>
      </c>
      <c r="I247" s="25" t="n">
        <v>32757.07</v>
      </c>
      <c r="J247" s="15" t="n">
        <f aca="false">ROUND(H247-I247,2)</f>
        <v>0</v>
      </c>
      <c r="K247" s="26" t="str">
        <f aca="false">IF(ABS(J247)&lt;0.05,"OK","Verificar")</f>
        <v>OK</v>
      </c>
    </row>
    <row r="248" customFormat="false" ht="15" hidden="false" customHeight="false" outlineLevel="0" collapsed="false">
      <c r="A248" s="3" t="n">
        <v>3</v>
      </c>
      <c r="B248" s="24" t="n">
        <v>46082</v>
      </c>
      <c r="C248" s="3" t="s">
        <v>477</v>
      </c>
      <c r="D248" s="3" t="s">
        <v>226</v>
      </c>
      <c r="E248" s="3" t="n">
        <f aca="false">COUNTIF('NF x Centro de Custo'!$C$5:$C$1270,$C248)</f>
        <v>1</v>
      </c>
      <c r="F248" s="15" t="n">
        <f aca="false">SUMIFS('NF x Centro de Custo'!$F$5:$F$1270,'NF x Centro de Custo'!$C$5:$C$1270,$C248)</f>
        <v>5858.97</v>
      </c>
      <c r="G248" s="15" t="n">
        <f aca="false">SUMIFS('NF x Centro de Custo'!$G$5:$G$1270,'NF x Centro de Custo'!$C$5:$C$1270,$C248)</f>
        <v>0</v>
      </c>
      <c r="H248" s="15" t="n">
        <f aca="false">F248+G248</f>
        <v>5858.97</v>
      </c>
      <c r="I248" s="25" t="n">
        <v>5858.97</v>
      </c>
      <c r="J248" s="15" t="n">
        <f aca="false">ROUND(H248-I248,2)</f>
        <v>0</v>
      </c>
      <c r="K248" s="26" t="str">
        <f aca="false">IF(ABS(J248)&lt;0.05,"OK","Verificar")</f>
        <v>OK</v>
      </c>
    </row>
    <row r="249" customFormat="false" ht="15" hidden="false" customHeight="false" outlineLevel="0" collapsed="false">
      <c r="A249" s="3" t="n">
        <v>3</v>
      </c>
      <c r="B249" s="24" t="n">
        <v>46082</v>
      </c>
      <c r="C249" s="3" t="s">
        <v>478</v>
      </c>
      <c r="D249" s="3" t="s">
        <v>217</v>
      </c>
      <c r="E249" s="3" t="n">
        <f aca="false">COUNTIF('NF x Centro de Custo'!$C$5:$C$1270,$C249)</f>
        <v>2</v>
      </c>
      <c r="F249" s="15" t="n">
        <f aca="false">SUMIFS('NF x Centro de Custo'!$F$5:$F$1270,'NF x Centro de Custo'!$C$5:$C$1270,$C249)</f>
        <v>8911.85</v>
      </c>
      <c r="G249" s="15" t="n">
        <f aca="false">SUMIFS('NF x Centro de Custo'!$G$5:$G$1270,'NF x Centro de Custo'!$C$5:$C$1270,$C249)</f>
        <v>0</v>
      </c>
      <c r="H249" s="15" t="n">
        <f aca="false">F249+G249</f>
        <v>8911.85</v>
      </c>
      <c r="I249" s="25" t="n">
        <v>8911.85</v>
      </c>
      <c r="J249" s="15" t="n">
        <f aca="false">ROUND(H249-I249,2)</f>
        <v>0</v>
      </c>
      <c r="K249" s="26" t="str">
        <f aca="false">IF(ABS(J249)&lt;0.05,"OK","Verificar")</f>
        <v>OK</v>
      </c>
    </row>
    <row r="250" customFormat="false" ht="15" hidden="false" customHeight="false" outlineLevel="0" collapsed="false">
      <c r="A250" s="3" t="n">
        <v>3</v>
      </c>
      <c r="B250" s="24" t="n">
        <v>46082</v>
      </c>
      <c r="C250" s="3" t="s">
        <v>479</v>
      </c>
      <c r="D250" s="3" t="s">
        <v>217</v>
      </c>
      <c r="E250" s="3" t="n">
        <f aca="false">COUNTIF('NF x Centro de Custo'!$C$5:$C$1270,$C250)</f>
        <v>1</v>
      </c>
      <c r="F250" s="15" t="n">
        <f aca="false">SUMIFS('NF x Centro de Custo'!$F$5:$F$1270,'NF x Centro de Custo'!$C$5:$C$1270,$C250)</f>
        <v>5425.5</v>
      </c>
      <c r="G250" s="15" t="n">
        <f aca="false">SUMIFS('NF x Centro de Custo'!$G$5:$G$1270,'NF x Centro de Custo'!$C$5:$C$1270,$C250)</f>
        <v>0</v>
      </c>
      <c r="H250" s="15" t="n">
        <f aca="false">F250+G250</f>
        <v>5425.5</v>
      </c>
      <c r="I250" s="25" t="n">
        <v>5425.5</v>
      </c>
      <c r="J250" s="15" t="n">
        <f aca="false">ROUND(H250-I250,2)</f>
        <v>0</v>
      </c>
      <c r="K250" s="26" t="str">
        <f aca="false">IF(ABS(J250)&lt;0.05,"OK","Verificar")</f>
        <v>OK</v>
      </c>
    </row>
    <row r="251" customFormat="false" ht="15" hidden="false" customHeight="false" outlineLevel="0" collapsed="false">
      <c r="A251" s="3" t="n">
        <v>3</v>
      </c>
      <c r="B251" s="24" t="n">
        <v>46082</v>
      </c>
      <c r="C251" s="3" t="s">
        <v>480</v>
      </c>
      <c r="D251" s="3" t="s">
        <v>217</v>
      </c>
      <c r="E251" s="3" t="n">
        <f aca="false">COUNTIF('NF x Centro de Custo'!$C$5:$C$1270,$C251)</f>
        <v>1</v>
      </c>
      <c r="F251" s="15" t="n">
        <f aca="false">SUMIFS('NF x Centro de Custo'!$F$5:$F$1270,'NF x Centro de Custo'!$C$5:$C$1270,$C251)</f>
        <v>2921.35</v>
      </c>
      <c r="G251" s="15" t="n">
        <f aca="false">SUMIFS('NF x Centro de Custo'!$G$5:$G$1270,'NF x Centro de Custo'!$C$5:$C$1270,$C251)</f>
        <v>0</v>
      </c>
      <c r="H251" s="15" t="n">
        <f aca="false">F251+G251</f>
        <v>2921.35</v>
      </c>
      <c r="I251" s="25" t="n">
        <v>2921.35</v>
      </c>
      <c r="J251" s="15" t="n">
        <f aca="false">ROUND(H251-I251,2)</f>
        <v>0</v>
      </c>
      <c r="K251" s="26" t="str">
        <f aca="false">IF(ABS(J251)&lt;0.05,"OK","Verificar")</f>
        <v>OK</v>
      </c>
    </row>
    <row r="252" customFormat="false" ht="15" hidden="false" customHeight="false" outlineLevel="0" collapsed="false">
      <c r="A252" s="3" t="n">
        <v>3</v>
      </c>
      <c r="B252" s="24" t="n">
        <v>46082</v>
      </c>
      <c r="C252" s="3" t="s">
        <v>481</v>
      </c>
      <c r="D252" s="3" t="s">
        <v>219</v>
      </c>
      <c r="E252" s="3" t="n">
        <f aca="false">COUNTIF('NF x Centro de Custo'!$C$5:$C$1270,$C252)</f>
        <v>1</v>
      </c>
      <c r="F252" s="15" t="n">
        <f aca="false">SUMIFS('NF x Centro de Custo'!$F$5:$F$1270,'NF x Centro de Custo'!$C$5:$C$1270,$C252)</f>
        <v>5004.37</v>
      </c>
      <c r="G252" s="15" t="n">
        <f aca="false">SUMIFS('NF x Centro de Custo'!$G$5:$G$1270,'NF x Centro de Custo'!$C$5:$C$1270,$C252)</f>
        <v>0</v>
      </c>
      <c r="H252" s="15" t="n">
        <f aca="false">F252+G252</f>
        <v>5004.37</v>
      </c>
      <c r="I252" s="25" t="n">
        <v>5004.37</v>
      </c>
      <c r="J252" s="15" t="n">
        <f aca="false">ROUND(H252-I252,2)</f>
        <v>0</v>
      </c>
      <c r="K252" s="26" t="str">
        <f aca="false">IF(ABS(J252)&lt;0.05,"OK","Verificar")</f>
        <v>OK</v>
      </c>
    </row>
    <row r="253" customFormat="false" ht="15" hidden="false" customHeight="false" outlineLevel="0" collapsed="false">
      <c r="A253" s="3" t="n">
        <v>3</v>
      </c>
      <c r="B253" s="24" t="n">
        <v>46082</v>
      </c>
      <c r="C253" s="3" t="s">
        <v>482</v>
      </c>
      <c r="D253" s="3" t="s">
        <v>219</v>
      </c>
      <c r="E253" s="3" t="n">
        <f aca="false">COUNTIF('NF x Centro de Custo'!$C$5:$C$1270,$C253)</f>
        <v>1</v>
      </c>
      <c r="F253" s="15" t="n">
        <f aca="false">SUMIFS('NF x Centro de Custo'!$F$5:$F$1270,'NF x Centro de Custo'!$C$5:$C$1270,$C253)</f>
        <v>29580.18</v>
      </c>
      <c r="G253" s="15" t="n">
        <f aca="false">SUMIFS('NF x Centro de Custo'!$G$5:$G$1270,'NF x Centro de Custo'!$C$5:$C$1270,$C253)</f>
        <v>0</v>
      </c>
      <c r="H253" s="15" t="n">
        <f aca="false">F253+G253</f>
        <v>29580.18</v>
      </c>
      <c r="I253" s="25" t="n">
        <v>29580.18</v>
      </c>
      <c r="J253" s="15" t="n">
        <f aca="false">ROUND(H253-I253,2)</f>
        <v>0</v>
      </c>
      <c r="K253" s="26" t="str">
        <f aca="false">IF(ABS(J253)&lt;0.05,"OK","Verificar")</f>
        <v>OK</v>
      </c>
    </row>
    <row r="254" customFormat="false" ht="15" hidden="false" customHeight="false" outlineLevel="0" collapsed="false">
      <c r="A254" s="3" t="n">
        <v>3</v>
      </c>
      <c r="B254" s="24" t="n">
        <v>46082</v>
      </c>
      <c r="C254" s="3" t="s">
        <v>483</v>
      </c>
      <c r="D254" s="3" t="s">
        <v>219</v>
      </c>
      <c r="E254" s="3" t="n">
        <f aca="false">COUNTIF('NF x Centro de Custo'!$C$5:$C$1270,$C254)</f>
        <v>1</v>
      </c>
      <c r="F254" s="15" t="n">
        <f aca="false">SUMIFS('NF x Centro de Custo'!$F$5:$F$1270,'NF x Centro de Custo'!$C$5:$C$1270,$C254)</f>
        <v>3501.85</v>
      </c>
      <c r="G254" s="15" t="n">
        <f aca="false">SUMIFS('NF x Centro de Custo'!$G$5:$G$1270,'NF x Centro de Custo'!$C$5:$C$1270,$C254)</f>
        <v>0</v>
      </c>
      <c r="H254" s="15" t="n">
        <f aca="false">F254+G254</f>
        <v>3501.85</v>
      </c>
      <c r="I254" s="25" t="n">
        <v>3501.85</v>
      </c>
      <c r="J254" s="15" t="n">
        <f aca="false">ROUND(H254-I254,2)</f>
        <v>0</v>
      </c>
      <c r="K254" s="26" t="str">
        <f aca="false">IF(ABS(J254)&lt;0.05,"OK","Verificar")</f>
        <v>OK</v>
      </c>
    </row>
    <row r="255" customFormat="false" ht="15" hidden="false" customHeight="false" outlineLevel="0" collapsed="false">
      <c r="A255" s="3" t="n">
        <v>3</v>
      </c>
      <c r="B255" s="24" t="n">
        <v>46082</v>
      </c>
      <c r="C255" s="3" t="s">
        <v>484</v>
      </c>
      <c r="D255" s="3" t="s">
        <v>219</v>
      </c>
      <c r="E255" s="3" t="n">
        <f aca="false">COUNTIF('NF x Centro de Custo'!$C$5:$C$1270,$C255)</f>
        <v>1</v>
      </c>
      <c r="F255" s="15" t="n">
        <f aca="false">SUMIFS('NF x Centro de Custo'!$F$5:$F$1270,'NF x Centro de Custo'!$C$5:$C$1270,$C255)</f>
        <v>32775.47</v>
      </c>
      <c r="G255" s="15" t="n">
        <f aca="false">SUMIFS('NF x Centro de Custo'!$G$5:$G$1270,'NF x Centro de Custo'!$C$5:$C$1270,$C255)</f>
        <v>0</v>
      </c>
      <c r="H255" s="15" t="n">
        <f aca="false">F255+G255</f>
        <v>32775.47</v>
      </c>
      <c r="I255" s="25" t="n">
        <v>32775.47</v>
      </c>
      <c r="J255" s="15" t="n">
        <f aca="false">ROUND(H255-I255,2)</f>
        <v>0</v>
      </c>
      <c r="K255" s="26" t="str">
        <f aca="false">IF(ABS(J255)&lt;0.05,"OK","Verificar")</f>
        <v>OK</v>
      </c>
    </row>
    <row r="256" customFormat="false" ht="15" hidden="false" customHeight="false" outlineLevel="0" collapsed="false">
      <c r="A256" s="3" t="n">
        <v>3</v>
      </c>
      <c r="B256" s="24" t="n">
        <v>46082</v>
      </c>
      <c r="C256" s="3" t="s">
        <v>485</v>
      </c>
      <c r="D256" s="3" t="s">
        <v>228</v>
      </c>
      <c r="E256" s="3" t="n">
        <f aca="false">COUNTIF('NF x Centro de Custo'!$C$5:$C$1270,$C256)</f>
        <v>2</v>
      </c>
      <c r="F256" s="15" t="n">
        <f aca="false">SUMIFS('NF x Centro de Custo'!$F$5:$F$1270,'NF x Centro de Custo'!$C$5:$C$1270,$C256)</f>
        <v>18085.71</v>
      </c>
      <c r="G256" s="15" t="n">
        <f aca="false">SUMIFS('NF x Centro de Custo'!$G$5:$G$1270,'NF x Centro de Custo'!$C$5:$C$1270,$C256)</f>
        <v>0</v>
      </c>
      <c r="H256" s="15" t="n">
        <f aca="false">F256+G256</f>
        <v>18085.71</v>
      </c>
      <c r="I256" s="25" t="n">
        <v>18085.71</v>
      </c>
      <c r="J256" s="15" t="n">
        <f aca="false">ROUND(H256-I256,2)</f>
        <v>0</v>
      </c>
      <c r="K256" s="26" t="str">
        <f aca="false">IF(ABS(J256)&lt;0.05,"OK","Verificar")</f>
        <v>OK</v>
      </c>
    </row>
    <row r="257" customFormat="false" ht="15" hidden="false" customHeight="false" outlineLevel="0" collapsed="false">
      <c r="A257" s="3" t="n">
        <v>3</v>
      </c>
      <c r="B257" s="24" t="n">
        <v>46082</v>
      </c>
      <c r="C257" s="3" t="s">
        <v>486</v>
      </c>
      <c r="D257" s="3" t="s">
        <v>228</v>
      </c>
      <c r="E257" s="3" t="n">
        <f aca="false">COUNTIF('NF x Centro de Custo'!$C$5:$C$1270,$C257)</f>
        <v>1</v>
      </c>
      <c r="F257" s="15" t="n">
        <f aca="false">SUMIFS('NF x Centro de Custo'!$F$5:$F$1270,'NF x Centro de Custo'!$C$5:$C$1270,$C257)</f>
        <v>7511.1</v>
      </c>
      <c r="G257" s="15" t="n">
        <f aca="false">SUMIFS('NF x Centro de Custo'!$G$5:$G$1270,'NF x Centro de Custo'!$C$5:$C$1270,$C257)</f>
        <v>0</v>
      </c>
      <c r="H257" s="15" t="n">
        <f aca="false">F257+G257</f>
        <v>7511.1</v>
      </c>
      <c r="I257" s="25" t="n">
        <v>7511.1</v>
      </c>
      <c r="J257" s="15" t="n">
        <f aca="false">ROUND(H257-I257,2)</f>
        <v>0</v>
      </c>
      <c r="K257" s="26" t="str">
        <f aca="false">IF(ABS(J257)&lt;0.05,"OK","Verificar")</f>
        <v>OK</v>
      </c>
    </row>
    <row r="258" customFormat="false" ht="15" hidden="false" customHeight="false" outlineLevel="0" collapsed="false">
      <c r="A258" s="3" t="n">
        <v>3</v>
      </c>
      <c r="B258" s="24" t="n">
        <v>46082</v>
      </c>
      <c r="C258" s="3" t="s">
        <v>487</v>
      </c>
      <c r="D258" s="3" t="s">
        <v>212</v>
      </c>
      <c r="E258" s="3" t="n">
        <f aca="false">COUNTIF('NF x Centro de Custo'!$C$5:$C$1270,$C258)</f>
        <v>8</v>
      </c>
      <c r="F258" s="15" t="n">
        <f aca="false">SUMIFS('NF x Centro de Custo'!$F$5:$F$1270,'NF x Centro de Custo'!$C$5:$C$1270,$C258)</f>
        <v>52610.85</v>
      </c>
      <c r="G258" s="15" t="n">
        <f aca="false">SUMIFS('NF x Centro de Custo'!$G$5:$G$1270,'NF x Centro de Custo'!$C$5:$C$1270,$C258)</f>
        <v>0</v>
      </c>
      <c r="H258" s="15" t="n">
        <f aca="false">F258+G258</f>
        <v>52610.85</v>
      </c>
      <c r="I258" s="25" t="n">
        <v>52610.85</v>
      </c>
      <c r="J258" s="15" t="n">
        <f aca="false">ROUND(H258-I258,2)</f>
        <v>0</v>
      </c>
      <c r="K258" s="26" t="str">
        <f aca="false">IF(ABS(J258)&lt;0.05,"OK","Verificar")</f>
        <v>OK</v>
      </c>
    </row>
    <row r="259" customFormat="false" ht="15" hidden="false" customHeight="false" outlineLevel="0" collapsed="false">
      <c r="A259" s="3" t="n">
        <v>3</v>
      </c>
      <c r="B259" s="24" t="n">
        <v>46082</v>
      </c>
      <c r="C259" s="3" t="s">
        <v>488</v>
      </c>
      <c r="D259" s="3" t="s">
        <v>214</v>
      </c>
      <c r="E259" s="3" t="n">
        <f aca="false">COUNTIF('NF x Centro de Custo'!$C$5:$C$1270,$C259)</f>
        <v>1</v>
      </c>
      <c r="F259" s="15" t="n">
        <f aca="false">SUMIFS('NF x Centro de Custo'!$F$5:$F$1270,'NF x Centro de Custo'!$C$5:$C$1270,$C259)</f>
        <v>1897.98</v>
      </c>
      <c r="G259" s="15" t="n">
        <f aca="false">SUMIFS('NF x Centro de Custo'!$G$5:$G$1270,'NF x Centro de Custo'!$C$5:$C$1270,$C259)</f>
        <v>0</v>
      </c>
      <c r="H259" s="15" t="n">
        <f aca="false">F259+G259</f>
        <v>1897.98</v>
      </c>
      <c r="I259" s="25" t="n">
        <v>1897.98</v>
      </c>
      <c r="J259" s="15" t="n">
        <f aca="false">ROUND(H259-I259,2)</f>
        <v>0</v>
      </c>
      <c r="K259" s="26" t="str">
        <f aca="false">IF(ABS(J259)&lt;0.05,"OK","Verificar")</f>
        <v>OK</v>
      </c>
    </row>
    <row r="260" customFormat="false" ht="15" hidden="false" customHeight="false" outlineLevel="0" collapsed="false">
      <c r="A260" s="3" t="n">
        <v>3</v>
      </c>
      <c r="B260" s="24" t="n">
        <v>46082</v>
      </c>
      <c r="C260" s="3" t="s">
        <v>489</v>
      </c>
      <c r="D260" s="3" t="s">
        <v>214</v>
      </c>
      <c r="E260" s="3" t="n">
        <f aca="false">COUNTIF('NF x Centro de Custo'!$C$5:$C$1270,$C260)</f>
        <v>1</v>
      </c>
      <c r="F260" s="15" t="n">
        <f aca="false">SUMIFS('NF x Centro de Custo'!$F$5:$F$1270,'NF x Centro de Custo'!$C$5:$C$1270,$C260)</f>
        <v>3443.53</v>
      </c>
      <c r="G260" s="15" t="n">
        <f aca="false">SUMIFS('NF x Centro de Custo'!$G$5:$G$1270,'NF x Centro de Custo'!$C$5:$C$1270,$C260)</f>
        <v>0</v>
      </c>
      <c r="H260" s="15" t="n">
        <f aca="false">F260+G260</f>
        <v>3443.53</v>
      </c>
      <c r="I260" s="25" t="n">
        <v>3443.53</v>
      </c>
      <c r="J260" s="15" t="n">
        <f aca="false">ROUND(H260-I260,2)</f>
        <v>0</v>
      </c>
      <c r="K260" s="26" t="str">
        <f aca="false">IF(ABS(J260)&lt;0.05,"OK","Verificar")</f>
        <v>OK</v>
      </c>
    </row>
    <row r="261" customFormat="false" ht="15" hidden="false" customHeight="false" outlineLevel="0" collapsed="false">
      <c r="A261" s="3" t="n">
        <v>3</v>
      </c>
      <c r="B261" s="24" t="n">
        <v>46082</v>
      </c>
      <c r="C261" s="3" t="s">
        <v>490</v>
      </c>
      <c r="D261" s="3" t="s">
        <v>231</v>
      </c>
      <c r="E261" s="3" t="n">
        <f aca="false">COUNTIF('NF x Centro de Custo'!$C$5:$C$1270,$C261)</f>
        <v>1</v>
      </c>
      <c r="F261" s="15" t="n">
        <f aca="false">SUMIFS('NF x Centro de Custo'!$F$5:$F$1270,'NF x Centro de Custo'!$C$5:$C$1270,$C261)</f>
        <v>7716.03</v>
      </c>
      <c r="G261" s="15" t="n">
        <f aca="false">SUMIFS('NF x Centro de Custo'!$G$5:$G$1270,'NF x Centro de Custo'!$C$5:$C$1270,$C261)</f>
        <v>0</v>
      </c>
      <c r="H261" s="15" t="n">
        <f aca="false">F261+G261</f>
        <v>7716.03</v>
      </c>
      <c r="I261" s="25" t="n">
        <v>7716.03</v>
      </c>
      <c r="J261" s="15" t="n">
        <f aca="false">ROUND(H261-I261,2)</f>
        <v>0</v>
      </c>
      <c r="K261" s="26" t="str">
        <f aca="false">IF(ABS(J261)&lt;0.05,"OK","Verificar")</f>
        <v>OK</v>
      </c>
    </row>
    <row r="262" customFormat="false" ht="15" hidden="false" customHeight="false" outlineLevel="0" collapsed="false">
      <c r="A262" s="3" t="n">
        <v>3</v>
      </c>
      <c r="B262" s="24" t="n">
        <v>46082</v>
      </c>
      <c r="C262" s="3" t="s">
        <v>491</v>
      </c>
      <c r="D262" s="3" t="s">
        <v>231</v>
      </c>
      <c r="E262" s="3" t="n">
        <f aca="false">COUNTIF('NF x Centro de Custo'!$C$5:$C$1270,$C262)</f>
        <v>1</v>
      </c>
      <c r="F262" s="15" t="n">
        <f aca="false">SUMIFS('NF x Centro de Custo'!$F$5:$F$1270,'NF x Centro de Custo'!$C$5:$C$1270,$C262)</f>
        <v>17380.38</v>
      </c>
      <c r="G262" s="15" t="n">
        <f aca="false">SUMIFS('NF x Centro de Custo'!$G$5:$G$1270,'NF x Centro de Custo'!$C$5:$C$1270,$C262)</f>
        <v>0</v>
      </c>
      <c r="H262" s="15" t="n">
        <f aca="false">F262+G262</f>
        <v>17380.38</v>
      </c>
      <c r="I262" s="25" t="n">
        <v>17380.38</v>
      </c>
      <c r="J262" s="15" t="n">
        <f aca="false">ROUND(H262-I262,2)</f>
        <v>0</v>
      </c>
      <c r="K262" s="26" t="str">
        <f aca="false">IF(ABS(J262)&lt;0.05,"OK","Verificar")</f>
        <v>OK</v>
      </c>
    </row>
    <row r="263" customFormat="false" ht="15" hidden="false" customHeight="false" outlineLevel="0" collapsed="false">
      <c r="A263" s="3" t="n">
        <v>3</v>
      </c>
      <c r="B263" s="24" t="n">
        <v>46082</v>
      </c>
      <c r="C263" s="3" t="s">
        <v>492</v>
      </c>
      <c r="D263" s="3" t="s">
        <v>440</v>
      </c>
      <c r="E263" s="3" t="n">
        <f aca="false">COUNTIF('NF x Centro de Custo'!$C$5:$C$1270,$C263)</f>
        <v>1</v>
      </c>
      <c r="F263" s="15" t="n">
        <f aca="false">SUMIFS('NF x Centro de Custo'!$F$5:$F$1270,'NF x Centro de Custo'!$C$5:$C$1270,$C263)</f>
        <v>5267.8</v>
      </c>
      <c r="G263" s="15" t="n">
        <f aca="false">SUMIFS('NF x Centro de Custo'!$G$5:$G$1270,'NF x Centro de Custo'!$C$5:$C$1270,$C263)</f>
        <v>0</v>
      </c>
      <c r="H263" s="15" t="n">
        <f aca="false">F263+G263</f>
        <v>5267.8</v>
      </c>
      <c r="I263" s="25" t="n">
        <v>5267.8</v>
      </c>
      <c r="J263" s="15" t="n">
        <f aca="false">ROUND(H263-I263,2)</f>
        <v>0</v>
      </c>
      <c r="K263" s="26" t="str">
        <f aca="false">IF(ABS(J263)&lt;0.05,"OK","Verificar")</f>
        <v>OK</v>
      </c>
    </row>
    <row r="264" customFormat="false" ht="15" hidden="false" customHeight="false" outlineLevel="0" collapsed="false">
      <c r="A264" s="3" t="n">
        <v>3</v>
      </c>
      <c r="B264" s="24" t="n">
        <v>46082</v>
      </c>
      <c r="C264" s="3" t="s">
        <v>493</v>
      </c>
      <c r="D264" s="3" t="s">
        <v>440</v>
      </c>
      <c r="E264" s="3" t="n">
        <f aca="false">COUNTIF('NF x Centro de Custo'!$C$5:$C$1270,$C264)</f>
        <v>1</v>
      </c>
      <c r="F264" s="15" t="n">
        <f aca="false">SUMIFS('NF x Centro de Custo'!$F$5:$F$1270,'NF x Centro de Custo'!$C$5:$C$1270,$C264)</f>
        <v>10139.36</v>
      </c>
      <c r="G264" s="15" t="n">
        <f aca="false">SUMIFS('NF x Centro de Custo'!$G$5:$G$1270,'NF x Centro de Custo'!$C$5:$C$1270,$C264)</f>
        <v>0</v>
      </c>
      <c r="H264" s="15" t="n">
        <f aca="false">F264+G264</f>
        <v>10139.36</v>
      </c>
      <c r="I264" s="25" t="n">
        <v>10139.36</v>
      </c>
      <c r="J264" s="15" t="n">
        <f aca="false">ROUND(H264-I264,2)</f>
        <v>0</v>
      </c>
      <c r="K264" s="26" t="str">
        <f aca="false">IF(ABS(J264)&lt;0.05,"OK","Verificar")</f>
        <v>OK</v>
      </c>
    </row>
    <row r="265" customFormat="false" ht="15" hidden="false" customHeight="false" outlineLevel="0" collapsed="false">
      <c r="A265" s="3" t="n">
        <v>3</v>
      </c>
      <c r="B265" s="24" t="n">
        <v>46082</v>
      </c>
      <c r="C265" s="3" t="s">
        <v>494</v>
      </c>
      <c r="D265" s="3" t="s">
        <v>440</v>
      </c>
      <c r="E265" s="3" t="n">
        <f aca="false">COUNTIF('NF x Centro de Custo'!$C$5:$C$1270,$C265)</f>
        <v>1</v>
      </c>
      <c r="F265" s="15" t="n">
        <f aca="false">SUMIFS('NF x Centro de Custo'!$F$5:$F$1270,'NF x Centro de Custo'!$C$5:$C$1270,$C265)</f>
        <v>3841.84</v>
      </c>
      <c r="G265" s="15" t="n">
        <f aca="false">SUMIFS('NF x Centro de Custo'!$G$5:$G$1270,'NF x Centro de Custo'!$C$5:$C$1270,$C265)</f>
        <v>0</v>
      </c>
      <c r="H265" s="15" t="n">
        <f aca="false">F265+G265</f>
        <v>3841.84</v>
      </c>
      <c r="I265" s="25" t="n">
        <v>3841.84</v>
      </c>
      <c r="J265" s="15" t="n">
        <f aca="false">ROUND(H265-I265,2)</f>
        <v>0</v>
      </c>
      <c r="K265" s="26" t="str">
        <f aca="false">IF(ABS(J265)&lt;0.05,"OK","Verificar")</f>
        <v>OK</v>
      </c>
    </row>
    <row r="266" customFormat="false" ht="15" hidden="false" customHeight="false" outlineLevel="0" collapsed="false">
      <c r="A266" s="3" t="n">
        <v>3</v>
      </c>
      <c r="B266" s="24" t="n">
        <v>46082</v>
      </c>
      <c r="C266" s="3" t="s">
        <v>495</v>
      </c>
      <c r="D266" s="3" t="s">
        <v>440</v>
      </c>
      <c r="E266" s="3" t="n">
        <f aca="false">COUNTIF('NF x Centro de Custo'!$C$5:$C$1270,$C266)</f>
        <v>1</v>
      </c>
      <c r="F266" s="15" t="n">
        <f aca="false">SUMIFS('NF x Centro de Custo'!$F$5:$F$1270,'NF x Centro de Custo'!$C$5:$C$1270,$C266)</f>
        <v>12075.55</v>
      </c>
      <c r="G266" s="15" t="n">
        <f aca="false">SUMIFS('NF x Centro de Custo'!$G$5:$G$1270,'NF x Centro de Custo'!$C$5:$C$1270,$C266)</f>
        <v>0</v>
      </c>
      <c r="H266" s="15" t="n">
        <f aca="false">F266+G266</f>
        <v>12075.55</v>
      </c>
      <c r="I266" s="25" t="n">
        <v>12075.55</v>
      </c>
      <c r="J266" s="15" t="n">
        <f aca="false">ROUND(H266-I266,2)</f>
        <v>0</v>
      </c>
      <c r="K266" s="26" t="str">
        <f aca="false">IF(ABS(J266)&lt;0.05,"OK","Verificar")</f>
        <v>OK</v>
      </c>
    </row>
    <row r="267" customFormat="false" ht="15" hidden="false" customHeight="false" outlineLevel="0" collapsed="false">
      <c r="A267" s="3" t="n">
        <v>3</v>
      </c>
      <c r="B267" s="24" t="n">
        <v>46082</v>
      </c>
      <c r="C267" s="3" t="s">
        <v>496</v>
      </c>
      <c r="D267" s="3" t="s">
        <v>440</v>
      </c>
      <c r="E267" s="3" t="n">
        <f aca="false">COUNTIF('NF x Centro de Custo'!$C$5:$C$1270,$C267)</f>
        <v>1</v>
      </c>
      <c r="F267" s="15" t="n">
        <f aca="false">SUMIFS('NF x Centro de Custo'!$F$5:$F$1270,'NF x Centro de Custo'!$C$5:$C$1270,$C267)</f>
        <v>400.63</v>
      </c>
      <c r="G267" s="15" t="n">
        <f aca="false">SUMIFS('NF x Centro de Custo'!$G$5:$G$1270,'NF x Centro de Custo'!$C$5:$C$1270,$C267)</f>
        <v>0</v>
      </c>
      <c r="H267" s="15" t="n">
        <f aca="false">F267+G267</f>
        <v>400.63</v>
      </c>
      <c r="I267" s="25" t="n">
        <v>400.63</v>
      </c>
      <c r="J267" s="15" t="n">
        <f aca="false">ROUND(H267-I267,2)</f>
        <v>0</v>
      </c>
      <c r="K267" s="26" t="str">
        <f aca="false">IF(ABS(J267)&lt;0.05,"OK","Verificar")</f>
        <v>OK</v>
      </c>
    </row>
    <row r="268" customFormat="false" ht="15" hidden="false" customHeight="false" outlineLevel="0" collapsed="false">
      <c r="A268" s="3" t="n">
        <v>3</v>
      </c>
      <c r="B268" s="24" t="n">
        <v>46082</v>
      </c>
      <c r="C268" s="3" t="s">
        <v>497</v>
      </c>
      <c r="D268" s="3" t="s">
        <v>440</v>
      </c>
      <c r="E268" s="3" t="n">
        <f aca="false">COUNTIF('NF x Centro de Custo'!$C$5:$C$1270,$C268)</f>
        <v>2</v>
      </c>
      <c r="F268" s="15" t="n">
        <f aca="false">SUMIFS('NF x Centro de Custo'!$F$5:$F$1270,'NF x Centro de Custo'!$C$5:$C$1270,$C268)</f>
        <v>37822.66</v>
      </c>
      <c r="G268" s="15" t="n">
        <f aca="false">SUMIFS('NF x Centro de Custo'!$G$5:$G$1270,'NF x Centro de Custo'!$C$5:$C$1270,$C268)</f>
        <v>0</v>
      </c>
      <c r="H268" s="15" t="n">
        <f aca="false">F268+G268</f>
        <v>37822.66</v>
      </c>
      <c r="I268" s="25" t="n">
        <v>37822.66</v>
      </c>
      <c r="J268" s="15" t="n">
        <f aca="false">ROUND(H268-I268,2)</f>
        <v>0</v>
      </c>
      <c r="K268" s="26" t="str">
        <f aca="false">IF(ABS(J268)&lt;0.05,"OK","Verificar")</f>
        <v>OK</v>
      </c>
    </row>
    <row r="269" customFormat="false" ht="15" hidden="false" customHeight="false" outlineLevel="0" collapsed="false">
      <c r="A269" s="3" t="n">
        <v>3</v>
      </c>
      <c r="B269" s="24" t="n">
        <v>46082</v>
      </c>
      <c r="C269" s="3" t="s">
        <v>498</v>
      </c>
      <c r="D269" s="3" t="s">
        <v>440</v>
      </c>
      <c r="E269" s="3" t="n">
        <f aca="false">COUNTIF('NF x Centro de Custo'!$C$5:$C$1270,$C269)</f>
        <v>1</v>
      </c>
      <c r="F269" s="15" t="n">
        <f aca="false">SUMIFS('NF x Centro de Custo'!$F$5:$F$1270,'NF x Centro de Custo'!$C$5:$C$1270,$C269)</f>
        <v>55456.86</v>
      </c>
      <c r="G269" s="15" t="n">
        <f aca="false">SUMIFS('NF x Centro de Custo'!$G$5:$G$1270,'NF x Centro de Custo'!$C$5:$C$1270,$C269)</f>
        <v>0</v>
      </c>
      <c r="H269" s="15" t="n">
        <f aca="false">F269+G269</f>
        <v>55456.86</v>
      </c>
      <c r="I269" s="25" t="n">
        <v>55456.86</v>
      </c>
      <c r="J269" s="15" t="n">
        <f aca="false">ROUND(H269-I269,2)</f>
        <v>0</v>
      </c>
      <c r="K269" s="26" t="str">
        <f aca="false">IF(ABS(J269)&lt;0.05,"OK","Verificar")</f>
        <v>OK</v>
      </c>
    </row>
    <row r="270" customFormat="false" ht="15" hidden="false" customHeight="false" outlineLevel="0" collapsed="false">
      <c r="A270" s="3" t="n">
        <v>3</v>
      </c>
      <c r="B270" s="24" t="n">
        <v>46082</v>
      </c>
      <c r="C270" s="3" t="s">
        <v>499</v>
      </c>
      <c r="D270" s="3" t="s">
        <v>440</v>
      </c>
      <c r="E270" s="3" t="n">
        <f aca="false">COUNTIF('NF x Centro de Custo'!$C$5:$C$1270,$C270)</f>
        <v>5</v>
      </c>
      <c r="F270" s="15" t="n">
        <f aca="false">SUMIFS('NF x Centro de Custo'!$F$5:$F$1270,'NF x Centro de Custo'!$C$5:$C$1270,$C270)</f>
        <v>15138.09</v>
      </c>
      <c r="G270" s="15" t="n">
        <f aca="false">SUMIFS('NF x Centro de Custo'!$G$5:$G$1270,'NF x Centro de Custo'!$C$5:$C$1270,$C270)</f>
        <v>0</v>
      </c>
      <c r="H270" s="15" t="n">
        <f aca="false">F270+G270</f>
        <v>15138.09</v>
      </c>
      <c r="I270" s="25" t="n">
        <v>15138.09</v>
      </c>
      <c r="J270" s="15" t="n">
        <f aca="false">ROUND(H270-I270,2)</f>
        <v>0</v>
      </c>
      <c r="K270" s="26" t="str">
        <f aca="false">IF(ABS(J270)&lt;0.05,"OK","Verificar")</f>
        <v>OK</v>
      </c>
    </row>
    <row r="271" customFormat="false" ht="15" hidden="false" customHeight="false" outlineLevel="0" collapsed="false">
      <c r="A271" s="3" t="n">
        <v>3</v>
      </c>
      <c r="B271" s="24" t="n">
        <v>46082</v>
      </c>
      <c r="C271" s="3" t="s">
        <v>500</v>
      </c>
      <c r="D271" s="3" t="s">
        <v>440</v>
      </c>
      <c r="E271" s="3" t="n">
        <f aca="false">COUNTIF('NF x Centro de Custo'!$C$5:$C$1270,$C271)</f>
        <v>5</v>
      </c>
      <c r="F271" s="15" t="n">
        <f aca="false">SUMIFS('NF x Centro de Custo'!$F$5:$F$1270,'NF x Centro de Custo'!$C$5:$C$1270,$C271)</f>
        <v>9517.43</v>
      </c>
      <c r="G271" s="15" t="n">
        <f aca="false">SUMIFS('NF x Centro de Custo'!$G$5:$G$1270,'NF x Centro de Custo'!$C$5:$C$1270,$C271)</f>
        <v>0</v>
      </c>
      <c r="H271" s="15" t="n">
        <f aca="false">F271+G271</f>
        <v>9517.43</v>
      </c>
      <c r="I271" s="25" t="n">
        <v>9517.43</v>
      </c>
      <c r="J271" s="15" t="n">
        <f aca="false">ROUND(H271-I271,2)</f>
        <v>0</v>
      </c>
      <c r="K271" s="26" t="str">
        <f aca="false">IF(ABS(J271)&lt;0.05,"OK","Verificar")</f>
        <v>OK</v>
      </c>
    </row>
    <row r="272" customFormat="false" ht="15" hidden="false" customHeight="false" outlineLevel="0" collapsed="false">
      <c r="A272" s="3" t="n">
        <v>3</v>
      </c>
      <c r="B272" s="24" t="n">
        <v>46082</v>
      </c>
      <c r="C272" s="3" t="s">
        <v>501</v>
      </c>
      <c r="D272" s="3" t="s">
        <v>440</v>
      </c>
      <c r="E272" s="3" t="n">
        <f aca="false">COUNTIF('NF x Centro de Custo'!$C$5:$C$1270,$C272)</f>
        <v>1</v>
      </c>
      <c r="F272" s="15" t="n">
        <f aca="false">SUMIFS('NF x Centro de Custo'!$F$5:$F$1270,'NF x Centro de Custo'!$C$5:$C$1270,$C272)</f>
        <v>2802.18</v>
      </c>
      <c r="G272" s="15" t="n">
        <f aca="false">SUMIFS('NF x Centro de Custo'!$G$5:$G$1270,'NF x Centro de Custo'!$C$5:$C$1270,$C272)</f>
        <v>0</v>
      </c>
      <c r="H272" s="15" t="n">
        <f aca="false">F272+G272</f>
        <v>2802.18</v>
      </c>
      <c r="I272" s="25" t="n">
        <v>2802.18</v>
      </c>
      <c r="J272" s="15" t="n">
        <f aca="false">ROUND(H272-I272,2)</f>
        <v>0</v>
      </c>
      <c r="K272" s="26" t="str">
        <f aca="false">IF(ABS(J272)&lt;0.05,"OK","Verificar")</f>
        <v>OK</v>
      </c>
    </row>
    <row r="273" customFormat="false" ht="15" hidden="false" customHeight="false" outlineLevel="0" collapsed="false">
      <c r="A273" s="3" t="n">
        <v>3</v>
      </c>
      <c r="B273" s="24" t="n">
        <v>46082</v>
      </c>
      <c r="C273" s="3" t="s">
        <v>502</v>
      </c>
      <c r="D273" s="3" t="s">
        <v>440</v>
      </c>
      <c r="E273" s="3" t="n">
        <f aca="false">COUNTIF('NF x Centro de Custo'!$C$5:$C$1270,$C273)</f>
        <v>4</v>
      </c>
      <c r="F273" s="15" t="n">
        <f aca="false">SUMIFS('NF x Centro de Custo'!$F$5:$F$1270,'NF x Centro de Custo'!$C$5:$C$1270,$C273)</f>
        <v>17304.47</v>
      </c>
      <c r="G273" s="15" t="n">
        <f aca="false">SUMIFS('NF x Centro de Custo'!$G$5:$G$1270,'NF x Centro de Custo'!$C$5:$C$1270,$C273)</f>
        <v>0</v>
      </c>
      <c r="H273" s="15" t="n">
        <f aca="false">F273+G273</f>
        <v>17304.47</v>
      </c>
      <c r="I273" s="25" t="n">
        <v>17304.47</v>
      </c>
      <c r="J273" s="15" t="n">
        <f aca="false">ROUND(H273-I273,2)</f>
        <v>0</v>
      </c>
      <c r="K273" s="26" t="str">
        <f aca="false">IF(ABS(J273)&lt;0.05,"OK","Verificar")</f>
        <v>OK</v>
      </c>
    </row>
    <row r="274" customFormat="false" ht="15" hidden="false" customHeight="false" outlineLevel="0" collapsed="false">
      <c r="A274" s="3" t="n">
        <v>3</v>
      </c>
      <c r="B274" s="24" t="n">
        <v>46082</v>
      </c>
      <c r="C274" s="3" t="s">
        <v>503</v>
      </c>
      <c r="D274" s="3" t="s">
        <v>440</v>
      </c>
      <c r="E274" s="3" t="n">
        <f aca="false">COUNTIF('NF x Centro de Custo'!$C$5:$C$1270,$C274)</f>
        <v>1</v>
      </c>
      <c r="F274" s="15" t="n">
        <f aca="false">SUMIFS('NF x Centro de Custo'!$F$5:$F$1270,'NF x Centro de Custo'!$C$5:$C$1270,$C274)</f>
        <v>974.76</v>
      </c>
      <c r="G274" s="15" t="n">
        <f aca="false">SUMIFS('NF x Centro de Custo'!$G$5:$G$1270,'NF x Centro de Custo'!$C$5:$C$1270,$C274)</f>
        <v>0</v>
      </c>
      <c r="H274" s="15" t="n">
        <f aca="false">F274+G274</f>
        <v>974.76</v>
      </c>
      <c r="I274" s="25" t="n">
        <v>974.76</v>
      </c>
      <c r="J274" s="15" t="n">
        <f aca="false">ROUND(H274-I274,2)</f>
        <v>0</v>
      </c>
      <c r="K274" s="26" t="str">
        <f aca="false">IF(ABS(J274)&lt;0.05,"OK","Verificar")</f>
        <v>OK</v>
      </c>
    </row>
    <row r="275" customFormat="false" ht="15" hidden="false" customHeight="false" outlineLevel="0" collapsed="false">
      <c r="A275" s="3" t="n">
        <v>3</v>
      </c>
      <c r="B275" s="24" t="n">
        <v>46082</v>
      </c>
      <c r="C275" s="3" t="s">
        <v>504</v>
      </c>
      <c r="D275" s="3" t="s">
        <v>440</v>
      </c>
      <c r="E275" s="3" t="n">
        <f aca="false">COUNTIF('NF x Centro de Custo'!$C$5:$C$1270,$C275)</f>
        <v>1</v>
      </c>
      <c r="F275" s="15" t="n">
        <f aca="false">SUMIFS('NF x Centro de Custo'!$F$5:$F$1270,'NF x Centro de Custo'!$C$5:$C$1270,$C275)</f>
        <v>1153.16</v>
      </c>
      <c r="G275" s="15" t="n">
        <f aca="false">SUMIFS('NF x Centro de Custo'!$G$5:$G$1270,'NF x Centro de Custo'!$C$5:$C$1270,$C275)</f>
        <v>0</v>
      </c>
      <c r="H275" s="15" t="n">
        <f aca="false">F275+G275</f>
        <v>1153.16</v>
      </c>
      <c r="I275" s="25" t="n">
        <v>1153.16</v>
      </c>
      <c r="J275" s="15" t="n">
        <f aca="false">ROUND(H275-I275,2)</f>
        <v>0</v>
      </c>
      <c r="K275" s="26" t="str">
        <f aca="false">IF(ABS(J275)&lt;0.05,"OK","Verificar")</f>
        <v>OK</v>
      </c>
    </row>
    <row r="276" customFormat="false" ht="15" hidden="false" customHeight="false" outlineLevel="0" collapsed="false">
      <c r="A276" s="3" t="n">
        <v>3</v>
      </c>
      <c r="B276" s="24" t="n">
        <v>46082</v>
      </c>
      <c r="C276" s="3" t="s">
        <v>505</v>
      </c>
      <c r="D276" s="3" t="s">
        <v>440</v>
      </c>
      <c r="E276" s="3" t="n">
        <f aca="false">COUNTIF('NF x Centro de Custo'!$C$5:$C$1270,$C276)</f>
        <v>1</v>
      </c>
      <c r="F276" s="15" t="n">
        <f aca="false">SUMIFS('NF x Centro de Custo'!$F$5:$F$1270,'NF x Centro de Custo'!$C$5:$C$1270,$C276)</f>
        <v>3897.98</v>
      </c>
      <c r="G276" s="15" t="n">
        <f aca="false">SUMIFS('NF x Centro de Custo'!$G$5:$G$1270,'NF x Centro de Custo'!$C$5:$C$1270,$C276)</f>
        <v>0</v>
      </c>
      <c r="H276" s="15" t="n">
        <f aca="false">F276+G276</f>
        <v>3897.98</v>
      </c>
      <c r="I276" s="25" t="n">
        <v>3897.98</v>
      </c>
      <c r="J276" s="15" t="n">
        <f aca="false">ROUND(H276-I276,2)</f>
        <v>0</v>
      </c>
      <c r="K276" s="26" t="str">
        <f aca="false">IF(ABS(J276)&lt;0.05,"OK","Verificar")</f>
        <v>OK</v>
      </c>
    </row>
    <row r="277" customFormat="false" ht="15" hidden="false" customHeight="false" outlineLevel="0" collapsed="false">
      <c r="A277" s="3" t="n">
        <v>3</v>
      </c>
      <c r="B277" s="24" t="n">
        <v>46082</v>
      </c>
      <c r="C277" s="3" t="s">
        <v>506</v>
      </c>
      <c r="D277" s="3" t="s">
        <v>440</v>
      </c>
      <c r="E277" s="3" t="n">
        <f aca="false">COUNTIF('NF x Centro de Custo'!$C$5:$C$1270,$C277)</f>
        <v>1</v>
      </c>
      <c r="F277" s="15" t="n">
        <f aca="false">SUMIFS('NF x Centro de Custo'!$F$5:$F$1270,'NF x Centro de Custo'!$C$5:$C$1270,$C277)</f>
        <v>2354.22</v>
      </c>
      <c r="G277" s="15" t="n">
        <f aca="false">SUMIFS('NF x Centro de Custo'!$G$5:$G$1270,'NF x Centro de Custo'!$C$5:$C$1270,$C277)</f>
        <v>0</v>
      </c>
      <c r="H277" s="15" t="n">
        <f aca="false">F277+G277</f>
        <v>2354.22</v>
      </c>
      <c r="I277" s="25" t="n">
        <v>2354.22</v>
      </c>
      <c r="J277" s="15" t="n">
        <f aca="false">ROUND(H277-I277,2)</f>
        <v>0</v>
      </c>
      <c r="K277" s="26" t="str">
        <f aca="false">IF(ABS(J277)&lt;0.05,"OK","Verificar")</f>
        <v>OK</v>
      </c>
    </row>
    <row r="278" customFormat="false" ht="15" hidden="false" customHeight="false" outlineLevel="0" collapsed="false">
      <c r="A278" s="3" t="n">
        <v>3</v>
      </c>
      <c r="B278" s="24" t="n">
        <v>46082</v>
      </c>
      <c r="C278" s="3" t="s">
        <v>507</v>
      </c>
      <c r="D278" s="3" t="s">
        <v>440</v>
      </c>
      <c r="E278" s="3" t="n">
        <f aca="false">COUNTIF('NF x Centro de Custo'!$C$5:$C$1270,$C278)</f>
        <v>1</v>
      </c>
      <c r="F278" s="15" t="n">
        <f aca="false">SUMIFS('NF x Centro de Custo'!$F$5:$F$1270,'NF x Centro de Custo'!$C$5:$C$1270,$C278)</f>
        <v>5083.9</v>
      </c>
      <c r="G278" s="15" t="n">
        <f aca="false">SUMIFS('NF x Centro de Custo'!$G$5:$G$1270,'NF x Centro de Custo'!$C$5:$C$1270,$C278)</f>
        <v>0</v>
      </c>
      <c r="H278" s="15" t="n">
        <f aca="false">F278+G278</f>
        <v>5083.9</v>
      </c>
      <c r="I278" s="25" t="n">
        <v>5083.9</v>
      </c>
      <c r="J278" s="15" t="n">
        <f aca="false">ROUND(H278-I278,2)</f>
        <v>0</v>
      </c>
      <c r="K278" s="26" t="str">
        <f aca="false">IF(ABS(J278)&lt;0.05,"OK","Verificar")</f>
        <v>OK</v>
      </c>
    </row>
    <row r="279" customFormat="false" ht="15" hidden="false" customHeight="false" outlineLevel="0" collapsed="false">
      <c r="A279" s="3" t="n">
        <v>3</v>
      </c>
      <c r="B279" s="24" t="n">
        <v>46082</v>
      </c>
      <c r="C279" s="3" t="s">
        <v>508</v>
      </c>
      <c r="D279" s="3" t="s">
        <v>440</v>
      </c>
      <c r="E279" s="3" t="n">
        <f aca="false">COUNTIF('NF x Centro de Custo'!$C$5:$C$1270,$C279)</f>
        <v>1</v>
      </c>
      <c r="F279" s="15" t="n">
        <f aca="false">SUMIFS('NF x Centro de Custo'!$F$5:$F$1270,'NF x Centro de Custo'!$C$5:$C$1270,$C279)</f>
        <v>1825.52</v>
      </c>
      <c r="G279" s="15" t="n">
        <f aca="false">SUMIFS('NF x Centro de Custo'!$G$5:$G$1270,'NF x Centro de Custo'!$C$5:$C$1270,$C279)</f>
        <v>0</v>
      </c>
      <c r="H279" s="15" t="n">
        <f aca="false">F279+G279</f>
        <v>1825.52</v>
      </c>
      <c r="I279" s="25" t="n">
        <v>1825.52</v>
      </c>
      <c r="J279" s="15" t="n">
        <f aca="false">ROUND(H279-I279,2)</f>
        <v>0</v>
      </c>
      <c r="K279" s="26" t="str">
        <f aca="false">IF(ABS(J279)&lt;0.05,"OK","Verificar")</f>
        <v>OK</v>
      </c>
    </row>
    <row r="280" customFormat="false" ht="15" hidden="false" customHeight="false" outlineLevel="0" collapsed="false">
      <c r="A280" s="3" t="n">
        <v>3</v>
      </c>
      <c r="B280" s="24" t="n">
        <v>46082</v>
      </c>
      <c r="C280" s="3" t="s">
        <v>509</v>
      </c>
      <c r="D280" s="3" t="s">
        <v>440</v>
      </c>
      <c r="E280" s="3" t="n">
        <f aca="false">COUNTIF('NF x Centro de Custo'!$C$5:$C$1270,$C280)</f>
        <v>1</v>
      </c>
      <c r="F280" s="15" t="n">
        <f aca="false">SUMIFS('NF x Centro de Custo'!$F$5:$F$1270,'NF x Centro de Custo'!$C$5:$C$1270,$C280)</f>
        <v>904.1</v>
      </c>
      <c r="G280" s="15" t="n">
        <f aca="false">SUMIFS('NF x Centro de Custo'!$G$5:$G$1270,'NF x Centro de Custo'!$C$5:$C$1270,$C280)</f>
        <v>0</v>
      </c>
      <c r="H280" s="15" t="n">
        <f aca="false">F280+G280</f>
        <v>904.1</v>
      </c>
      <c r="I280" s="25" t="n">
        <v>904.1</v>
      </c>
      <c r="J280" s="15" t="n">
        <f aca="false">ROUND(H280-I280,2)</f>
        <v>0</v>
      </c>
      <c r="K280" s="26" t="str">
        <f aca="false">IF(ABS(J280)&lt;0.05,"OK","Verificar")</f>
        <v>OK</v>
      </c>
    </row>
    <row r="281" customFormat="false" ht="15" hidden="false" customHeight="false" outlineLevel="0" collapsed="false">
      <c r="A281" s="3" t="n">
        <v>3</v>
      </c>
      <c r="B281" s="24" t="n">
        <v>46082</v>
      </c>
      <c r="C281" s="3" t="s">
        <v>510</v>
      </c>
      <c r="D281" s="3" t="s">
        <v>440</v>
      </c>
      <c r="E281" s="3" t="n">
        <f aca="false">COUNTIF('NF x Centro de Custo'!$C$5:$C$1270,$C281)</f>
        <v>1</v>
      </c>
      <c r="F281" s="15" t="n">
        <f aca="false">SUMIFS('NF x Centro de Custo'!$F$5:$F$1270,'NF x Centro de Custo'!$C$5:$C$1270,$C281)</f>
        <v>4092.04</v>
      </c>
      <c r="G281" s="15" t="n">
        <f aca="false">SUMIFS('NF x Centro de Custo'!$G$5:$G$1270,'NF x Centro de Custo'!$C$5:$C$1270,$C281)</f>
        <v>0</v>
      </c>
      <c r="H281" s="15" t="n">
        <f aca="false">F281+G281</f>
        <v>4092.04</v>
      </c>
      <c r="I281" s="25" t="n">
        <v>4092.04</v>
      </c>
      <c r="J281" s="15" t="n">
        <f aca="false">ROUND(H281-I281,2)</f>
        <v>0</v>
      </c>
      <c r="K281" s="26" t="str">
        <f aca="false">IF(ABS(J281)&lt;0.05,"OK","Verificar")</f>
        <v>OK</v>
      </c>
    </row>
    <row r="282" customFormat="false" ht="15" hidden="false" customHeight="false" outlineLevel="0" collapsed="false">
      <c r="A282" s="3" t="n">
        <v>3</v>
      </c>
      <c r="B282" s="24" t="n">
        <v>46082</v>
      </c>
      <c r="C282" s="3" t="s">
        <v>511</v>
      </c>
      <c r="D282" s="3" t="s">
        <v>440</v>
      </c>
      <c r="E282" s="3" t="n">
        <f aca="false">COUNTIF('NF x Centro de Custo'!$C$5:$C$1270,$C282)</f>
        <v>1</v>
      </c>
      <c r="F282" s="15" t="n">
        <f aca="false">SUMIFS('NF x Centro de Custo'!$F$5:$F$1270,'NF x Centro de Custo'!$C$5:$C$1270,$C282)</f>
        <v>3803.34</v>
      </c>
      <c r="G282" s="15" t="n">
        <f aca="false">SUMIFS('NF x Centro de Custo'!$G$5:$G$1270,'NF x Centro de Custo'!$C$5:$C$1270,$C282)</f>
        <v>0</v>
      </c>
      <c r="H282" s="15" t="n">
        <f aca="false">F282+G282</f>
        <v>3803.34</v>
      </c>
      <c r="I282" s="25" t="n">
        <v>3803.34</v>
      </c>
      <c r="J282" s="15" t="n">
        <f aca="false">ROUND(H282-I282,2)</f>
        <v>0</v>
      </c>
      <c r="K282" s="26" t="str">
        <f aca="false">IF(ABS(J282)&lt;0.05,"OK","Verificar")</f>
        <v>OK</v>
      </c>
    </row>
    <row r="283" customFormat="false" ht="15" hidden="false" customHeight="false" outlineLevel="0" collapsed="false">
      <c r="A283" s="3" t="n">
        <v>3</v>
      </c>
      <c r="B283" s="24" t="n">
        <v>46082</v>
      </c>
      <c r="C283" s="3" t="s">
        <v>512</v>
      </c>
      <c r="D283" s="3" t="s">
        <v>440</v>
      </c>
      <c r="E283" s="3" t="n">
        <f aca="false">COUNTIF('NF x Centro de Custo'!$C$5:$C$1270,$C283)</f>
        <v>1</v>
      </c>
      <c r="F283" s="15" t="n">
        <f aca="false">SUMIFS('NF x Centro de Custo'!$F$5:$F$1270,'NF x Centro de Custo'!$C$5:$C$1270,$C283)</f>
        <v>2133.52</v>
      </c>
      <c r="G283" s="15" t="n">
        <f aca="false">SUMIFS('NF x Centro de Custo'!$G$5:$G$1270,'NF x Centro de Custo'!$C$5:$C$1270,$C283)</f>
        <v>0</v>
      </c>
      <c r="H283" s="15" t="n">
        <f aca="false">F283+G283</f>
        <v>2133.52</v>
      </c>
      <c r="I283" s="25" t="n">
        <v>2133.52</v>
      </c>
      <c r="J283" s="15" t="n">
        <f aca="false">ROUND(H283-I283,2)</f>
        <v>0</v>
      </c>
      <c r="K283" s="26" t="str">
        <f aca="false">IF(ABS(J283)&lt;0.05,"OK","Verificar")</f>
        <v>OK</v>
      </c>
    </row>
    <row r="284" customFormat="false" ht="15" hidden="false" customHeight="false" outlineLevel="0" collapsed="false">
      <c r="A284" s="3" t="n">
        <v>3</v>
      </c>
      <c r="B284" s="24" t="n">
        <v>46082</v>
      </c>
      <c r="C284" s="3" t="s">
        <v>513</v>
      </c>
      <c r="D284" s="3" t="s">
        <v>440</v>
      </c>
      <c r="E284" s="3" t="n">
        <f aca="false">COUNTIF('NF x Centro de Custo'!$C$5:$C$1270,$C284)</f>
        <v>1</v>
      </c>
      <c r="F284" s="15" t="n">
        <f aca="false">SUMIFS('NF x Centro de Custo'!$F$5:$F$1270,'NF x Centro de Custo'!$C$5:$C$1270,$C284)</f>
        <v>2073.52</v>
      </c>
      <c r="G284" s="15" t="n">
        <f aca="false">SUMIFS('NF x Centro de Custo'!$G$5:$G$1270,'NF x Centro de Custo'!$C$5:$C$1270,$C284)</f>
        <v>0</v>
      </c>
      <c r="H284" s="15" t="n">
        <f aca="false">F284+G284</f>
        <v>2073.52</v>
      </c>
      <c r="I284" s="25" t="n">
        <v>2073.52</v>
      </c>
      <c r="J284" s="15" t="n">
        <f aca="false">ROUND(H284-I284,2)</f>
        <v>0</v>
      </c>
      <c r="K284" s="26" t="str">
        <f aca="false">IF(ABS(J284)&lt;0.05,"OK","Verificar")</f>
        <v>OK</v>
      </c>
    </row>
    <row r="285" customFormat="false" ht="15" hidden="false" customHeight="false" outlineLevel="0" collapsed="false">
      <c r="A285" s="3" t="n">
        <v>3</v>
      </c>
      <c r="B285" s="24" t="n">
        <v>46082</v>
      </c>
      <c r="C285" s="3" t="s">
        <v>514</v>
      </c>
      <c r="D285" s="3" t="s">
        <v>440</v>
      </c>
      <c r="E285" s="3" t="n">
        <f aca="false">COUNTIF('NF x Centro de Custo'!$C$5:$C$1270,$C285)</f>
        <v>1</v>
      </c>
      <c r="F285" s="15" t="n">
        <f aca="false">SUMIFS('NF x Centro de Custo'!$F$5:$F$1270,'NF x Centro de Custo'!$C$5:$C$1270,$C285)</f>
        <v>1904.52</v>
      </c>
      <c r="G285" s="15" t="n">
        <f aca="false">SUMIFS('NF x Centro de Custo'!$G$5:$G$1270,'NF x Centro de Custo'!$C$5:$C$1270,$C285)</f>
        <v>0</v>
      </c>
      <c r="H285" s="15" t="n">
        <f aca="false">F285+G285</f>
        <v>1904.52</v>
      </c>
      <c r="I285" s="25" t="n">
        <v>1904.52</v>
      </c>
      <c r="J285" s="15" t="n">
        <f aca="false">ROUND(H285-I285,2)</f>
        <v>0</v>
      </c>
      <c r="K285" s="26" t="str">
        <f aca="false">IF(ABS(J285)&lt;0.05,"OK","Verificar")</f>
        <v>OK</v>
      </c>
    </row>
    <row r="286" customFormat="false" ht="15" hidden="false" customHeight="false" outlineLevel="0" collapsed="false">
      <c r="A286" s="3" t="n">
        <v>3</v>
      </c>
      <c r="B286" s="24" t="n">
        <v>46082</v>
      </c>
      <c r="C286" s="3" t="s">
        <v>515</v>
      </c>
      <c r="D286" s="3" t="s">
        <v>440</v>
      </c>
      <c r="E286" s="3" t="n">
        <f aca="false">COUNTIF('NF x Centro de Custo'!$C$5:$C$1270,$C286)</f>
        <v>1</v>
      </c>
      <c r="F286" s="15" t="n">
        <f aca="false">SUMIFS('NF x Centro de Custo'!$F$5:$F$1270,'NF x Centro de Custo'!$C$5:$C$1270,$C286)</f>
        <v>4852.5</v>
      </c>
      <c r="G286" s="15" t="n">
        <f aca="false">SUMIFS('NF x Centro de Custo'!$G$5:$G$1270,'NF x Centro de Custo'!$C$5:$C$1270,$C286)</f>
        <v>0</v>
      </c>
      <c r="H286" s="15" t="n">
        <f aca="false">F286+G286</f>
        <v>4852.5</v>
      </c>
      <c r="I286" s="25" t="n">
        <v>4852.5</v>
      </c>
      <c r="J286" s="15" t="n">
        <f aca="false">ROUND(H286-I286,2)</f>
        <v>0</v>
      </c>
      <c r="K286" s="26" t="str">
        <f aca="false">IF(ABS(J286)&lt;0.05,"OK","Verificar")</f>
        <v>OK</v>
      </c>
    </row>
    <row r="287" customFormat="false" ht="15" hidden="false" customHeight="false" outlineLevel="0" collapsed="false">
      <c r="A287" s="3" t="n">
        <v>3</v>
      </c>
      <c r="B287" s="24" t="n">
        <v>46082</v>
      </c>
      <c r="C287" s="3" t="s">
        <v>516</v>
      </c>
      <c r="D287" s="3" t="s">
        <v>440</v>
      </c>
      <c r="E287" s="3" t="n">
        <f aca="false">COUNTIF('NF x Centro de Custo'!$C$5:$C$1270,$C287)</f>
        <v>1</v>
      </c>
      <c r="F287" s="15" t="n">
        <f aca="false">SUMIFS('NF x Centro de Custo'!$F$5:$F$1270,'NF x Centro de Custo'!$C$5:$C$1270,$C287)</f>
        <v>2254.35</v>
      </c>
      <c r="G287" s="15" t="n">
        <f aca="false">SUMIFS('NF x Centro de Custo'!$G$5:$G$1270,'NF x Centro de Custo'!$C$5:$C$1270,$C287)</f>
        <v>0</v>
      </c>
      <c r="H287" s="15" t="n">
        <f aca="false">F287+G287</f>
        <v>2254.35</v>
      </c>
      <c r="I287" s="25" t="n">
        <v>2254.35</v>
      </c>
      <c r="J287" s="15" t="n">
        <f aca="false">ROUND(H287-I287,2)</f>
        <v>0</v>
      </c>
      <c r="K287" s="26" t="str">
        <f aca="false">IF(ABS(J287)&lt;0.05,"OK","Verificar")</f>
        <v>OK</v>
      </c>
    </row>
    <row r="288" customFormat="false" ht="15" hidden="false" customHeight="false" outlineLevel="0" collapsed="false">
      <c r="A288" s="3" t="n">
        <v>3</v>
      </c>
      <c r="B288" s="24" t="n">
        <v>46082</v>
      </c>
      <c r="C288" s="3" t="s">
        <v>517</v>
      </c>
      <c r="D288" s="3" t="s">
        <v>440</v>
      </c>
      <c r="E288" s="3" t="n">
        <f aca="false">COUNTIF('NF x Centro de Custo'!$C$5:$C$1270,$C288)</f>
        <v>1</v>
      </c>
      <c r="F288" s="15" t="n">
        <f aca="false">SUMIFS('NF x Centro de Custo'!$F$5:$F$1270,'NF x Centro de Custo'!$C$5:$C$1270,$C288)</f>
        <v>4929</v>
      </c>
      <c r="G288" s="15" t="n">
        <f aca="false">SUMIFS('NF x Centro de Custo'!$G$5:$G$1270,'NF x Centro de Custo'!$C$5:$C$1270,$C288)</f>
        <v>0</v>
      </c>
      <c r="H288" s="15" t="n">
        <f aca="false">F288+G288</f>
        <v>4929</v>
      </c>
      <c r="I288" s="25" t="n">
        <v>4929</v>
      </c>
      <c r="J288" s="15" t="n">
        <f aca="false">ROUND(H288-I288,2)</f>
        <v>0</v>
      </c>
      <c r="K288" s="26" t="str">
        <f aca="false">IF(ABS(J288)&lt;0.05,"OK","Verificar")</f>
        <v>OK</v>
      </c>
    </row>
    <row r="289" customFormat="false" ht="15" hidden="false" customHeight="false" outlineLevel="0" collapsed="false">
      <c r="A289" s="3" t="n">
        <v>3</v>
      </c>
      <c r="B289" s="24" t="n">
        <v>46082</v>
      </c>
      <c r="C289" s="3" t="s">
        <v>518</v>
      </c>
      <c r="D289" s="3" t="s">
        <v>440</v>
      </c>
      <c r="E289" s="3" t="n">
        <f aca="false">COUNTIF('NF x Centro de Custo'!$C$5:$C$1270,$C289)</f>
        <v>1</v>
      </c>
      <c r="F289" s="15" t="n">
        <f aca="false">SUMIFS('NF x Centro de Custo'!$F$5:$F$1270,'NF x Centro de Custo'!$C$5:$C$1270,$C289)</f>
        <v>1325.49</v>
      </c>
      <c r="G289" s="15" t="n">
        <f aca="false">SUMIFS('NF x Centro de Custo'!$G$5:$G$1270,'NF x Centro de Custo'!$C$5:$C$1270,$C289)</f>
        <v>0</v>
      </c>
      <c r="H289" s="15" t="n">
        <f aca="false">F289+G289</f>
        <v>1325.49</v>
      </c>
      <c r="I289" s="25" t="n">
        <v>1325.49</v>
      </c>
      <c r="J289" s="15" t="n">
        <f aca="false">ROUND(H289-I289,2)</f>
        <v>0</v>
      </c>
      <c r="K289" s="26" t="str">
        <f aca="false">IF(ABS(J289)&lt;0.05,"OK","Verificar")</f>
        <v>OK</v>
      </c>
    </row>
    <row r="290" customFormat="false" ht="15" hidden="false" customHeight="false" outlineLevel="0" collapsed="false">
      <c r="A290" s="3" t="n">
        <v>3</v>
      </c>
      <c r="B290" s="24" t="n">
        <v>46082</v>
      </c>
      <c r="C290" s="3" t="s">
        <v>519</v>
      </c>
      <c r="D290" s="3" t="s">
        <v>440</v>
      </c>
      <c r="E290" s="3" t="n">
        <f aca="false">COUNTIF('NF x Centro de Custo'!$C$5:$C$1270,$C290)</f>
        <v>1</v>
      </c>
      <c r="F290" s="15" t="n">
        <f aca="false">SUMIFS('NF x Centro de Custo'!$F$5:$F$1270,'NF x Centro de Custo'!$C$5:$C$1270,$C290)</f>
        <v>1651.52</v>
      </c>
      <c r="G290" s="15" t="n">
        <f aca="false">SUMIFS('NF x Centro de Custo'!$G$5:$G$1270,'NF x Centro de Custo'!$C$5:$C$1270,$C290)</f>
        <v>0</v>
      </c>
      <c r="H290" s="15" t="n">
        <f aca="false">F290+G290</f>
        <v>1651.52</v>
      </c>
      <c r="I290" s="25" t="n">
        <v>1651.52</v>
      </c>
      <c r="J290" s="15" t="n">
        <f aca="false">ROUND(H290-I290,2)</f>
        <v>0</v>
      </c>
      <c r="K290" s="26" t="str">
        <f aca="false">IF(ABS(J290)&lt;0.05,"OK","Verificar")</f>
        <v>OK</v>
      </c>
    </row>
    <row r="291" customFormat="false" ht="15" hidden="false" customHeight="false" outlineLevel="0" collapsed="false">
      <c r="A291" s="3" t="n">
        <v>3</v>
      </c>
      <c r="B291" s="24" t="n">
        <v>46082</v>
      </c>
      <c r="C291" s="3" t="s">
        <v>520</v>
      </c>
      <c r="D291" s="3" t="s">
        <v>440</v>
      </c>
      <c r="E291" s="3" t="n">
        <f aca="false">COUNTIF('NF x Centro de Custo'!$C$5:$C$1270,$C291)</f>
        <v>1</v>
      </c>
      <c r="F291" s="15" t="n">
        <f aca="false">SUMIFS('NF x Centro de Custo'!$F$5:$F$1270,'NF x Centro de Custo'!$C$5:$C$1270,$C291)</f>
        <v>4324.67</v>
      </c>
      <c r="G291" s="15" t="n">
        <f aca="false">SUMIFS('NF x Centro de Custo'!$G$5:$G$1270,'NF x Centro de Custo'!$C$5:$C$1270,$C291)</f>
        <v>0</v>
      </c>
      <c r="H291" s="15" t="n">
        <f aca="false">F291+G291</f>
        <v>4324.67</v>
      </c>
      <c r="I291" s="25" t="n">
        <v>4324.67</v>
      </c>
      <c r="J291" s="15" t="n">
        <f aca="false">ROUND(H291-I291,2)</f>
        <v>0</v>
      </c>
      <c r="K291" s="26" t="str">
        <f aca="false">IF(ABS(J291)&lt;0.05,"OK","Verificar")</f>
        <v>OK</v>
      </c>
    </row>
    <row r="292" customFormat="false" ht="15" hidden="false" customHeight="false" outlineLevel="0" collapsed="false">
      <c r="A292" s="3" t="n">
        <v>3</v>
      </c>
      <c r="B292" s="24" t="n">
        <v>46082</v>
      </c>
      <c r="C292" s="3" t="s">
        <v>521</v>
      </c>
      <c r="D292" s="3" t="s">
        <v>440</v>
      </c>
      <c r="E292" s="3" t="n">
        <f aca="false">COUNTIF('NF x Centro de Custo'!$C$5:$C$1270,$C292)</f>
        <v>1</v>
      </c>
      <c r="F292" s="15" t="n">
        <f aca="false">SUMIFS('NF x Centro de Custo'!$F$5:$F$1270,'NF x Centro de Custo'!$C$5:$C$1270,$C292)</f>
        <v>3747.04</v>
      </c>
      <c r="G292" s="15" t="n">
        <f aca="false">SUMIFS('NF x Centro de Custo'!$G$5:$G$1270,'NF x Centro de Custo'!$C$5:$C$1270,$C292)</f>
        <v>0</v>
      </c>
      <c r="H292" s="15" t="n">
        <f aca="false">F292+G292</f>
        <v>3747.04</v>
      </c>
      <c r="I292" s="25" t="n">
        <v>3747.04</v>
      </c>
      <c r="J292" s="15" t="n">
        <f aca="false">ROUND(H292-I292,2)</f>
        <v>0</v>
      </c>
      <c r="K292" s="26" t="str">
        <f aca="false">IF(ABS(J292)&lt;0.05,"OK","Verificar")</f>
        <v>OK</v>
      </c>
    </row>
    <row r="293" customFormat="false" ht="15" hidden="false" customHeight="false" outlineLevel="0" collapsed="false">
      <c r="A293" s="3" t="n">
        <v>3</v>
      </c>
      <c r="B293" s="24" t="n">
        <v>46082</v>
      </c>
      <c r="C293" s="3" t="s">
        <v>522</v>
      </c>
      <c r="D293" s="3" t="s">
        <v>471</v>
      </c>
      <c r="E293" s="3" t="n">
        <f aca="false">COUNTIF('NF x Centro de Custo'!$C$5:$C$1270,$C293)</f>
        <v>1</v>
      </c>
      <c r="F293" s="15" t="n">
        <f aca="false">SUMIFS('NF x Centro de Custo'!$F$5:$F$1270,'NF x Centro de Custo'!$C$5:$C$1270,$C293)</f>
        <v>14816</v>
      </c>
      <c r="G293" s="15" t="n">
        <f aca="false">SUMIFS('NF x Centro de Custo'!$G$5:$G$1270,'NF x Centro de Custo'!$C$5:$C$1270,$C293)</f>
        <v>0</v>
      </c>
      <c r="H293" s="15" t="n">
        <f aca="false">F293+G293</f>
        <v>14816</v>
      </c>
      <c r="I293" s="25" t="n">
        <v>14816</v>
      </c>
      <c r="J293" s="15" t="n">
        <f aca="false">ROUND(H293-I293,2)</f>
        <v>0</v>
      </c>
      <c r="K293" s="26" t="str">
        <f aca="false">IF(ABS(J293)&lt;0.05,"OK","Verificar")</f>
        <v>OK</v>
      </c>
    </row>
    <row r="294" customFormat="false" ht="15" hidden="false" customHeight="false" outlineLevel="0" collapsed="false">
      <c r="A294" s="3" t="n">
        <v>3</v>
      </c>
      <c r="B294" s="24" t="n">
        <v>46082</v>
      </c>
      <c r="C294" s="3" t="s">
        <v>523</v>
      </c>
      <c r="D294" s="3" t="s">
        <v>471</v>
      </c>
      <c r="E294" s="3" t="n">
        <f aca="false">COUNTIF('NF x Centro de Custo'!$C$5:$C$1270,$C294)</f>
        <v>1</v>
      </c>
      <c r="F294" s="15" t="n">
        <f aca="false">SUMIFS('NF x Centro de Custo'!$F$5:$F$1270,'NF x Centro de Custo'!$C$5:$C$1270,$C294)</f>
        <v>4544.68</v>
      </c>
      <c r="G294" s="15" t="n">
        <f aca="false">SUMIFS('NF x Centro de Custo'!$G$5:$G$1270,'NF x Centro de Custo'!$C$5:$C$1270,$C294)</f>
        <v>0</v>
      </c>
      <c r="H294" s="15" t="n">
        <f aca="false">F294+G294</f>
        <v>4544.68</v>
      </c>
      <c r="I294" s="25" t="n">
        <v>4544.68</v>
      </c>
      <c r="J294" s="15" t="n">
        <f aca="false">ROUND(H294-I294,2)</f>
        <v>0</v>
      </c>
      <c r="K294" s="26" t="str">
        <f aca="false">IF(ABS(J294)&lt;0.05,"OK","Verificar")</f>
        <v>OK</v>
      </c>
    </row>
    <row r="295" customFormat="false" ht="15" hidden="false" customHeight="false" outlineLevel="0" collapsed="false">
      <c r="A295" s="3" t="n">
        <v>3</v>
      </c>
      <c r="B295" s="24" t="n">
        <v>46082</v>
      </c>
      <c r="C295" s="3" t="s">
        <v>524</v>
      </c>
      <c r="D295" s="3" t="s">
        <v>471</v>
      </c>
      <c r="E295" s="3" t="n">
        <f aca="false">COUNTIF('NF x Centro de Custo'!$C$5:$C$1270,$C295)</f>
        <v>13</v>
      </c>
      <c r="F295" s="15" t="n">
        <f aca="false">SUMIFS('NF x Centro de Custo'!$F$5:$F$1270,'NF x Centro de Custo'!$C$5:$C$1270,$C295)</f>
        <v>37379.56</v>
      </c>
      <c r="G295" s="15" t="n">
        <f aca="false">SUMIFS('NF x Centro de Custo'!$G$5:$G$1270,'NF x Centro de Custo'!$C$5:$C$1270,$C295)</f>
        <v>0</v>
      </c>
      <c r="H295" s="15" t="n">
        <f aca="false">F295+G295</f>
        <v>37379.56</v>
      </c>
      <c r="I295" s="25" t="n">
        <v>37379.56</v>
      </c>
      <c r="J295" s="15" t="n">
        <f aca="false">ROUND(H295-I295,2)</f>
        <v>0</v>
      </c>
      <c r="K295" s="26" t="str">
        <f aca="false">IF(ABS(J295)&lt;0.05,"OK","Verificar")</f>
        <v>OK</v>
      </c>
    </row>
    <row r="296" customFormat="false" ht="15" hidden="false" customHeight="false" outlineLevel="0" collapsed="false">
      <c r="A296" s="3" t="n">
        <v>3</v>
      </c>
      <c r="B296" s="24" t="n">
        <v>46082</v>
      </c>
      <c r="C296" s="3" t="s">
        <v>525</v>
      </c>
      <c r="D296" s="3" t="s">
        <v>471</v>
      </c>
      <c r="E296" s="3" t="n">
        <f aca="false">COUNTIF('NF x Centro de Custo'!$C$5:$C$1270,$C296)</f>
        <v>4</v>
      </c>
      <c r="F296" s="15" t="n">
        <f aca="false">SUMIFS('NF x Centro de Custo'!$F$5:$F$1270,'NF x Centro de Custo'!$C$5:$C$1270,$C296)</f>
        <v>8368.92</v>
      </c>
      <c r="G296" s="15" t="n">
        <f aca="false">SUMIFS('NF x Centro de Custo'!$G$5:$G$1270,'NF x Centro de Custo'!$C$5:$C$1270,$C296)</f>
        <v>0</v>
      </c>
      <c r="H296" s="15" t="n">
        <f aca="false">F296+G296</f>
        <v>8368.92</v>
      </c>
      <c r="I296" s="25" t="n">
        <v>8368.92</v>
      </c>
      <c r="J296" s="15" t="n">
        <f aca="false">ROUND(H296-I296,2)</f>
        <v>0</v>
      </c>
      <c r="K296" s="26" t="str">
        <f aca="false">IF(ABS(J296)&lt;0.05,"OK","Verificar")</f>
        <v>OK</v>
      </c>
    </row>
    <row r="297" customFormat="false" ht="15" hidden="false" customHeight="false" outlineLevel="0" collapsed="false">
      <c r="A297" s="3" t="n">
        <v>3</v>
      </c>
      <c r="B297" s="24" t="n">
        <v>46082</v>
      </c>
      <c r="C297" s="3" t="s">
        <v>526</v>
      </c>
      <c r="D297" s="3" t="s">
        <v>471</v>
      </c>
      <c r="E297" s="3" t="n">
        <f aca="false">COUNTIF('NF x Centro de Custo'!$C$5:$C$1270,$C297)</f>
        <v>1</v>
      </c>
      <c r="F297" s="15" t="n">
        <f aca="false">SUMIFS('NF x Centro de Custo'!$F$5:$F$1270,'NF x Centro de Custo'!$C$5:$C$1270,$C297)</f>
        <v>4718.55</v>
      </c>
      <c r="G297" s="15" t="n">
        <f aca="false">SUMIFS('NF x Centro de Custo'!$G$5:$G$1270,'NF x Centro de Custo'!$C$5:$C$1270,$C297)</f>
        <v>0</v>
      </c>
      <c r="H297" s="15" t="n">
        <f aca="false">F297+G297</f>
        <v>4718.55</v>
      </c>
      <c r="I297" s="25" t="n">
        <v>4718.55</v>
      </c>
      <c r="J297" s="15" t="n">
        <f aca="false">ROUND(H297-I297,2)</f>
        <v>0</v>
      </c>
      <c r="K297" s="26" t="str">
        <f aca="false">IF(ABS(J297)&lt;0.05,"OK","Verificar")</f>
        <v>OK</v>
      </c>
    </row>
    <row r="298" customFormat="false" ht="15" hidden="false" customHeight="false" outlineLevel="0" collapsed="false">
      <c r="A298" s="3" t="n">
        <v>4</v>
      </c>
      <c r="B298" s="24" t="n">
        <v>46113</v>
      </c>
      <c r="C298" s="3" t="s">
        <v>527</v>
      </c>
      <c r="D298" s="3" t="s">
        <v>212</v>
      </c>
      <c r="E298" s="3" t="n">
        <f aca="false">COUNTIF('NF x Centro de Custo'!$C$5:$C$1270,$C298)</f>
        <v>7</v>
      </c>
      <c r="F298" s="15" t="n">
        <f aca="false">SUMIFS('NF x Centro de Custo'!$F$5:$F$1270,'NF x Centro de Custo'!$C$5:$C$1270,$C298)</f>
        <v>199746.04</v>
      </c>
      <c r="G298" s="15" t="n">
        <f aca="false">SUMIFS('NF x Centro de Custo'!$G$5:$G$1270,'NF x Centro de Custo'!$C$5:$C$1270,$C298)</f>
        <v>61872.88</v>
      </c>
      <c r="H298" s="15" t="n">
        <f aca="false">F298+G298</f>
        <v>261618.92</v>
      </c>
      <c r="I298" s="25" t="n">
        <v>261618.92</v>
      </c>
      <c r="J298" s="15" t="n">
        <f aca="false">ROUND(H298-I298,2)</f>
        <v>0</v>
      </c>
      <c r="K298" s="26" t="str">
        <f aca="false">IF(ABS(J298)&lt;0.05,"OK","Verificar")</f>
        <v>OK</v>
      </c>
    </row>
    <row r="299" customFormat="false" ht="15" hidden="false" customHeight="false" outlineLevel="0" collapsed="false">
      <c r="A299" s="3" t="n">
        <v>4</v>
      </c>
      <c r="B299" s="24" t="n">
        <v>46113</v>
      </c>
      <c r="C299" s="3" t="s">
        <v>528</v>
      </c>
      <c r="D299" s="3" t="s">
        <v>214</v>
      </c>
      <c r="E299" s="3" t="n">
        <f aca="false">COUNTIF('NF x Centro de Custo'!$C$5:$C$1270,$C299)</f>
        <v>1</v>
      </c>
      <c r="F299" s="15" t="n">
        <f aca="false">SUMIFS('NF x Centro de Custo'!$F$5:$F$1270,'NF x Centro de Custo'!$C$5:$C$1270,$C299)</f>
        <v>2948.6</v>
      </c>
      <c r="G299" s="15" t="n">
        <f aca="false">SUMIFS('NF x Centro de Custo'!$G$5:$G$1270,'NF x Centro de Custo'!$C$5:$C$1270,$C299)</f>
        <v>1048.09</v>
      </c>
      <c r="H299" s="15" t="n">
        <f aca="false">F299+G299</f>
        <v>3996.69</v>
      </c>
      <c r="I299" s="25" t="n">
        <v>3996.69</v>
      </c>
      <c r="J299" s="15" t="n">
        <f aca="false">ROUND(H299-I299,2)</f>
        <v>0</v>
      </c>
      <c r="K299" s="26" t="str">
        <f aca="false">IF(ABS(J299)&lt;0.05,"OK","Verificar")</f>
        <v>OK</v>
      </c>
    </row>
    <row r="300" customFormat="false" ht="15" hidden="false" customHeight="false" outlineLevel="0" collapsed="false">
      <c r="A300" s="3" t="n">
        <v>4</v>
      </c>
      <c r="B300" s="24" t="n">
        <v>46113</v>
      </c>
      <c r="C300" s="3" t="s">
        <v>529</v>
      </c>
      <c r="D300" s="3" t="s">
        <v>214</v>
      </c>
      <c r="E300" s="3" t="n">
        <f aca="false">COUNTIF('NF x Centro de Custo'!$C$5:$C$1270,$C300)</f>
        <v>1</v>
      </c>
      <c r="F300" s="15" t="n">
        <f aca="false">SUMIFS('NF x Centro de Custo'!$F$5:$F$1270,'NF x Centro de Custo'!$C$5:$C$1270,$C300)</f>
        <v>5594.03</v>
      </c>
      <c r="G300" s="15" t="n">
        <f aca="false">SUMIFS('NF x Centro de Custo'!$G$5:$G$1270,'NF x Centro de Custo'!$C$5:$C$1270,$C300)</f>
        <v>2098.46</v>
      </c>
      <c r="H300" s="15" t="n">
        <f aca="false">F300+G300</f>
        <v>7692.49</v>
      </c>
      <c r="I300" s="25" t="n">
        <v>7692.49</v>
      </c>
      <c r="J300" s="15" t="n">
        <f aca="false">ROUND(H300-I300,2)</f>
        <v>0</v>
      </c>
      <c r="K300" s="26" t="str">
        <f aca="false">IF(ABS(J300)&lt;0.05,"OK","Verificar")</f>
        <v>OK</v>
      </c>
    </row>
    <row r="301" customFormat="false" ht="15" hidden="false" customHeight="false" outlineLevel="0" collapsed="false">
      <c r="A301" s="3" t="n">
        <v>4</v>
      </c>
      <c r="B301" s="24" t="n">
        <v>46113</v>
      </c>
      <c r="C301" s="3" t="s">
        <v>530</v>
      </c>
      <c r="D301" s="3" t="s">
        <v>217</v>
      </c>
      <c r="E301" s="3" t="n">
        <f aca="false">COUNTIF('NF x Centro de Custo'!$C$5:$C$1270,$C301)</f>
        <v>2</v>
      </c>
      <c r="F301" s="15" t="n">
        <f aca="false">SUMIFS('NF x Centro de Custo'!$F$5:$F$1270,'NF x Centro de Custo'!$C$5:$C$1270,$C301)</f>
        <v>10072.88</v>
      </c>
      <c r="G301" s="15" t="n">
        <f aca="false">SUMIFS('NF x Centro de Custo'!$G$5:$G$1270,'NF x Centro de Custo'!$C$5:$C$1270,$C301)</f>
        <v>3610.71</v>
      </c>
      <c r="H301" s="15" t="n">
        <f aca="false">F301+G301</f>
        <v>13683.59</v>
      </c>
      <c r="I301" s="25" t="n">
        <v>13683.59</v>
      </c>
      <c r="J301" s="15" t="n">
        <f aca="false">ROUND(H301-I301,2)</f>
        <v>0</v>
      </c>
      <c r="K301" s="26" t="str">
        <f aca="false">IF(ABS(J301)&lt;0.05,"OK","Verificar")</f>
        <v>OK</v>
      </c>
    </row>
    <row r="302" customFormat="false" ht="15" hidden="false" customHeight="false" outlineLevel="0" collapsed="false">
      <c r="A302" s="3" t="n">
        <v>4</v>
      </c>
      <c r="B302" s="24" t="n">
        <v>46113</v>
      </c>
      <c r="C302" s="3" t="s">
        <v>531</v>
      </c>
      <c r="D302" s="3" t="s">
        <v>217</v>
      </c>
      <c r="E302" s="3" t="n">
        <f aca="false">COUNTIF('NF x Centro de Custo'!$C$5:$C$1270,$C302)</f>
        <v>1</v>
      </c>
      <c r="F302" s="15" t="n">
        <f aca="false">SUMIFS('NF x Centro de Custo'!$F$5:$F$1270,'NF x Centro de Custo'!$C$5:$C$1270,$C302)</f>
        <v>5824.72</v>
      </c>
      <c r="G302" s="15" t="n">
        <f aca="false">SUMIFS('NF x Centro de Custo'!$G$5:$G$1270,'NF x Centro de Custo'!$C$5:$C$1270,$C302)</f>
        <v>2092.87</v>
      </c>
      <c r="H302" s="15" t="n">
        <f aca="false">F302+G302</f>
        <v>7917.59</v>
      </c>
      <c r="I302" s="25" t="n">
        <v>7917.59</v>
      </c>
      <c r="J302" s="15" t="n">
        <f aca="false">ROUND(H302-I302,2)</f>
        <v>0</v>
      </c>
      <c r="K302" s="26" t="str">
        <f aca="false">IF(ABS(J302)&lt;0.05,"OK","Verificar")</f>
        <v>OK</v>
      </c>
    </row>
    <row r="303" customFormat="false" ht="15" hidden="false" customHeight="false" outlineLevel="0" collapsed="false">
      <c r="A303" s="3" t="n">
        <v>4</v>
      </c>
      <c r="B303" s="24" t="n">
        <v>46113</v>
      </c>
      <c r="C303" s="3" t="s">
        <v>532</v>
      </c>
      <c r="D303" s="3" t="s">
        <v>217</v>
      </c>
      <c r="E303" s="3" t="n">
        <f aca="false">COUNTIF('NF x Centro de Custo'!$C$5:$C$1270,$C303)</f>
        <v>1</v>
      </c>
      <c r="F303" s="15" t="n">
        <f aca="false">SUMIFS('NF x Centro de Custo'!$F$5:$F$1270,'NF x Centro de Custo'!$C$5:$C$1270,$C303)</f>
        <v>48064.68</v>
      </c>
      <c r="G303" s="15" t="n">
        <f aca="false">SUMIFS('NF x Centro de Custo'!$G$5:$G$1270,'NF x Centro de Custo'!$C$5:$C$1270,$C303)</f>
        <v>16802.931179</v>
      </c>
      <c r="H303" s="15" t="n">
        <f aca="false">F303+G303</f>
        <v>64867.611179</v>
      </c>
      <c r="I303" s="25" t="n">
        <v>64867.611179</v>
      </c>
      <c r="J303" s="15" t="n">
        <f aca="false">ROUND(H303-I303,2)</f>
        <v>0</v>
      </c>
      <c r="K303" s="26" t="str">
        <f aca="false">IF(ABS(J303)&lt;0.05,"OK","Verificar")</f>
        <v>OK</v>
      </c>
    </row>
    <row r="304" customFormat="false" ht="15" hidden="false" customHeight="false" outlineLevel="0" collapsed="false">
      <c r="A304" s="3" t="n">
        <v>4</v>
      </c>
      <c r="B304" s="24" t="n">
        <v>46113</v>
      </c>
      <c r="C304" s="3" t="s">
        <v>533</v>
      </c>
      <c r="D304" s="3" t="s">
        <v>217</v>
      </c>
      <c r="E304" s="3" t="n">
        <f aca="false">COUNTIF('NF x Centro de Custo'!$C$5:$C$1270,$C304)</f>
        <v>1</v>
      </c>
      <c r="F304" s="15" t="n">
        <f aca="false">SUMIFS('NF x Centro de Custo'!$F$5:$F$1270,'NF x Centro de Custo'!$C$5:$C$1270,$C304)</f>
        <v>15451.91</v>
      </c>
      <c r="G304" s="15" t="n">
        <f aca="false">SUMIFS('NF x Centro de Custo'!$G$5:$G$1270,'NF x Centro de Custo'!$C$5:$C$1270,$C304)</f>
        <v>5627.62</v>
      </c>
      <c r="H304" s="15" t="n">
        <f aca="false">F304+G304</f>
        <v>21079.53</v>
      </c>
      <c r="I304" s="25" t="n">
        <v>21079.53</v>
      </c>
      <c r="J304" s="15" t="n">
        <f aca="false">ROUND(H304-I304,2)</f>
        <v>0</v>
      </c>
      <c r="K304" s="26" t="str">
        <f aca="false">IF(ABS(J304)&lt;0.05,"OK","Verificar")</f>
        <v>OK</v>
      </c>
    </row>
    <row r="305" customFormat="false" ht="15" hidden="false" customHeight="false" outlineLevel="0" collapsed="false">
      <c r="A305" s="3" t="n">
        <v>4</v>
      </c>
      <c r="B305" s="24" t="n">
        <v>46113</v>
      </c>
      <c r="C305" s="3" t="s">
        <v>534</v>
      </c>
      <c r="D305" s="3" t="s">
        <v>219</v>
      </c>
      <c r="E305" s="3" t="n">
        <f aca="false">COUNTIF('NF x Centro de Custo'!$C$5:$C$1270,$C305)</f>
        <v>1</v>
      </c>
      <c r="F305" s="15" t="n">
        <f aca="false">SUMIFS('NF x Centro de Custo'!$F$5:$F$1270,'NF x Centro de Custo'!$C$5:$C$1270,$C305)</f>
        <v>550.800000000001</v>
      </c>
      <c r="G305" s="15" t="n">
        <f aca="false">SUMIFS('NF x Centro de Custo'!$G$5:$G$1270,'NF x Centro de Custo'!$C$5:$C$1270,$C305)</f>
        <v>1053.62</v>
      </c>
      <c r="H305" s="15" t="n">
        <f aca="false">F305+G305</f>
        <v>1604.42</v>
      </c>
      <c r="I305" s="25" t="n">
        <v>1604.42</v>
      </c>
      <c r="J305" s="15" t="n">
        <f aca="false">ROUND(H305-I305,2)</f>
        <v>0</v>
      </c>
      <c r="K305" s="26" t="str">
        <f aca="false">IF(ABS(J305)&lt;0.05,"OK","Verificar")</f>
        <v>OK</v>
      </c>
    </row>
    <row r="306" customFormat="false" ht="15" hidden="false" customHeight="false" outlineLevel="0" collapsed="false">
      <c r="A306" s="3" t="n">
        <v>4</v>
      </c>
      <c r="B306" s="24" t="n">
        <v>46113</v>
      </c>
      <c r="C306" s="3" t="s">
        <v>535</v>
      </c>
      <c r="D306" s="3" t="s">
        <v>219</v>
      </c>
      <c r="E306" s="3" t="n">
        <f aca="false">COUNTIF('NF x Centro de Custo'!$C$5:$C$1270,$C306)</f>
        <v>1</v>
      </c>
      <c r="F306" s="15" t="n">
        <f aca="false">SUMIFS('NF x Centro de Custo'!$F$5:$F$1270,'NF x Centro de Custo'!$C$5:$C$1270,$C306)</f>
        <v>22112.44</v>
      </c>
      <c r="G306" s="15" t="n">
        <f aca="false">SUMIFS('NF x Centro de Custo'!$G$5:$G$1270,'NF x Centro de Custo'!$C$5:$C$1270,$C306)</f>
        <v>7683.28</v>
      </c>
      <c r="H306" s="15" t="n">
        <f aca="false">F306+G306</f>
        <v>29795.72</v>
      </c>
      <c r="I306" s="25" t="n">
        <v>29795.72</v>
      </c>
      <c r="J306" s="15" t="n">
        <f aca="false">ROUND(H306-I306,2)</f>
        <v>0</v>
      </c>
      <c r="K306" s="26" t="str">
        <f aca="false">IF(ABS(J306)&lt;0.05,"OK","Verificar")</f>
        <v>OK</v>
      </c>
    </row>
    <row r="307" customFormat="false" ht="15" hidden="false" customHeight="false" outlineLevel="0" collapsed="false">
      <c r="A307" s="3" t="n">
        <v>4</v>
      </c>
      <c r="B307" s="24" t="n">
        <v>46113</v>
      </c>
      <c r="C307" s="3" t="s">
        <v>536</v>
      </c>
      <c r="D307" s="3" t="s">
        <v>219</v>
      </c>
      <c r="E307" s="3" t="n">
        <f aca="false">COUNTIF('NF x Centro de Custo'!$C$5:$C$1270,$C307)</f>
        <v>1</v>
      </c>
      <c r="F307" s="15" t="n">
        <f aca="false">SUMIFS('NF x Centro de Custo'!$F$5:$F$1270,'NF x Centro de Custo'!$C$5:$C$1270,$C307)</f>
        <v>28686.67</v>
      </c>
      <c r="G307" s="15" t="n">
        <f aca="false">SUMIFS('NF x Centro de Custo'!$G$5:$G$1270,'NF x Centro de Custo'!$C$5:$C$1270,$C307)</f>
        <v>10042.2</v>
      </c>
      <c r="H307" s="15" t="n">
        <f aca="false">F307+G307</f>
        <v>38728.87</v>
      </c>
      <c r="I307" s="25" t="n">
        <v>38728.87</v>
      </c>
      <c r="J307" s="15" t="n">
        <f aca="false">ROUND(H307-I307,2)</f>
        <v>0</v>
      </c>
      <c r="K307" s="26" t="str">
        <f aca="false">IF(ABS(J307)&lt;0.05,"OK","Verificar")</f>
        <v>OK</v>
      </c>
    </row>
    <row r="308" customFormat="false" ht="15" hidden="false" customHeight="false" outlineLevel="0" collapsed="false">
      <c r="A308" s="3" t="n">
        <v>4</v>
      </c>
      <c r="B308" s="24" t="n">
        <v>46113</v>
      </c>
      <c r="C308" s="3" t="s">
        <v>537</v>
      </c>
      <c r="D308" s="3" t="s">
        <v>228</v>
      </c>
      <c r="E308" s="3" t="n">
        <f aca="false">COUNTIF('NF x Centro de Custo'!$C$5:$C$1270,$C308)</f>
        <v>1</v>
      </c>
      <c r="F308" s="15" t="n">
        <f aca="false">SUMIFS('NF x Centro de Custo'!$F$5:$F$1270,'NF x Centro de Custo'!$C$5:$C$1270,$C308)</f>
        <v>47465.04</v>
      </c>
      <c r="G308" s="15" t="n">
        <f aca="false">SUMIFS('NF x Centro de Custo'!$G$5:$G$1270,'NF x Centro de Custo'!$C$5:$C$1270,$C308)</f>
        <v>16528.8</v>
      </c>
      <c r="H308" s="15" t="n">
        <f aca="false">F308+G308</f>
        <v>63993.84</v>
      </c>
      <c r="I308" s="25" t="n">
        <v>63993.84</v>
      </c>
      <c r="J308" s="15" t="n">
        <f aca="false">ROUND(H308-I308,2)</f>
        <v>0</v>
      </c>
      <c r="K308" s="26" t="str">
        <f aca="false">IF(ABS(J308)&lt;0.05,"OK","Verificar")</f>
        <v>OK</v>
      </c>
    </row>
    <row r="309" customFormat="false" ht="15" hidden="false" customHeight="false" outlineLevel="0" collapsed="false">
      <c r="A309" s="3" t="n">
        <v>4</v>
      </c>
      <c r="B309" s="24" t="n">
        <v>46113</v>
      </c>
      <c r="C309" s="3" t="s">
        <v>538</v>
      </c>
      <c r="D309" s="3" t="s">
        <v>228</v>
      </c>
      <c r="E309" s="3" t="n">
        <f aca="false">COUNTIF('NF x Centro de Custo'!$C$5:$C$1270,$C309)</f>
        <v>1</v>
      </c>
      <c r="F309" s="15" t="n">
        <f aca="false">SUMIFS('NF x Centro de Custo'!$F$5:$F$1270,'NF x Centro de Custo'!$C$5:$C$1270,$C309)</f>
        <v>14365.06</v>
      </c>
      <c r="G309" s="15" t="n">
        <f aca="false">SUMIFS('NF x Centro de Custo'!$G$5:$G$1270,'NF x Centro de Custo'!$C$5:$C$1270,$C309)</f>
        <v>5135.84</v>
      </c>
      <c r="H309" s="15" t="n">
        <f aca="false">F309+G309</f>
        <v>19500.9</v>
      </c>
      <c r="I309" s="25" t="n">
        <v>19500.9</v>
      </c>
      <c r="J309" s="15" t="n">
        <f aca="false">ROUND(H309-I309,2)</f>
        <v>0</v>
      </c>
      <c r="K309" s="26" t="str">
        <f aca="false">IF(ABS(J309)&lt;0.05,"OK","Verificar")</f>
        <v>OK</v>
      </c>
    </row>
    <row r="310" customFormat="false" ht="15" hidden="false" customHeight="false" outlineLevel="0" collapsed="false">
      <c r="A310" s="3" t="n">
        <v>4</v>
      </c>
      <c r="B310" s="24" t="n">
        <v>46113</v>
      </c>
      <c r="C310" s="3" t="s">
        <v>539</v>
      </c>
      <c r="D310" s="3" t="s">
        <v>228</v>
      </c>
      <c r="E310" s="3" t="n">
        <f aca="false">COUNTIF('NF x Centro de Custo'!$C$5:$C$1270,$C310)</f>
        <v>1</v>
      </c>
      <c r="F310" s="15" t="n">
        <f aca="false">SUMIFS('NF x Centro de Custo'!$F$5:$F$1270,'NF x Centro de Custo'!$C$5:$C$1270,$C310)</f>
        <v>10134.68</v>
      </c>
      <c r="G310" s="15" t="n">
        <f aca="false">SUMIFS('NF x Centro de Custo'!$G$5:$G$1270,'NF x Centro de Custo'!$C$5:$C$1270,$C310)</f>
        <v>3532.06</v>
      </c>
      <c r="H310" s="15" t="n">
        <f aca="false">F310+G310</f>
        <v>13666.74</v>
      </c>
      <c r="I310" s="25" t="n">
        <v>13666.74</v>
      </c>
      <c r="J310" s="15" t="n">
        <f aca="false">ROUND(H310-I310,2)</f>
        <v>0</v>
      </c>
      <c r="K310" s="26" t="str">
        <f aca="false">IF(ABS(J310)&lt;0.05,"OK","Verificar")</f>
        <v>OK</v>
      </c>
    </row>
    <row r="311" customFormat="false" ht="15" hidden="false" customHeight="false" outlineLevel="0" collapsed="false">
      <c r="A311" s="3" t="n">
        <v>4</v>
      </c>
      <c r="B311" s="24" t="n">
        <v>46113</v>
      </c>
      <c r="C311" s="3" t="s">
        <v>540</v>
      </c>
      <c r="D311" s="3" t="s">
        <v>231</v>
      </c>
      <c r="E311" s="3" t="n">
        <f aca="false">COUNTIF('NF x Centro de Custo'!$C$5:$C$1270,$C311)</f>
        <v>1</v>
      </c>
      <c r="F311" s="15" t="n">
        <f aca="false">SUMIFS('NF x Centro de Custo'!$F$5:$F$1270,'NF x Centro de Custo'!$C$5:$C$1270,$C311)</f>
        <v>18271.98</v>
      </c>
      <c r="G311" s="15" t="n">
        <f aca="false">SUMIFS('NF x Centro de Custo'!$G$5:$G$1270,'NF x Centro de Custo'!$C$5:$C$1270,$C311)</f>
        <v>6513.55</v>
      </c>
      <c r="H311" s="15" t="n">
        <f aca="false">F311+G311</f>
        <v>24785.53</v>
      </c>
      <c r="I311" s="25" t="n">
        <v>24785.53</v>
      </c>
      <c r="J311" s="15" t="n">
        <f aca="false">ROUND(H311-I311,2)</f>
        <v>0</v>
      </c>
      <c r="K311" s="26" t="str">
        <f aca="false">IF(ABS(J311)&lt;0.05,"OK","Verificar")</f>
        <v>OK</v>
      </c>
    </row>
    <row r="312" customFormat="false" ht="15" hidden="false" customHeight="false" outlineLevel="0" collapsed="false">
      <c r="A312" s="3" t="n">
        <v>4</v>
      </c>
      <c r="B312" s="24" t="n">
        <v>46113</v>
      </c>
      <c r="C312" s="3" t="s">
        <v>541</v>
      </c>
      <c r="D312" s="3" t="s">
        <v>231</v>
      </c>
      <c r="E312" s="3" t="n">
        <f aca="false">COUNTIF('NF x Centro de Custo'!$C$5:$C$1270,$C312)</f>
        <v>1</v>
      </c>
      <c r="F312" s="15" t="n">
        <f aca="false">SUMIFS('NF x Centro de Custo'!$F$5:$F$1270,'NF x Centro de Custo'!$C$5:$C$1270,$C312)</f>
        <v>18954.41</v>
      </c>
      <c r="G312" s="15" t="n">
        <f aca="false">SUMIFS('NF x Centro de Custo'!$G$5:$G$1270,'NF x Centro de Custo'!$C$5:$C$1270,$C312)</f>
        <v>7014.16</v>
      </c>
      <c r="H312" s="15" t="n">
        <f aca="false">F312+G312</f>
        <v>25968.57</v>
      </c>
      <c r="I312" s="25" t="n">
        <v>25968.57</v>
      </c>
      <c r="J312" s="15" t="n">
        <f aca="false">ROUND(H312-I312,2)</f>
        <v>0</v>
      </c>
      <c r="K312" s="26" t="str">
        <f aca="false">IF(ABS(J312)&lt;0.05,"OK","Verificar")</f>
        <v>OK</v>
      </c>
    </row>
    <row r="313" customFormat="false" ht="15" hidden="false" customHeight="false" outlineLevel="0" collapsed="false">
      <c r="A313" s="3" t="n">
        <v>4</v>
      </c>
      <c r="B313" s="24" t="n">
        <v>46113</v>
      </c>
      <c r="C313" s="3" t="s">
        <v>542</v>
      </c>
      <c r="D313" s="3" t="s">
        <v>234</v>
      </c>
      <c r="E313" s="3" t="n">
        <f aca="false">COUNTIF('NF x Centro de Custo'!$C$5:$C$1270,$C313)</f>
        <v>1</v>
      </c>
      <c r="F313" s="15" t="n">
        <f aca="false">SUMIFS('NF x Centro de Custo'!$F$5:$F$1270,'NF x Centro de Custo'!$C$5:$C$1270,$C313)</f>
        <v>5349.8</v>
      </c>
      <c r="G313" s="15" t="n">
        <f aca="false">SUMIFS('NF x Centro de Custo'!$G$5:$G$1270,'NF x Centro de Custo'!$C$5:$C$1270,$C313)</f>
        <v>1904.51</v>
      </c>
      <c r="H313" s="15" t="n">
        <f aca="false">F313+G313</f>
        <v>7254.31</v>
      </c>
      <c r="I313" s="25" t="n">
        <v>7254.31</v>
      </c>
      <c r="J313" s="15" t="n">
        <f aca="false">ROUND(H313-I313,2)</f>
        <v>0</v>
      </c>
      <c r="K313" s="26" t="str">
        <f aca="false">IF(ABS(J313)&lt;0.05,"OK","Verificar")</f>
        <v>OK</v>
      </c>
    </row>
    <row r="314" customFormat="false" ht="15" hidden="false" customHeight="false" outlineLevel="0" collapsed="false">
      <c r="A314" s="3" t="n">
        <v>4</v>
      </c>
      <c r="B314" s="24" t="n">
        <v>46113</v>
      </c>
      <c r="C314" s="3" t="s">
        <v>543</v>
      </c>
      <c r="D314" s="3" t="s">
        <v>234</v>
      </c>
      <c r="E314" s="3" t="n">
        <f aca="false">COUNTIF('NF x Centro de Custo'!$C$5:$C$1270,$C314)</f>
        <v>1</v>
      </c>
      <c r="F314" s="15" t="n">
        <f aca="false">SUMIFS('NF x Centro de Custo'!$F$5:$F$1270,'NF x Centro de Custo'!$C$5:$C$1270,$C314)</f>
        <v>10590.51</v>
      </c>
      <c r="G314" s="15" t="n">
        <f aca="false">SUMIFS('NF x Centro de Custo'!$G$5:$G$1270,'NF x Centro de Custo'!$C$5:$C$1270,$C314)</f>
        <v>3847.61</v>
      </c>
      <c r="H314" s="15" t="n">
        <f aca="false">F314+G314</f>
        <v>14438.12</v>
      </c>
      <c r="I314" s="25" t="n">
        <v>14438.12</v>
      </c>
      <c r="J314" s="15" t="n">
        <f aca="false">ROUND(H314-I314,2)</f>
        <v>0</v>
      </c>
      <c r="K314" s="26" t="str">
        <f aca="false">IF(ABS(J314)&lt;0.05,"OK","Verificar")</f>
        <v>OK</v>
      </c>
    </row>
    <row r="315" customFormat="false" ht="15" hidden="false" customHeight="false" outlineLevel="0" collapsed="false">
      <c r="A315" s="3" t="n">
        <v>4</v>
      </c>
      <c r="B315" s="24" t="n">
        <v>46113</v>
      </c>
      <c r="C315" s="3" t="s">
        <v>544</v>
      </c>
      <c r="D315" s="3" t="s">
        <v>224</v>
      </c>
      <c r="E315" s="3" t="n">
        <f aca="false">COUNTIF('NF x Centro de Custo'!$C$5:$C$1270,$C315)</f>
        <v>1</v>
      </c>
      <c r="F315" s="15" t="n">
        <f aca="false">SUMIFS('NF x Centro de Custo'!$F$5:$F$1270,'NF x Centro de Custo'!$C$5:$C$1270,$C315)</f>
        <v>2645.49</v>
      </c>
      <c r="G315" s="15" t="n">
        <f aca="false">SUMIFS('NF x Centro de Custo'!$G$5:$G$1270,'NF x Centro de Custo'!$C$5:$C$1270,$C315)</f>
        <v>942.05</v>
      </c>
      <c r="H315" s="15" t="n">
        <f aca="false">F315+G315</f>
        <v>3587.54</v>
      </c>
      <c r="I315" s="25" t="n">
        <v>3587.54</v>
      </c>
      <c r="J315" s="15" t="n">
        <f aca="false">ROUND(H315-I315,2)</f>
        <v>0</v>
      </c>
      <c r="K315" s="26" t="str">
        <f aca="false">IF(ABS(J315)&lt;0.05,"OK","Verificar")</f>
        <v>OK</v>
      </c>
    </row>
    <row r="316" customFormat="false" ht="15" hidden="false" customHeight="false" outlineLevel="0" collapsed="false">
      <c r="A316" s="3" t="n">
        <v>4</v>
      </c>
      <c r="B316" s="24" t="n">
        <v>46113</v>
      </c>
      <c r="C316" s="3" t="s">
        <v>545</v>
      </c>
      <c r="D316" s="3" t="s">
        <v>224</v>
      </c>
      <c r="E316" s="3" t="n">
        <f aca="false">COUNTIF('NF x Centro de Custo'!$C$5:$C$1270,$C316)</f>
        <v>1</v>
      </c>
      <c r="F316" s="15" t="n">
        <f aca="false">SUMIFS('NF x Centro de Custo'!$F$5:$F$1270,'NF x Centro de Custo'!$C$5:$C$1270,$C316)</f>
        <v>11175.18</v>
      </c>
      <c r="G316" s="15" t="n">
        <f aca="false">SUMIFS('NF x Centro de Custo'!$G$5:$G$1270,'NF x Centro de Custo'!$C$5:$C$1270,$C316)</f>
        <v>3988.78</v>
      </c>
      <c r="H316" s="15" t="n">
        <f aca="false">F316+G316</f>
        <v>15163.96</v>
      </c>
      <c r="I316" s="25" t="n">
        <v>15163.96</v>
      </c>
      <c r="J316" s="15" t="n">
        <f aca="false">ROUND(H316-I316,2)</f>
        <v>0</v>
      </c>
      <c r="K316" s="26" t="str">
        <f aca="false">IF(ABS(J316)&lt;0.05,"OK","Verificar")</f>
        <v>OK</v>
      </c>
    </row>
    <row r="317" customFormat="false" ht="15" hidden="false" customHeight="false" outlineLevel="0" collapsed="false">
      <c r="A317" s="3" t="n">
        <v>4</v>
      </c>
      <c r="B317" s="24" t="n">
        <v>46113</v>
      </c>
      <c r="C317" s="3" t="s">
        <v>546</v>
      </c>
      <c r="D317" s="3" t="s">
        <v>224</v>
      </c>
      <c r="E317" s="3" t="n">
        <f aca="false">COUNTIF('NF x Centro de Custo'!$C$5:$C$1270,$C317)</f>
        <v>1</v>
      </c>
      <c r="F317" s="15" t="n">
        <f aca="false">SUMIFS('NF x Centro de Custo'!$F$5:$F$1270,'NF x Centro de Custo'!$C$5:$C$1270,$C317)</f>
        <v>32035.27</v>
      </c>
      <c r="G317" s="15" t="n">
        <f aca="false">SUMIFS('NF x Centro de Custo'!$G$5:$G$1270,'NF x Centro de Custo'!$C$5:$C$1270,$C317)</f>
        <v>11153.319092</v>
      </c>
      <c r="H317" s="15" t="n">
        <f aca="false">F317+G317</f>
        <v>43188.589092</v>
      </c>
      <c r="I317" s="25" t="n">
        <v>43188.589092</v>
      </c>
      <c r="J317" s="15" t="n">
        <f aca="false">ROUND(H317-I317,2)</f>
        <v>0</v>
      </c>
      <c r="K317" s="26" t="str">
        <f aca="false">IF(ABS(J317)&lt;0.05,"OK","Verificar")</f>
        <v>OK</v>
      </c>
    </row>
    <row r="318" customFormat="false" ht="15" hidden="false" customHeight="false" outlineLevel="0" collapsed="false">
      <c r="A318" s="3" t="n">
        <v>4</v>
      </c>
      <c r="B318" s="24" t="n">
        <v>46113</v>
      </c>
      <c r="C318" s="3" t="s">
        <v>547</v>
      </c>
      <c r="D318" s="3" t="s">
        <v>243</v>
      </c>
      <c r="E318" s="3" t="n">
        <f aca="false">COUNTIF('NF x Centro de Custo'!$C$5:$C$1270,$C318)</f>
        <v>1</v>
      </c>
      <c r="F318" s="15" t="n">
        <f aca="false">SUMIFS('NF x Centro de Custo'!$F$5:$F$1270,'NF x Centro de Custo'!$C$5:$C$1270,$C318)</f>
        <v>5257.08</v>
      </c>
      <c r="G318" s="15" t="n">
        <f aca="false">SUMIFS('NF x Centro de Custo'!$G$5:$G$1270,'NF x Centro de Custo'!$C$5:$C$1270,$C318)</f>
        <v>1872.36</v>
      </c>
      <c r="H318" s="15" t="n">
        <f aca="false">F318+G318</f>
        <v>7129.44</v>
      </c>
      <c r="I318" s="25" t="n">
        <v>7129.44</v>
      </c>
      <c r="J318" s="15" t="n">
        <f aca="false">ROUND(H318-I318,2)</f>
        <v>0</v>
      </c>
      <c r="K318" s="26" t="str">
        <f aca="false">IF(ABS(J318)&lt;0.05,"OK","Verificar")</f>
        <v>OK</v>
      </c>
    </row>
    <row r="319" customFormat="false" ht="15" hidden="false" customHeight="false" outlineLevel="0" collapsed="false">
      <c r="A319" s="3" t="n">
        <v>4</v>
      </c>
      <c r="B319" s="24" t="n">
        <v>46113</v>
      </c>
      <c r="C319" s="3" t="s">
        <v>548</v>
      </c>
      <c r="D319" s="3" t="s">
        <v>243</v>
      </c>
      <c r="E319" s="3" t="n">
        <f aca="false">COUNTIF('NF x Centro de Custo'!$C$5:$C$1270,$C319)</f>
        <v>1</v>
      </c>
      <c r="F319" s="15" t="n">
        <f aca="false">SUMIFS('NF x Centro de Custo'!$F$5:$F$1270,'NF x Centro de Custo'!$C$5:$C$1270,$C319)</f>
        <v>8961.11</v>
      </c>
      <c r="G319" s="15" t="n">
        <f aca="false">SUMIFS('NF x Centro de Custo'!$G$5:$G$1270,'NF x Centro de Custo'!$C$5:$C$1270,$C319)</f>
        <v>3331.73</v>
      </c>
      <c r="H319" s="15" t="n">
        <f aca="false">F319+G319</f>
        <v>12292.84</v>
      </c>
      <c r="I319" s="25" t="n">
        <v>12292.84</v>
      </c>
      <c r="J319" s="15" t="n">
        <f aca="false">ROUND(H319-I319,2)</f>
        <v>0</v>
      </c>
      <c r="K319" s="26" t="str">
        <f aca="false">IF(ABS(J319)&lt;0.05,"OK","Verificar")</f>
        <v>OK</v>
      </c>
    </row>
    <row r="320" customFormat="false" ht="15" hidden="false" customHeight="false" outlineLevel="0" collapsed="false">
      <c r="A320" s="3" t="n">
        <v>4</v>
      </c>
      <c r="B320" s="24" t="n">
        <v>46113</v>
      </c>
      <c r="C320" s="3" t="s">
        <v>549</v>
      </c>
      <c r="D320" s="3" t="s">
        <v>246</v>
      </c>
      <c r="E320" s="3" t="n">
        <f aca="false">COUNTIF('NF x Centro de Custo'!$C$5:$C$1270,$C320)</f>
        <v>1</v>
      </c>
      <c r="F320" s="15" t="n">
        <f aca="false">SUMIFS('NF x Centro de Custo'!$F$5:$F$1270,'NF x Centro de Custo'!$C$5:$C$1270,$C320)</f>
        <v>2606.06</v>
      </c>
      <c r="G320" s="15" t="n">
        <f aca="false">SUMIFS('NF x Centro de Custo'!$G$5:$G$1270,'NF x Centro de Custo'!$C$5:$C$1270,$C320)</f>
        <v>928.4</v>
      </c>
      <c r="H320" s="15" t="n">
        <f aca="false">F320+G320</f>
        <v>3534.46</v>
      </c>
      <c r="I320" s="25" t="n">
        <v>3534.46</v>
      </c>
      <c r="J320" s="15" t="n">
        <f aca="false">ROUND(H320-I320,2)</f>
        <v>0</v>
      </c>
      <c r="K320" s="26" t="str">
        <f aca="false">IF(ABS(J320)&lt;0.05,"OK","Verificar")</f>
        <v>OK</v>
      </c>
    </row>
    <row r="321" customFormat="false" ht="15" hidden="false" customHeight="false" outlineLevel="0" collapsed="false">
      <c r="A321" s="3" t="n">
        <v>4</v>
      </c>
      <c r="B321" s="24" t="n">
        <v>46113</v>
      </c>
      <c r="C321" s="3" t="s">
        <v>550</v>
      </c>
      <c r="D321" s="3" t="s">
        <v>246</v>
      </c>
      <c r="E321" s="3" t="n">
        <f aca="false">COUNTIF('NF x Centro de Custo'!$C$5:$C$1270,$C321)</f>
        <v>1</v>
      </c>
      <c r="F321" s="15" t="n">
        <f aca="false">SUMIFS('NF x Centro de Custo'!$F$5:$F$1270,'NF x Centro de Custo'!$C$5:$C$1270,$C321)</f>
        <v>2432.41</v>
      </c>
      <c r="G321" s="15" t="n">
        <f aca="false">SUMIFS('NF x Centro de Custo'!$G$5:$G$1270,'NF x Centro de Custo'!$C$5:$C$1270,$C321)</f>
        <v>867.44</v>
      </c>
      <c r="H321" s="15" t="n">
        <f aca="false">F321+G321</f>
        <v>3299.85</v>
      </c>
      <c r="I321" s="25" t="n">
        <v>3299.85</v>
      </c>
      <c r="J321" s="15" t="n">
        <f aca="false">ROUND(H321-I321,2)</f>
        <v>0</v>
      </c>
      <c r="K321" s="26" t="str">
        <f aca="false">IF(ABS(J321)&lt;0.05,"OK","Verificar")</f>
        <v>OK</v>
      </c>
    </row>
    <row r="322" customFormat="false" ht="15" hidden="false" customHeight="false" outlineLevel="0" collapsed="false">
      <c r="A322" s="3" t="n">
        <v>4</v>
      </c>
      <c r="B322" s="24" t="n">
        <v>46113</v>
      </c>
      <c r="C322" s="3" t="s">
        <v>551</v>
      </c>
      <c r="D322" s="3" t="s">
        <v>249</v>
      </c>
      <c r="E322" s="3" t="n">
        <f aca="false">COUNTIF('NF x Centro de Custo'!$C$5:$C$1270,$C322)</f>
        <v>1</v>
      </c>
      <c r="F322" s="15" t="n">
        <f aca="false">SUMIFS('NF x Centro de Custo'!$F$5:$F$1270,'NF x Centro de Custo'!$C$5:$C$1270,$C322)</f>
        <v>6963.34</v>
      </c>
      <c r="G322" s="15" t="n">
        <f aca="false">SUMIFS('NF x Centro de Custo'!$G$5:$G$1270,'NF x Centro de Custo'!$C$5:$C$1270,$C322)</f>
        <v>2475.52</v>
      </c>
      <c r="H322" s="15" t="n">
        <f aca="false">F322+G322</f>
        <v>9438.86</v>
      </c>
      <c r="I322" s="25" t="n">
        <v>9438.86</v>
      </c>
      <c r="J322" s="15" t="n">
        <f aca="false">ROUND(H322-I322,2)</f>
        <v>0</v>
      </c>
      <c r="K322" s="26" t="str">
        <f aca="false">IF(ABS(J322)&lt;0.05,"OK","Verificar")</f>
        <v>OK</v>
      </c>
    </row>
    <row r="323" customFormat="false" ht="15" hidden="false" customHeight="false" outlineLevel="0" collapsed="false">
      <c r="A323" s="3" t="n">
        <v>4</v>
      </c>
      <c r="B323" s="24" t="n">
        <v>46113</v>
      </c>
      <c r="C323" s="3" t="s">
        <v>552</v>
      </c>
      <c r="D323" s="3" t="s">
        <v>249</v>
      </c>
      <c r="E323" s="3" t="n">
        <f aca="false">COUNTIF('NF x Centro de Custo'!$C$5:$C$1270,$C323)</f>
        <v>1</v>
      </c>
      <c r="F323" s="15" t="n">
        <f aca="false">SUMIFS('NF x Centro de Custo'!$F$5:$F$1270,'NF x Centro de Custo'!$C$5:$C$1270,$C323)</f>
        <v>478.92</v>
      </c>
      <c r="G323" s="15" t="n">
        <f aca="false">SUMIFS('NF x Centro de Custo'!$G$5:$G$1270,'NF x Centro de Custo'!$C$5:$C$1270,$C323)</f>
        <v>334.39</v>
      </c>
      <c r="H323" s="15" t="n">
        <f aca="false">F323+G323</f>
        <v>813.31</v>
      </c>
      <c r="I323" s="25" t="n">
        <v>813.31</v>
      </c>
      <c r="J323" s="15" t="n">
        <f aca="false">ROUND(H323-I323,2)</f>
        <v>0</v>
      </c>
      <c r="K323" s="26" t="str">
        <f aca="false">IF(ABS(J323)&lt;0.05,"OK","Verificar")</f>
        <v>OK</v>
      </c>
    </row>
    <row r="324" customFormat="false" ht="15" hidden="false" customHeight="false" outlineLevel="0" collapsed="false">
      <c r="A324" s="3" t="n">
        <v>4</v>
      </c>
      <c r="B324" s="24" t="n">
        <v>46113</v>
      </c>
      <c r="C324" s="3" t="s">
        <v>553</v>
      </c>
      <c r="D324" s="3" t="s">
        <v>252</v>
      </c>
      <c r="E324" s="3" t="n">
        <f aca="false">COUNTIF('NF x Centro de Custo'!$C$5:$C$1270,$C324)</f>
        <v>1</v>
      </c>
      <c r="F324" s="15" t="n">
        <f aca="false">SUMIFS('NF x Centro de Custo'!$F$5:$F$1270,'NF x Centro de Custo'!$C$5:$C$1270,$C324)</f>
        <v>2857.17</v>
      </c>
      <c r="G324" s="15" t="n">
        <f aca="false">SUMIFS('NF x Centro de Custo'!$G$5:$G$1270,'NF x Centro de Custo'!$C$5:$C$1270,$C324)</f>
        <v>1025.26</v>
      </c>
      <c r="H324" s="15" t="n">
        <f aca="false">F324+G324</f>
        <v>3882.43</v>
      </c>
      <c r="I324" s="25" t="n">
        <v>3882.43</v>
      </c>
      <c r="J324" s="15" t="n">
        <f aca="false">ROUND(H324-I324,2)</f>
        <v>0</v>
      </c>
      <c r="K324" s="26" t="str">
        <f aca="false">IF(ABS(J324)&lt;0.05,"OK","Verificar")</f>
        <v>OK</v>
      </c>
    </row>
    <row r="325" customFormat="false" ht="15" hidden="false" customHeight="false" outlineLevel="0" collapsed="false">
      <c r="A325" s="3" t="n">
        <v>4</v>
      </c>
      <c r="B325" s="24" t="n">
        <v>46113</v>
      </c>
      <c r="C325" s="3" t="s">
        <v>554</v>
      </c>
      <c r="D325" s="3" t="s">
        <v>252</v>
      </c>
      <c r="E325" s="3" t="n">
        <f aca="false">COUNTIF('NF x Centro de Custo'!$C$5:$C$1270,$C325)</f>
        <v>1</v>
      </c>
      <c r="F325" s="15" t="n">
        <f aca="false">SUMIFS('NF x Centro de Custo'!$F$5:$F$1270,'NF x Centro de Custo'!$C$5:$C$1270,$C325)</f>
        <v>3654.31</v>
      </c>
      <c r="G325" s="15" t="n">
        <f aca="false">SUMIFS('NF x Centro de Custo'!$G$5:$G$1270,'NF x Centro de Custo'!$C$5:$C$1270,$C325)</f>
        <v>1330.79</v>
      </c>
      <c r="H325" s="15" t="n">
        <f aca="false">F325+G325</f>
        <v>4985.1</v>
      </c>
      <c r="I325" s="25" t="n">
        <v>4985.1</v>
      </c>
      <c r="J325" s="15" t="n">
        <f aca="false">ROUND(H325-I325,2)</f>
        <v>0</v>
      </c>
      <c r="K325" s="26" t="str">
        <f aca="false">IF(ABS(J325)&lt;0.05,"OK","Verificar")</f>
        <v>OK</v>
      </c>
    </row>
    <row r="326" customFormat="false" ht="15" hidden="false" customHeight="false" outlineLevel="0" collapsed="false">
      <c r="A326" s="3" t="n">
        <v>4</v>
      </c>
      <c r="B326" s="24" t="n">
        <v>46113</v>
      </c>
      <c r="C326" s="3" t="s">
        <v>555</v>
      </c>
      <c r="D326" s="3" t="s">
        <v>255</v>
      </c>
      <c r="E326" s="3" t="n">
        <f aca="false">COUNTIF('NF x Centro de Custo'!$C$5:$C$1270,$C326)</f>
        <v>1</v>
      </c>
      <c r="F326" s="15" t="n">
        <f aca="false">SUMIFS('NF x Centro de Custo'!$F$5:$F$1270,'NF x Centro de Custo'!$C$5:$C$1270,$C326)</f>
        <v>2851.67</v>
      </c>
      <c r="G326" s="15" t="n">
        <f aca="false">SUMIFS('NF x Centro de Custo'!$G$5:$G$1270,'NF x Centro de Custo'!$C$5:$C$1270,$C326)</f>
        <v>1013.51</v>
      </c>
      <c r="H326" s="15" t="n">
        <f aca="false">F326+G326</f>
        <v>3865.18</v>
      </c>
      <c r="I326" s="25" t="n">
        <v>3865.18</v>
      </c>
      <c r="J326" s="15" t="n">
        <f aca="false">ROUND(H326-I326,2)</f>
        <v>0</v>
      </c>
      <c r="K326" s="26" t="str">
        <f aca="false">IF(ABS(J326)&lt;0.05,"OK","Verificar")</f>
        <v>OK</v>
      </c>
    </row>
    <row r="327" customFormat="false" ht="15" hidden="false" customHeight="false" outlineLevel="0" collapsed="false">
      <c r="A327" s="3" t="n">
        <v>4</v>
      </c>
      <c r="B327" s="24" t="n">
        <v>46113</v>
      </c>
      <c r="C327" s="3" t="s">
        <v>556</v>
      </c>
      <c r="D327" s="3" t="s">
        <v>255</v>
      </c>
      <c r="E327" s="3" t="n">
        <f aca="false">COUNTIF('NF x Centro de Custo'!$C$5:$C$1270,$C327)</f>
        <v>1</v>
      </c>
      <c r="F327" s="15" t="n">
        <f aca="false">SUMIFS('NF x Centro de Custo'!$F$5:$F$1270,'NF x Centro de Custo'!$C$5:$C$1270,$C327)</f>
        <v>6085.95</v>
      </c>
      <c r="G327" s="15" t="n">
        <f aca="false">SUMIFS('NF x Centro de Custo'!$G$5:$G$1270,'NF x Centro de Custo'!$C$5:$C$1270,$C327)</f>
        <v>2187.21</v>
      </c>
      <c r="H327" s="15" t="n">
        <f aca="false">F327+G327</f>
        <v>8273.16</v>
      </c>
      <c r="I327" s="25" t="n">
        <v>8273.16</v>
      </c>
      <c r="J327" s="15" t="n">
        <f aca="false">ROUND(H327-I327,2)</f>
        <v>0</v>
      </c>
      <c r="K327" s="26" t="str">
        <f aca="false">IF(ABS(J327)&lt;0.05,"OK","Verificar")</f>
        <v>OK</v>
      </c>
    </row>
    <row r="328" customFormat="false" ht="15" hidden="false" customHeight="false" outlineLevel="0" collapsed="false">
      <c r="A328" s="3" t="n">
        <v>4</v>
      </c>
      <c r="B328" s="24" t="n">
        <v>46113</v>
      </c>
      <c r="C328" s="3" t="s">
        <v>557</v>
      </c>
      <c r="D328" s="3" t="s">
        <v>258</v>
      </c>
      <c r="E328" s="3" t="n">
        <f aca="false">COUNTIF('NF x Centro de Custo'!$C$5:$C$1270,$C328)</f>
        <v>1</v>
      </c>
      <c r="F328" s="15" t="n">
        <f aca="false">SUMIFS('NF x Centro de Custo'!$F$5:$F$1270,'NF x Centro de Custo'!$C$5:$C$1270,$C328)</f>
        <v>2519.23</v>
      </c>
      <c r="G328" s="15" t="n">
        <f aca="false">SUMIFS('NF x Centro de Custo'!$G$5:$G$1270,'NF x Centro de Custo'!$C$5:$C$1270,$C328)</f>
        <v>917.21</v>
      </c>
      <c r="H328" s="15" t="n">
        <f aca="false">F328+G328</f>
        <v>3436.44</v>
      </c>
      <c r="I328" s="25" t="n">
        <v>3436.44</v>
      </c>
      <c r="J328" s="15" t="n">
        <f aca="false">ROUND(H328-I328,2)</f>
        <v>0</v>
      </c>
      <c r="K328" s="26" t="str">
        <f aca="false">IF(ABS(J328)&lt;0.05,"OK","Verificar")</f>
        <v>OK</v>
      </c>
    </row>
    <row r="329" customFormat="false" ht="15" hidden="false" customHeight="false" outlineLevel="0" collapsed="false">
      <c r="A329" s="3" t="n">
        <v>4</v>
      </c>
      <c r="B329" s="24" t="n">
        <v>46113</v>
      </c>
      <c r="C329" s="3" t="s">
        <v>558</v>
      </c>
      <c r="D329" s="3" t="s">
        <v>258</v>
      </c>
      <c r="E329" s="3" t="n">
        <f aca="false">COUNTIF('NF x Centro de Custo'!$C$5:$C$1270,$C329)</f>
        <v>1</v>
      </c>
      <c r="F329" s="15" t="n">
        <f aca="false">SUMIFS('NF x Centro de Custo'!$F$5:$F$1270,'NF x Centro de Custo'!$C$5:$C$1270,$C329)</f>
        <v>208.76</v>
      </c>
      <c r="G329" s="15" t="n">
        <f aca="false">SUMIFS('NF x Centro de Custo'!$G$5:$G$1270,'NF x Centro de Custo'!$C$5:$C$1270,$C329)</f>
        <v>72.36</v>
      </c>
      <c r="H329" s="15" t="n">
        <f aca="false">F329+G329</f>
        <v>281.12</v>
      </c>
      <c r="I329" s="25" t="n">
        <v>281.12</v>
      </c>
      <c r="J329" s="15" t="n">
        <f aca="false">ROUND(H329-I329,2)</f>
        <v>0</v>
      </c>
      <c r="K329" s="26" t="str">
        <f aca="false">IF(ABS(J329)&lt;0.05,"OK","Verificar")</f>
        <v>OK</v>
      </c>
    </row>
    <row r="330" customFormat="false" ht="15" hidden="false" customHeight="false" outlineLevel="0" collapsed="false">
      <c r="A330" s="3" t="n">
        <v>4</v>
      </c>
      <c r="B330" s="24" t="n">
        <v>46113</v>
      </c>
      <c r="C330" s="3" t="s">
        <v>559</v>
      </c>
      <c r="D330" s="3" t="s">
        <v>261</v>
      </c>
      <c r="E330" s="3" t="n">
        <f aca="false">COUNTIF('NF x Centro de Custo'!$C$5:$C$1270,$C330)</f>
        <v>1</v>
      </c>
      <c r="F330" s="15" t="n">
        <f aca="false">SUMIFS('NF x Centro de Custo'!$F$5:$F$1270,'NF x Centro de Custo'!$C$5:$C$1270,$C330)</f>
        <v>4216.07</v>
      </c>
      <c r="G330" s="15" t="n">
        <f aca="false">SUMIFS('NF x Centro de Custo'!$G$5:$G$1270,'NF x Centro de Custo'!$C$5:$C$1270,$C330)</f>
        <v>1512.22</v>
      </c>
      <c r="H330" s="15" t="n">
        <f aca="false">F330+G330</f>
        <v>5728.29</v>
      </c>
      <c r="I330" s="25" t="n">
        <v>5728.29</v>
      </c>
      <c r="J330" s="15" t="n">
        <f aca="false">ROUND(H330-I330,2)</f>
        <v>0</v>
      </c>
      <c r="K330" s="26" t="str">
        <f aca="false">IF(ABS(J330)&lt;0.05,"OK","Verificar")</f>
        <v>OK</v>
      </c>
    </row>
    <row r="331" customFormat="false" ht="15" hidden="false" customHeight="false" outlineLevel="0" collapsed="false">
      <c r="A331" s="3" t="n">
        <v>4</v>
      </c>
      <c r="B331" s="24" t="n">
        <v>46113</v>
      </c>
      <c r="C331" s="3" t="s">
        <v>560</v>
      </c>
      <c r="D331" s="3" t="s">
        <v>261</v>
      </c>
      <c r="E331" s="3" t="n">
        <f aca="false">COUNTIF('NF x Centro de Custo'!$C$5:$C$1270,$C331)</f>
        <v>1</v>
      </c>
      <c r="F331" s="15" t="n">
        <f aca="false">SUMIFS('NF x Centro de Custo'!$F$5:$F$1270,'NF x Centro de Custo'!$C$5:$C$1270,$C331)</f>
        <v>2413.1</v>
      </c>
      <c r="G331" s="15" t="n">
        <f aca="false">SUMIFS('NF x Centro de Custo'!$G$5:$G$1270,'NF x Centro de Custo'!$C$5:$C$1270,$C331)</f>
        <v>860.75</v>
      </c>
      <c r="H331" s="15" t="n">
        <f aca="false">F331+G331</f>
        <v>3273.85</v>
      </c>
      <c r="I331" s="25" t="n">
        <v>3273.85</v>
      </c>
      <c r="J331" s="15" t="n">
        <f aca="false">ROUND(H331-I331,2)</f>
        <v>0</v>
      </c>
      <c r="K331" s="26" t="str">
        <f aca="false">IF(ABS(J331)&lt;0.05,"OK","Verificar")</f>
        <v>OK</v>
      </c>
    </row>
    <row r="332" customFormat="false" ht="15" hidden="false" customHeight="false" outlineLevel="0" collapsed="false">
      <c r="A332" s="3" t="n">
        <v>4</v>
      </c>
      <c r="B332" s="24" t="n">
        <v>46113</v>
      </c>
      <c r="C332" s="3" t="s">
        <v>561</v>
      </c>
      <c r="D332" s="3" t="s">
        <v>344</v>
      </c>
      <c r="E332" s="3" t="n">
        <f aca="false">COUNTIF('NF x Centro de Custo'!$C$5:$C$1270,$C332)</f>
        <v>1</v>
      </c>
      <c r="F332" s="15" t="n">
        <f aca="false">SUMIFS('NF x Centro de Custo'!$F$5:$F$1270,'NF x Centro de Custo'!$C$5:$C$1270,$C332)</f>
        <v>2188.78</v>
      </c>
      <c r="G332" s="15" t="n">
        <f aca="false">SUMIFS('NF x Centro de Custo'!$G$5:$G$1270,'NF x Centro de Custo'!$C$5:$C$1270,$C332)</f>
        <v>866.25</v>
      </c>
      <c r="H332" s="15" t="n">
        <f aca="false">F332+G332</f>
        <v>3055.03</v>
      </c>
      <c r="I332" s="25" t="n">
        <v>3055.03</v>
      </c>
      <c r="J332" s="15" t="n">
        <f aca="false">ROUND(H332-I332,2)</f>
        <v>0</v>
      </c>
      <c r="K332" s="26" t="str">
        <f aca="false">IF(ABS(J332)&lt;0.05,"OK","Verificar")</f>
        <v>OK</v>
      </c>
    </row>
    <row r="333" customFormat="false" ht="15" hidden="false" customHeight="false" outlineLevel="0" collapsed="false">
      <c r="A333" s="3" t="n">
        <v>4</v>
      </c>
      <c r="B333" s="24" t="n">
        <v>46113</v>
      </c>
      <c r="C333" s="3" t="s">
        <v>562</v>
      </c>
      <c r="D333" s="3" t="s">
        <v>237</v>
      </c>
      <c r="E333" s="3" t="n">
        <f aca="false">COUNTIF('NF x Centro de Custo'!$C$5:$C$1270,$C333)</f>
        <v>1</v>
      </c>
      <c r="F333" s="15" t="n">
        <f aca="false">SUMIFS('NF x Centro de Custo'!$F$5:$F$1270,'NF x Centro de Custo'!$C$5:$C$1270,$C333)</f>
        <v>1118.98</v>
      </c>
      <c r="G333" s="15" t="n">
        <f aca="false">SUMIFS('NF x Centro de Custo'!$G$5:$G$1270,'NF x Centro de Custo'!$C$5:$C$1270,$C333)</f>
        <v>510.45</v>
      </c>
      <c r="H333" s="15" t="n">
        <f aca="false">F333+G333</f>
        <v>1629.43</v>
      </c>
      <c r="I333" s="25" t="n">
        <v>1629.43</v>
      </c>
      <c r="J333" s="15" t="n">
        <f aca="false">ROUND(H333-I333,2)</f>
        <v>0</v>
      </c>
      <c r="K333" s="26" t="str">
        <f aca="false">IF(ABS(J333)&lt;0.05,"OK","Verificar")</f>
        <v>OK</v>
      </c>
    </row>
    <row r="334" customFormat="false" ht="15" hidden="false" customHeight="false" outlineLevel="0" collapsed="false">
      <c r="A334" s="3" t="n">
        <v>4</v>
      </c>
      <c r="B334" s="24" t="n">
        <v>46113</v>
      </c>
      <c r="C334" s="3" t="s">
        <v>563</v>
      </c>
      <c r="D334" s="3" t="s">
        <v>237</v>
      </c>
      <c r="E334" s="3" t="n">
        <f aca="false">COUNTIF('NF x Centro de Custo'!$C$5:$C$1270,$C334)</f>
        <v>1</v>
      </c>
      <c r="F334" s="15" t="n">
        <f aca="false">SUMIFS('NF x Centro de Custo'!$F$5:$F$1270,'NF x Centro de Custo'!$C$5:$C$1270,$C334)</f>
        <v>11820.3</v>
      </c>
      <c r="G334" s="15" t="n">
        <f aca="false">SUMIFS('NF x Centro de Custo'!$G$5:$G$1270,'NF x Centro de Custo'!$C$5:$C$1270,$C334)</f>
        <v>4576.37</v>
      </c>
      <c r="H334" s="15" t="n">
        <f aca="false">F334+G334</f>
        <v>16396.67</v>
      </c>
      <c r="I334" s="25" t="n">
        <v>16396.67</v>
      </c>
      <c r="J334" s="15" t="n">
        <f aca="false">ROUND(H334-I334,2)</f>
        <v>0</v>
      </c>
      <c r="K334" s="26" t="str">
        <f aca="false">IF(ABS(J334)&lt;0.05,"OK","Verificar")</f>
        <v>OK</v>
      </c>
    </row>
    <row r="335" customFormat="false" ht="15" hidden="false" customHeight="false" outlineLevel="0" collapsed="false">
      <c r="A335" s="3" t="n">
        <v>4</v>
      </c>
      <c r="B335" s="24" t="n">
        <v>46113</v>
      </c>
      <c r="C335" s="3" t="s">
        <v>564</v>
      </c>
      <c r="D335" s="3" t="s">
        <v>237</v>
      </c>
      <c r="E335" s="3" t="n">
        <f aca="false">COUNTIF('NF x Centro de Custo'!$C$5:$C$1270,$C335)</f>
        <v>2</v>
      </c>
      <c r="F335" s="15" t="n">
        <f aca="false">SUMIFS('NF x Centro de Custo'!$F$5:$F$1270,'NF x Centro de Custo'!$C$5:$C$1270,$C335)</f>
        <v>76334.09</v>
      </c>
      <c r="G335" s="15" t="n">
        <f aca="false">SUMIFS('NF x Centro de Custo'!$G$5:$G$1270,'NF x Centro de Custo'!$C$5:$C$1270,$C335)</f>
        <v>26580.82</v>
      </c>
      <c r="H335" s="15" t="n">
        <f aca="false">F335+G335</f>
        <v>102914.91</v>
      </c>
      <c r="I335" s="25" t="n">
        <v>102914.91</v>
      </c>
      <c r="J335" s="15" t="n">
        <f aca="false">ROUND(H335-I335,2)</f>
        <v>0</v>
      </c>
      <c r="K335" s="26" t="str">
        <f aca="false">IF(ABS(J335)&lt;0.05,"OK","Verificar")</f>
        <v>OK</v>
      </c>
    </row>
    <row r="336" customFormat="false" ht="15" hidden="false" customHeight="false" outlineLevel="0" collapsed="false">
      <c r="A336" s="3" t="n">
        <v>4</v>
      </c>
      <c r="B336" s="24" t="n">
        <v>46113</v>
      </c>
      <c r="C336" s="3" t="s">
        <v>565</v>
      </c>
      <c r="D336" s="3" t="s">
        <v>237</v>
      </c>
      <c r="E336" s="3" t="n">
        <f aca="false">COUNTIF('NF x Centro de Custo'!$C$5:$C$1270,$C336)</f>
        <v>1</v>
      </c>
      <c r="F336" s="15" t="n">
        <f aca="false">SUMIFS('NF x Centro de Custo'!$F$5:$F$1270,'NF x Centro de Custo'!$C$5:$C$1270,$C336)</f>
        <v>6523.69</v>
      </c>
      <c r="G336" s="15" t="n">
        <f aca="false">SUMIFS('NF x Centro de Custo'!$G$5:$G$1270,'NF x Centro de Custo'!$C$5:$C$1270,$C336)</f>
        <v>2268.79</v>
      </c>
      <c r="H336" s="15" t="n">
        <f aca="false">F336+G336</f>
        <v>8792.48</v>
      </c>
      <c r="I336" s="25" t="n">
        <v>8792.48</v>
      </c>
      <c r="J336" s="15" t="n">
        <f aca="false">ROUND(H336-I336,2)</f>
        <v>0</v>
      </c>
      <c r="K336" s="26" t="str">
        <f aca="false">IF(ABS(J336)&lt;0.05,"OK","Verificar")</f>
        <v>OK</v>
      </c>
    </row>
    <row r="337" customFormat="false" ht="15" hidden="false" customHeight="false" outlineLevel="0" collapsed="false">
      <c r="A337" s="3" t="n">
        <v>4</v>
      </c>
      <c r="B337" s="24" t="n">
        <v>46113</v>
      </c>
      <c r="C337" s="3" t="s">
        <v>566</v>
      </c>
      <c r="D337" s="3" t="s">
        <v>269</v>
      </c>
      <c r="E337" s="3" t="n">
        <f aca="false">COUNTIF('NF x Centro de Custo'!$C$5:$C$1270,$C337)</f>
        <v>5</v>
      </c>
      <c r="F337" s="15" t="n">
        <f aca="false">SUMIFS('NF x Centro de Custo'!$F$5:$F$1270,'NF x Centro de Custo'!$C$5:$C$1270,$C337)</f>
        <v>32160.89</v>
      </c>
      <c r="G337" s="15" t="n">
        <f aca="false">SUMIFS('NF x Centro de Custo'!$G$5:$G$1270,'NF x Centro de Custo'!$C$5:$C$1270,$C337)</f>
        <v>11573.66</v>
      </c>
      <c r="H337" s="15" t="n">
        <f aca="false">F337+G337</f>
        <v>43734.55</v>
      </c>
      <c r="I337" s="25" t="n">
        <v>43734.55</v>
      </c>
      <c r="J337" s="15" t="n">
        <f aca="false">ROUND(H337-I337,2)</f>
        <v>0</v>
      </c>
      <c r="K337" s="26" t="str">
        <f aca="false">IF(ABS(J337)&lt;0.05,"OK","Verificar")</f>
        <v>OK</v>
      </c>
    </row>
    <row r="338" customFormat="false" ht="15" hidden="false" customHeight="false" outlineLevel="0" collapsed="false">
      <c r="A338" s="3" t="n">
        <v>4</v>
      </c>
      <c r="B338" s="24" t="n">
        <v>46113</v>
      </c>
      <c r="C338" s="3" t="s">
        <v>567</v>
      </c>
      <c r="D338" s="3" t="s">
        <v>269</v>
      </c>
      <c r="E338" s="3" t="n">
        <f aca="false">COUNTIF('NF x Centro de Custo'!$C$5:$C$1270,$C338)</f>
        <v>1</v>
      </c>
      <c r="F338" s="15" t="n">
        <f aca="false">SUMIFS('NF x Centro de Custo'!$F$5:$F$1270,'NF x Centro de Custo'!$C$5:$C$1270,$C338)</f>
        <v>118438.15</v>
      </c>
      <c r="G338" s="15" t="n">
        <f aca="false">SUMIFS('NF x Centro de Custo'!$G$5:$G$1270,'NF x Centro de Custo'!$C$5:$C$1270,$C338)</f>
        <v>40841.196633906</v>
      </c>
      <c r="H338" s="15" t="n">
        <f aca="false">F338+G338</f>
        <v>159279.346633906</v>
      </c>
      <c r="I338" s="25" t="n">
        <v>159279.346633906</v>
      </c>
      <c r="J338" s="15" t="n">
        <f aca="false">ROUND(H338-I338,2)</f>
        <v>0</v>
      </c>
      <c r="K338" s="26" t="str">
        <f aca="false">IF(ABS(J338)&lt;0.05,"OK","Verificar")</f>
        <v>OK</v>
      </c>
    </row>
    <row r="339" customFormat="false" ht="15" hidden="false" customHeight="false" outlineLevel="0" collapsed="false">
      <c r="A339" s="3" t="n">
        <v>4</v>
      </c>
      <c r="B339" s="24" t="n">
        <v>46113</v>
      </c>
      <c r="C339" s="3" t="s">
        <v>568</v>
      </c>
      <c r="D339" s="3" t="s">
        <v>269</v>
      </c>
      <c r="E339" s="3" t="n">
        <f aca="false">COUNTIF('NF x Centro de Custo'!$C$5:$C$1270,$C339)</f>
        <v>4</v>
      </c>
      <c r="F339" s="15" t="n">
        <f aca="false">SUMIFS('NF x Centro de Custo'!$F$5:$F$1270,'NF x Centro de Custo'!$C$5:$C$1270,$C339)</f>
        <v>9204.42</v>
      </c>
      <c r="G339" s="15" t="n">
        <f aca="false">SUMIFS('NF x Centro de Custo'!$G$5:$G$1270,'NF x Centro de Custo'!$C$5:$C$1270,$C339)</f>
        <v>3494.05</v>
      </c>
      <c r="H339" s="15" t="n">
        <f aca="false">F339+G339</f>
        <v>12698.47</v>
      </c>
      <c r="I339" s="25" t="n">
        <v>12698.47</v>
      </c>
      <c r="J339" s="15" t="n">
        <f aca="false">ROUND(H339-I339,2)</f>
        <v>0</v>
      </c>
      <c r="K339" s="26" t="str">
        <f aca="false">IF(ABS(J339)&lt;0.05,"OK","Verificar")</f>
        <v>OK</v>
      </c>
    </row>
    <row r="340" customFormat="false" ht="15" hidden="false" customHeight="false" outlineLevel="0" collapsed="false">
      <c r="A340" s="3" t="n">
        <v>4</v>
      </c>
      <c r="B340" s="24" t="n">
        <v>46113</v>
      </c>
      <c r="C340" s="3" t="s">
        <v>569</v>
      </c>
      <c r="D340" s="3" t="s">
        <v>222</v>
      </c>
      <c r="E340" s="3" t="n">
        <f aca="false">COUNTIF('NF x Centro de Custo'!$C$5:$C$1270,$C340)</f>
        <v>2</v>
      </c>
      <c r="F340" s="15" t="n">
        <f aca="false">SUMIFS('NF x Centro de Custo'!$F$5:$F$1270,'NF x Centro de Custo'!$C$5:$C$1270,$C340)</f>
        <v>15759.26</v>
      </c>
      <c r="G340" s="15" t="n">
        <f aca="false">SUMIFS('NF x Centro de Custo'!$G$5:$G$1270,'NF x Centro de Custo'!$C$5:$C$1270,$C340)</f>
        <v>5546.26</v>
      </c>
      <c r="H340" s="15" t="n">
        <f aca="false">F340+G340</f>
        <v>21305.52</v>
      </c>
      <c r="I340" s="25" t="n">
        <v>21305.52</v>
      </c>
      <c r="J340" s="15" t="n">
        <f aca="false">ROUND(H340-I340,2)</f>
        <v>0</v>
      </c>
      <c r="K340" s="26" t="str">
        <f aca="false">IF(ABS(J340)&lt;0.05,"OK","Verificar")</f>
        <v>OK</v>
      </c>
    </row>
    <row r="341" customFormat="false" ht="15" hidden="false" customHeight="false" outlineLevel="0" collapsed="false">
      <c r="A341" s="3" t="n">
        <v>4</v>
      </c>
      <c r="B341" s="24" t="n">
        <v>46113</v>
      </c>
      <c r="C341" s="3" t="s">
        <v>570</v>
      </c>
      <c r="D341" s="3" t="s">
        <v>222</v>
      </c>
      <c r="E341" s="3" t="n">
        <f aca="false">COUNTIF('NF x Centro de Custo'!$C$5:$C$1270,$C341)</f>
        <v>3</v>
      </c>
      <c r="F341" s="15" t="n">
        <f aca="false">SUMIFS('NF x Centro de Custo'!$F$5:$F$1270,'NF x Centro de Custo'!$C$5:$C$1270,$C341)</f>
        <v>504225.11</v>
      </c>
      <c r="G341" s="15" t="n">
        <f aca="false">SUMIFS('NF x Centro de Custo'!$G$5:$G$1270,'NF x Centro de Custo'!$C$5:$C$1270,$C341)</f>
        <v>178315.22</v>
      </c>
      <c r="H341" s="15" t="n">
        <f aca="false">F341+G341</f>
        <v>682540.33</v>
      </c>
      <c r="I341" s="25" t="n">
        <v>682540.33</v>
      </c>
      <c r="J341" s="15" t="n">
        <f aca="false">ROUND(H341-I341,2)</f>
        <v>0</v>
      </c>
      <c r="K341" s="26" t="str">
        <f aca="false">IF(ABS(J341)&lt;0.05,"OK","Verificar")</f>
        <v>OK</v>
      </c>
    </row>
    <row r="342" customFormat="false" ht="15" hidden="false" customHeight="false" outlineLevel="0" collapsed="false">
      <c r="A342" s="3" t="n">
        <v>4</v>
      </c>
      <c r="B342" s="24" t="n">
        <v>46113</v>
      </c>
      <c r="C342" s="3" t="s">
        <v>571</v>
      </c>
      <c r="D342" s="3" t="s">
        <v>222</v>
      </c>
      <c r="E342" s="3" t="n">
        <f aca="false">COUNTIF('NF x Centro de Custo'!$C$5:$C$1270,$C342)</f>
        <v>14</v>
      </c>
      <c r="F342" s="15" t="n">
        <f aca="false">SUMIFS('NF x Centro de Custo'!$F$5:$F$1270,'NF x Centro de Custo'!$C$5:$C$1270,$C342)</f>
        <v>1378693.91</v>
      </c>
      <c r="G342" s="15" t="n">
        <f aca="false">SUMIFS('NF x Centro de Custo'!$G$5:$G$1270,'NF x Centro de Custo'!$C$5:$C$1270,$C342)</f>
        <v>486747.83</v>
      </c>
      <c r="H342" s="15" t="n">
        <f aca="false">F342+G342</f>
        <v>1865441.74</v>
      </c>
      <c r="I342" s="25" t="n">
        <v>1865441.74</v>
      </c>
      <c r="J342" s="15" t="n">
        <f aca="false">ROUND(H342-I342,2)</f>
        <v>0</v>
      </c>
      <c r="K342" s="26" t="str">
        <f aca="false">IF(ABS(J342)&lt;0.05,"OK","Verificar")</f>
        <v>OK</v>
      </c>
    </row>
    <row r="343" customFormat="false" ht="15" hidden="false" customHeight="false" outlineLevel="0" collapsed="false">
      <c r="A343" s="3" t="n">
        <v>4</v>
      </c>
      <c r="B343" s="24" t="n">
        <v>46113</v>
      </c>
      <c r="C343" s="3" t="s">
        <v>572</v>
      </c>
      <c r="D343" s="3" t="s">
        <v>226</v>
      </c>
      <c r="E343" s="3" t="n">
        <f aca="false">COUNTIF('NF x Centro de Custo'!$C$5:$C$1270,$C343)</f>
        <v>1</v>
      </c>
      <c r="F343" s="15" t="n">
        <f aca="false">SUMIFS('NF x Centro de Custo'!$F$5:$F$1270,'NF x Centro de Custo'!$C$5:$C$1270,$C343)</f>
        <v>10914.18</v>
      </c>
      <c r="G343" s="15" t="n">
        <f aca="false">SUMIFS('NF x Centro de Custo'!$G$5:$G$1270,'NF x Centro de Custo'!$C$5:$C$1270,$C343)</f>
        <v>3368.49</v>
      </c>
      <c r="H343" s="15" t="n">
        <f aca="false">F343+G343</f>
        <v>14282.67</v>
      </c>
      <c r="I343" s="25" t="n">
        <v>14282.67</v>
      </c>
      <c r="J343" s="15" t="n">
        <f aca="false">ROUND(H343-I343,2)</f>
        <v>0</v>
      </c>
      <c r="K343" s="26" t="str">
        <f aca="false">IF(ABS(J343)&lt;0.05,"OK","Verificar")</f>
        <v>OK</v>
      </c>
    </row>
    <row r="344" customFormat="false" ht="15" hidden="false" customHeight="false" outlineLevel="0" collapsed="false">
      <c r="A344" s="3" t="n">
        <v>4</v>
      </c>
      <c r="B344" s="24" t="n">
        <v>46113</v>
      </c>
      <c r="C344" s="3" t="s">
        <v>573</v>
      </c>
      <c r="D344" s="3" t="s">
        <v>226</v>
      </c>
      <c r="E344" s="3" t="n">
        <f aca="false">COUNTIF('NF x Centro de Custo'!$C$5:$C$1270,$C344)</f>
        <v>3</v>
      </c>
      <c r="F344" s="15" t="n">
        <f aca="false">SUMIFS('NF x Centro de Custo'!$F$5:$F$1270,'NF x Centro de Custo'!$C$5:$C$1270,$C344)</f>
        <v>88399.4</v>
      </c>
      <c r="G344" s="15" t="n">
        <f aca="false">SUMIFS('NF x Centro de Custo'!$G$5:$G$1270,'NF x Centro de Custo'!$C$5:$C$1270,$C344)</f>
        <v>26782.75</v>
      </c>
      <c r="H344" s="15" t="n">
        <f aca="false">F344+G344</f>
        <v>115182.15</v>
      </c>
      <c r="I344" s="25" t="n">
        <v>115182.15</v>
      </c>
      <c r="J344" s="15" t="n">
        <f aca="false">ROUND(H344-I344,2)</f>
        <v>0</v>
      </c>
      <c r="K344" s="26" t="str">
        <f aca="false">IF(ABS(J344)&lt;0.05,"OK","Verificar")</f>
        <v>OK</v>
      </c>
    </row>
    <row r="345" customFormat="false" ht="15" hidden="false" customHeight="false" outlineLevel="0" collapsed="false">
      <c r="A345" s="3" t="n">
        <v>4</v>
      </c>
      <c r="B345" s="24" t="n">
        <v>46113</v>
      </c>
      <c r="C345" s="3" t="s">
        <v>574</v>
      </c>
      <c r="D345" s="3" t="s">
        <v>222</v>
      </c>
      <c r="E345" s="3" t="n">
        <f aca="false">COUNTIF('NF x Centro de Custo'!$C$5:$C$1270,$C345)</f>
        <v>1</v>
      </c>
      <c r="F345" s="15" t="n">
        <f aca="false">SUMIFS('NF x Centro de Custo'!$F$5:$F$1270,'NF x Centro de Custo'!$C$5:$C$1270,$C345)</f>
        <v>115550.96</v>
      </c>
      <c r="G345" s="15" t="n">
        <f aca="false">SUMIFS('NF x Centro de Custo'!$G$5:$G$1270,'NF x Centro de Custo'!$C$5:$C$1270,$C345)</f>
        <v>40627.08</v>
      </c>
      <c r="H345" s="15" t="n">
        <f aca="false">F345+G345</f>
        <v>156178.04</v>
      </c>
      <c r="I345" s="25" t="n">
        <v>156178.04</v>
      </c>
      <c r="J345" s="15" t="n">
        <f aca="false">ROUND(H345-I345,2)</f>
        <v>0</v>
      </c>
      <c r="K345" s="26" t="str">
        <f aca="false">IF(ABS(J345)&lt;0.05,"OK","Verificar")</f>
        <v>OK</v>
      </c>
    </row>
    <row r="346" customFormat="false" ht="15" hidden="false" customHeight="false" outlineLevel="0" collapsed="false">
      <c r="A346" s="3" t="n">
        <v>4</v>
      </c>
      <c r="B346" s="24" t="n">
        <v>46113</v>
      </c>
      <c r="C346" s="3" t="s">
        <v>575</v>
      </c>
      <c r="D346" s="3" t="s">
        <v>222</v>
      </c>
      <c r="E346" s="3" t="n">
        <f aca="false">COUNTIF('NF x Centro de Custo'!$C$5:$C$1270,$C346)</f>
        <v>4</v>
      </c>
      <c r="F346" s="15" t="n">
        <f aca="false">SUMIFS('NF x Centro de Custo'!$F$5:$F$1270,'NF x Centro de Custo'!$C$5:$C$1270,$C346)</f>
        <v>265227.87</v>
      </c>
      <c r="G346" s="15" t="n">
        <f aca="false">SUMIFS('NF x Centro de Custo'!$G$5:$G$1270,'NF x Centro de Custo'!$C$5:$C$1270,$C346)</f>
        <v>93675.41</v>
      </c>
      <c r="H346" s="15" t="n">
        <f aca="false">F346+G346</f>
        <v>358903.28</v>
      </c>
      <c r="I346" s="25" t="n">
        <v>358903.28</v>
      </c>
      <c r="J346" s="15" t="n">
        <f aca="false">ROUND(H346-I346,2)</f>
        <v>0</v>
      </c>
      <c r="K346" s="26" t="str">
        <f aca="false">IF(ABS(J346)&lt;0.05,"OK","Verificar")</f>
        <v>OK</v>
      </c>
    </row>
    <row r="347" customFormat="false" ht="15" hidden="false" customHeight="false" outlineLevel="0" collapsed="false">
      <c r="A347" s="3" t="n">
        <v>4</v>
      </c>
      <c r="B347" s="24" t="n">
        <v>46113</v>
      </c>
      <c r="C347" s="3" t="s">
        <v>576</v>
      </c>
      <c r="D347" s="3" t="s">
        <v>226</v>
      </c>
      <c r="E347" s="3" t="n">
        <f aca="false">COUNTIF('NF x Centro de Custo'!$C$5:$C$1270,$C347)</f>
        <v>1</v>
      </c>
      <c r="F347" s="15" t="n">
        <f aca="false">SUMIFS('NF x Centro de Custo'!$F$5:$F$1270,'NF x Centro de Custo'!$C$5:$C$1270,$C347)</f>
        <v>33386.08</v>
      </c>
      <c r="G347" s="15" t="n">
        <f aca="false">SUMIFS('NF x Centro de Custo'!$G$5:$G$1270,'NF x Centro de Custo'!$C$5:$C$1270,$C347)</f>
        <v>10057.56</v>
      </c>
      <c r="H347" s="15" t="n">
        <f aca="false">F347+G347</f>
        <v>43443.64</v>
      </c>
      <c r="I347" s="25" t="n">
        <v>43443.64</v>
      </c>
      <c r="J347" s="15" t="n">
        <f aca="false">ROUND(H347-I347,2)</f>
        <v>0</v>
      </c>
      <c r="K347" s="26" t="str">
        <f aca="false">IF(ABS(J347)&lt;0.05,"OK","Verificar")</f>
        <v>OK</v>
      </c>
    </row>
    <row r="348" customFormat="false" ht="15" hidden="false" customHeight="false" outlineLevel="0" collapsed="false">
      <c r="A348" s="3" t="n">
        <v>4</v>
      </c>
      <c r="B348" s="24" t="n">
        <v>46113</v>
      </c>
      <c r="C348" s="3" t="s">
        <v>577</v>
      </c>
      <c r="D348" s="3" t="s">
        <v>212</v>
      </c>
      <c r="E348" s="3" t="n">
        <f aca="false">COUNTIF('NF x Centro de Custo'!$C$5:$C$1270,$C348)</f>
        <v>8</v>
      </c>
      <c r="F348" s="15" t="n">
        <f aca="false">SUMIFS('NF x Centro de Custo'!$F$5:$F$1270,'NF x Centro de Custo'!$C$5:$C$1270,$C348)</f>
        <v>42813.43</v>
      </c>
      <c r="G348" s="15" t="n">
        <f aca="false">SUMIFS('NF x Centro de Custo'!$G$5:$G$1270,'NF x Centro de Custo'!$C$5:$C$1270,$C348)</f>
        <v>0</v>
      </c>
      <c r="H348" s="15" t="n">
        <f aca="false">F348+G348</f>
        <v>42813.43</v>
      </c>
      <c r="I348" s="25" t="n">
        <v>42813.43</v>
      </c>
      <c r="J348" s="15" t="n">
        <f aca="false">ROUND(H348-I348,2)</f>
        <v>0</v>
      </c>
      <c r="K348" s="26" t="str">
        <f aca="false">IF(ABS(J348)&lt;0.05,"OK","Verificar")</f>
        <v>OK</v>
      </c>
    </row>
    <row r="349" customFormat="false" ht="15" hidden="false" customHeight="false" outlineLevel="0" collapsed="false">
      <c r="A349" s="3" t="n">
        <v>4</v>
      </c>
      <c r="B349" s="24" t="n">
        <v>46113</v>
      </c>
      <c r="C349" s="3" t="s">
        <v>578</v>
      </c>
      <c r="D349" s="3" t="s">
        <v>214</v>
      </c>
      <c r="E349" s="3" t="n">
        <f aca="false">COUNTIF('NF x Centro de Custo'!$C$5:$C$1270,$C349)</f>
        <v>1</v>
      </c>
      <c r="F349" s="15" t="n">
        <f aca="false">SUMIFS('NF x Centro de Custo'!$F$5:$F$1270,'NF x Centro de Custo'!$C$5:$C$1270,$C349)</f>
        <v>1008.5</v>
      </c>
      <c r="G349" s="15" t="n">
        <f aca="false">SUMIFS('NF x Centro de Custo'!$G$5:$G$1270,'NF x Centro de Custo'!$C$5:$C$1270,$C349)</f>
        <v>0</v>
      </c>
      <c r="H349" s="15" t="n">
        <f aca="false">F349+G349</f>
        <v>1008.5</v>
      </c>
      <c r="I349" s="25" t="n">
        <v>1008.5</v>
      </c>
      <c r="J349" s="15" t="n">
        <f aca="false">ROUND(H349-I349,2)</f>
        <v>0</v>
      </c>
      <c r="K349" s="26" t="str">
        <f aca="false">IF(ABS(J349)&lt;0.05,"OK","Verificar")</f>
        <v>OK</v>
      </c>
    </row>
    <row r="350" customFormat="false" ht="15" hidden="false" customHeight="false" outlineLevel="0" collapsed="false">
      <c r="A350" s="3" t="n">
        <v>4</v>
      </c>
      <c r="B350" s="24" t="n">
        <v>46113</v>
      </c>
      <c r="C350" s="3" t="s">
        <v>579</v>
      </c>
      <c r="D350" s="3" t="s">
        <v>214</v>
      </c>
      <c r="E350" s="3" t="n">
        <f aca="false">COUNTIF('NF x Centro de Custo'!$C$5:$C$1270,$C350)</f>
        <v>2</v>
      </c>
      <c r="F350" s="15" t="n">
        <f aca="false">SUMIFS('NF x Centro de Custo'!$F$5:$F$1270,'NF x Centro de Custo'!$C$5:$C$1270,$C350)</f>
        <v>3498.79</v>
      </c>
      <c r="G350" s="15" t="n">
        <f aca="false">SUMIFS('NF x Centro de Custo'!$G$5:$G$1270,'NF x Centro de Custo'!$C$5:$C$1270,$C350)</f>
        <v>0</v>
      </c>
      <c r="H350" s="15" t="n">
        <f aca="false">F350+G350</f>
        <v>3498.79</v>
      </c>
      <c r="I350" s="25" t="n">
        <v>3498.79</v>
      </c>
      <c r="J350" s="15" t="n">
        <f aca="false">ROUND(H350-I350,2)</f>
        <v>0</v>
      </c>
      <c r="K350" s="26" t="str">
        <f aca="false">IF(ABS(J350)&lt;0.05,"OK","Verificar")</f>
        <v>OK</v>
      </c>
    </row>
    <row r="351" customFormat="false" ht="15" hidden="false" customHeight="false" outlineLevel="0" collapsed="false">
      <c r="A351" s="3" t="n">
        <v>4</v>
      </c>
      <c r="B351" s="24" t="n">
        <v>46113</v>
      </c>
      <c r="C351" s="3" t="s">
        <v>580</v>
      </c>
      <c r="D351" s="3" t="s">
        <v>217</v>
      </c>
      <c r="E351" s="3" t="n">
        <f aca="false">COUNTIF('NF x Centro de Custo'!$C$5:$C$1270,$C351)</f>
        <v>1</v>
      </c>
      <c r="F351" s="15" t="n">
        <f aca="false">SUMIFS('NF x Centro de Custo'!$F$5:$F$1270,'NF x Centro de Custo'!$C$5:$C$1270,$C351)</f>
        <v>5209.7</v>
      </c>
      <c r="G351" s="15" t="n">
        <f aca="false">SUMIFS('NF x Centro de Custo'!$G$5:$G$1270,'NF x Centro de Custo'!$C$5:$C$1270,$C351)</f>
        <v>0</v>
      </c>
      <c r="H351" s="15" t="n">
        <f aca="false">F351+G351</f>
        <v>5209.7</v>
      </c>
      <c r="I351" s="25" t="n">
        <v>5209.7</v>
      </c>
      <c r="J351" s="15" t="n">
        <f aca="false">ROUND(H351-I351,2)</f>
        <v>0</v>
      </c>
      <c r="K351" s="26" t="str">
        <f aca="false">IF(ABS(J351)&lt;0.05,"OK","Verificar")</f>
        <v>OK</v>
      </c>
    </row>
    <row r="352" customFormat="false" ht="15" hidden="false" customHeight="false" outlineLevel="0" collapsed="false">
      <c r="A352" s="3" t="n">
        <v>4</v>
      </c>
      <c r="B352" s="24" t="n">
        <v>46113</v>
      </c>
      <c r="C352" s="3" t="s">
        <v>581</v>
      </c>
      <c r="D352" s="3" t="s">
        <v>217</v>
      </c>
      <c r="E352" s="3" t="n">
        <f aca="false">COUNTIF('NF x Centro de Custo'!$C$5:$C$1270,$C352)</f>
        <v>1</v>
      </c>
      <c r="F352" s="15" t="n">
        <f aca="false">SUMIFS('NF x Centro de Custo'!$F$5:$F$1270,'NF x Centro de Custo'!$C$5:$C$1270,$C352)</f>
        <v>3704.25</v>
      </c>
      <c r="G352" s="15" t="n">
        <f aca="false">SUMIFS('NF x Centro de Custo'!$G$5:$G$1270,'NF x Centro de Custo'!$C$5:$C$1270,$C352)</f>
        <v>0</v>
      </c>
      <c r="H352" s="15" t="n">
        <f aca="false">F352+G352</f>
        <v>3704.25</v>
      </c>
      <c r="I352" s="25" t="n">
        <v>3704.25</v>
      </c>
      <c r="J352" s="15" t="n">
        <f aca="false">ROUND(H352-I352,2)</f>
        <v>0</v>
      </c>
      <c r="K352" s="26" t="str">
        <f aca="false">IF(ABS(J352)&lt;0.05,"OK","Verificar")</f>
        <v>OK</v>
      </c>
    </row>
    <row r="353" customFormat="false" ht="15" hidden="false" customHeight="false" outlineLevel="0" collapsed="false">
      <c r="A353" s="3" t="n">
        <v>4</v>
      </c>
      <c r="B353" s="24" t="n">
        <v>46113</v>
      </c>
      <c r="C353" s="3" t="s">
        <v>582</v>
      </c>
      <c r="D353" s="3" t="s">
        <v>217</v>
      </c>
      <c r="E353" s="3" t="n">
        <f aca="false">COUNTIF('NF x Centro de Custo'!$C$5:$C$1270,$C353)</f>
        <v>1</v>
      </c>
      <c r="F353" s="15" t="n">
        <f aca="false">SUMIFS('NF x Centro de Custo'!$F$5:$F$1270,'NF x Centro de Custo'!$C$5:$C$1270,$C353)</f>
        <v>10311.55</v>
      </c>
      <c r="G353" s="15" t="n">
        <f aca="false">SUMIFS('NF x Centro de Custo'!$G$5:$G$1270,'NF x Centro de Custo'!$C$5:$C$1270,$C353)</f>
        <v>0</v>
      </c>
      <c r="H353" s="15" t="n">
        <f aca="false">F353+G353</f>
        <v>10311.55</v>
      </c>
      <c r="I353" s="25" t="n">
        <v>10311.55</v>
      </c>
      <c r="J353" s="15" t="n">
        <f aca="false">ROUND(H353-I353,2)</f>
        <v>0</v>
      </c>
      <c r="K353" s="26" t="str">
        <f aca="false">IF(ABS(J353)&lt;0.05,"OK","Verificar")</f>
        <v>OK</v>
      </c>
    </row>
    <row r="354" customFormat="false" ht="15" hidden="false" customHeight="false" outlineLevel="0" collapsed="false">
      <c r="A354" s="3" t="n">
        <v>4</v>
      </c>
      <c r="B354" s="24" t="n">
        <v>46113</v>
      </c>
      <c r="C354" s="3" t="s">
        <v>583</v>
      </c>
      <c r="D354" s="3" t="s">
        <v>217</v>
      </c>
      <c r="E354" s="3" t="n">
        <f aca="false">COUNTIF('NF x Centro de Custo'!$C$5:$C$1270,$C354)</f>
        <v>1</v>
      </c>
      <c r="F354" s="15" t="n">
        <f aca="false">SUMIFS('NF x Centro de Custo'!$F$5:$F$1270,'NF x Centro de Custo'!$C$5:$C$1270,$C354)</f>
        <v>8980.35</v>
      </c>
      <c r="G354" s="15" t="n">
        <f aca="false">SUMIFS('NF x Centro de Custo'!$G$5:$G$1270,'NF x Centro de Custo'!$C$5:$C$1270,$C354)</f>
        <v>0</v>
      </c>
      <c r="H354" s="15" t="n">
        <f aca="false">F354+G354</f>
        <v>8980.35</v>
      </c>
      <c r="I354" s="25" t="n">
        <v>8980.35</v>
      </c>
      <c r="J354" s="15" t="n">
        <f aca="false">ROUND(H354-I354,2)</f>
        <v>0</v>
      </c>
      <c r="K354" s="26" t="str">
        <f aca="false">IF(ABS(J354)&lt;0.05,"OK","Verificar")</f>
        <v>OK</v>
      </c>
    </row>
    <row r="355" customFormat="false" ht="15" hidden="false" customHeight="false" outlineLevel="0" collapsed="false">
      <c r="A355" s="3" t="n">
        <v>4</v>
      </c>
      <c r="B355" s="24" t="n">
        <v>46113</v>
      </c>
      <c r="C355" s="3" t="s">
        <v>584</v>
      </c>
      <c r="D355" s="3" t="s">
        <v>219</v>
      </c>
      <c r="E355" s="3" t="n">
        <f aca="false">COUNTIF('NF x Centro de Custo'!$C$5:$C$1270,$C355)</f>
        <v>3</v>
      </c>
      <c r="F355" s="15" t="n">
        <f aca="false">SUMIFS('NF x Centro de Custo'!$F$5:$F$1270,'NF x Centro de Custo'!$C$5:$C$1270,$C355)</f>
        <v>1059.38</v>
      </c>
      <c r="G355" s="15" t="n">
        <f aca="false">SUMIFS('NF x Centro de Custo'!$G$5:$G$1270,'NF x Centro de Custo'!$C$5:$C$1270,$C355)</f>
        <v>0</v>
      </c>
      <c r="H355" s="15" t="n">
        <f aca="false">F355+G355</f>
        <v>1059.38</v>
      </c>
      <c r="I355" s="25" t="n">
        <v>1059.38</v>
      </c>
      <c r="J355" s="15" t="n">
        <f aca="false">ROUND(H355-I355,2)</f>
        <v>0</v>
      </c>
      <c r="K355" s="26" t="str">
        <f aca="false">IF(ABS(J355)&lt;0.05,"OK","Verificar")</f>
        <v>OK</v>
      </c>
    </row>
    <row r="356" customFormat="false" ht="15" hidden="false" customHeight="false" outlineLevel="0" collapsed="false">
      <c r="A356" s="3" t="n">
        <v>4</v>
      </c>
      <c r="B356" s="24" t="n">
        <v>46113</v>
      </c>
      <c r="C356" s="3" t="s">
        <v>585</v>
      </c>
      <c r="D356" s="3" t="s">
        <v>219</v>
      </c>
      <c r="E356" s="3" t="n">
        <f aca="false">COUNTIF('NF x Centro de Custo'!$C$5:$C$1270,$C356)</f>
        <v>1</v>
      </c>
      <c r="F356" s="15" t="n">
        <f aca="false">SUMIFS('NF x Centro de Custo'!$F$5:$F$1270,'NF x Centro de Custo'!$C$5:$C$1270,$C356)</f>
        <v>8114.5</v>
      </c>
      <c r="G356" s="15" t="n">
        <f aca="false">SUMIFS('NF x Centro de Custo'!$G$5:$G$1270,'NF x Centro de Custo'!$C$5:$C$1270,$C356)</f>
        <v>0</v>
      </c>
      <c r="H356" s="15" t="n">
        <f aca="false">F356+G356</f>
        <v>8114.5</v>
      </c>
      <c r="I356" s="25" t="n">
        <v>8114.5</v>
      </c>
      <c r="J356" s="15" t="n">
        <f aca="false">ROUND(H356-I356,2)</f>
        <v>0</v>
      </c>
      <c r="K356" s="26" t="str">
        <f aca="false">IF(ABS(J356)&lt;0.05,"OK","Verificar")</f>
        <v>OK</v>
      </c>
    </row>
    <row r="357" customFormat="false" ht="15" hidden="false" customHeight="false" outlineLevel="0" collapsed="false">
      <c r="A357" s="3" t="n">
        <v>4</v>
      </c>
      <c r="B357" s="24" t="n">
        <v>46113</v>
      </c>
      <c r="C357" s="3" t="s">
        <v>586</v>
      </c>
      <c r="D357" s="3" t="s">
        <v>219</v>
      </c>
      <c r="E357" s="3" t="n">
        <f aca="false">COUNTIF('NF x Centro de Custo'!$C$5:$C$1270,$C357)</f>
        <v>1</v>
      </c>
      <c r="F357" s="15" t="n">
        <f aca="false">SUMIFS('NF x Centro de Custo'!$F$5:$F$1270,'NF x Centro de Custo'!$C$5:$C$1270,$C357)</f>
        <v>28334.52</v>
      </c>
      <c r="G357" s="15" t="n">
        <f aca="false">SUMIFS('NF x Centro de Custo'!$G$5:$G$1270,'NF x Centro de Custo'!$C$5:$C$1270,$C357)</f>
        <v>0</v>
      </c>
      <c r="H357" s="15" t="n">
        <f aca="false">F357+G357</f>
        <v>28334.52</v>
      </c>
      <c r="I357" s="25" t="n">
        <v>28334.52</v>
      </c>
      <c r="J357" s="15" t="n">
        <f aca="false">ROUND(H357-I357,2)</f>
        <v>0</v>
      </c>
      <c r="K357" s="26" t="str">
        <f aca="false">IF(ABS(J357)&lt;0.05,"OK","Verificar")</f>
        <v>OK</v>
      </c>
    </row>
    <row r="358" customFormat="false" ht="15" hidden="false" customHeight="false" outlineLevel="0" collapsed="false">
      <c r="A358" s="3" t="n">
        <v>4</v>
      </c>
      <c r="B358" s="24" t="n">
        <v>46113</v>
      </c>
      <c r="C358" s="3" t="s">
        <v>587</v>
      </c>
      <c r="D358" s="3" t="s">
        <v>219</v>
      </c>
      <c r="E358" s="3" t="n">
        <f aca="false">COUNTIF('NF x Centro de Custo'!$C$5:$C$1270,$C358)</f>
        <v>1</v>
      </c>
      <c r="F358" s="15" t="n">
        <f aca="false">SUMIFS('NF x Centro de Custo'!$F$5:$F$1270,'NF x Centro de Custo'!$C$5:$C$1270,$C358)</f>
        <v>12504.22</v>
      </c>
      <c r="G358" s="15" t="n">
        <f aca="false">SUMIFS('NF x Centro de Custo'!$G$5:$G$1270,'NF x Centro de Custo'!$C$5:$C$1270,$C358)</f>
        <v>0</v>
      </c>
      <c r="H358" s="15" t="n">
        <f aca="false">F358+G358</f>
        <v>12504.22</v>
      </c>
      <c r="I358" s="25" t="n">
        <v>12504.22</v>
      </c>
      <c r="J358" s="15" t="n">
        <f aca="false">ROUND(H358-I358,2)</f>
        <v>0</v>
      </c>
      <c r="K358" s="26" t="str">
        <f aca="false">IF(ABS(J358)&lt;0.05,"OK","Verificar")</f>
        <v>OK</v>
      </c>
    </row>
    <row r="359" customFormat="false" ht="15" hidden="false" customHeight="false" outlineLevel="0" collapsed="false">
      <c r="A359" s="3" t="n">
        <v>4</v>
      </c>
      <c r="B359" s="24" t="n">
        <v>46113</v>
      </c>
      <c r="C359" s="3" t="s">
        <v>588</v>
      </c>
      <c r="D359" s="3" t="s">
        <v>228</v>
      </c>
      <c r="E359" s="3" t="n">
        <f aca="false">COUNTIF('NF x Centro de Custo'!$C$5:$C$1270,$C359)</f>
        <v>1</v>
      </c>
      <c r="F359" s="15" t="n">
        <f aca="false">SUMIFS('NF x Centro de Custo'!$F$5:$F$1270,'NF x Centro de Custo'!$C$5:$C$1270,$C359)</f>
        <v>14498.5</v>
      </c>
      <c r="G359" s="15" t="n">
        <f aca="false">SUMIFS('NF x Centro de Custo'!$G$5:$G$1270,'NF x Centro de Custo'!$C$5:$C$1270,$C359)</f>
        <v>0</v>
      </c>
      <c r="H359" s="15" t="n">
        <f aca="false">F359+G359</f>
        <v>14498.5</v>
      </c>
      <c r="I359" s="25" t="n">
        <v>14498.5</v>
      </c>
      <c r="J359" s="15" t="n">
        <f aca="false">ROUND(H359-I359,2)</f>
        <v>0</v>
      </c>
      <c r="K359" s="26" t="str">
        <f aca="false">IF(ABS(J359)&lt;0.05,"OK","Verificar")</f>
        <v>OK</v>
      </c>
    </row>
    <row r="360" customFormat="false" ht="15" hidden="false" customHeight="false" outlineLevel="0" collapsed="false">
      <c r="A360" s="3" t="n">
        <v>4</v>
      </c>
      <c r="B360" s="24" t="n">
        <v>46113</v>
      </c>
      <c r="C360" s="3" t="s">
        <v>589</v>
      </c>
      <c r="D360" s="3" t="s">
        <v>228</v>
      </c>
      <c r="E360" s="3" t="n">
        <f aca="false">COUNTIF('NF x Centro de Custo'!$C$5:$C$1270,$C360)</f>
        <v>1</v>
      </c>
      <c r="F360" s="15" t="n">
        <f aca="false">SUMIFS('NF x Centro de Custo'!$F$5:$F$1270,'NF x Centro de Custo'!$C$5:$C$1270,$C360)</f>
        <v>5129.15</v>
      </c>
      <c r="G360" s="15" t="n">
        <f aca="false">SUMIFS('NF x Centro de Custo'!$G$5:$G$1270,'NF x Centro de Custo'!$C$5:$C$1270,$C360)</f>
        <v>0</v>
      </c>
      <c r="H360" s="15" t="n">
        <f aca="false">F360+G360</f>
        <v>5129.15</v>
      </c>
      <c r="I360" s="25" t="n">
        <v>5129.15</v>
      </c>
      <c r="J360" s="15" t="n">
        <f aca="false">ROUND(H360-I360,2)</f>
        <v>0</v>
      </c>
      <c r="K360" s="26" t="str">
        <f aca="false">IF(ABS(J360)&lt;0.05,"OK","Verificar")</f>
        <v>OK</v>
      </c>
    </row>
    <row r="361" customFormat="false" ht="15" hidden="false" customHeight="false" outlineLevel="0" collapsed="false">
      <c r="A361" s="3" t="n">
        <v>4</v>
      </c>
      <c r="B361" s="24" t="n">
        <v>46113</v>
      </c>
      <c r="C361" s="3" t="s">
        <v>590</v>
      </c>
      <c r="D361" s="3" t="s">
        <v>228</v>
      </c>
      <c r="E361" s="3" t="n">
        <f aca="false">COUNTIF('NF x Centro de Custo'!$C$5:$C$1270,$C361)</f>
        <v>1</v>
      </c>
      <c r="F361" s="15" t="n">
        <f aca="false">SUMIFS('NF x Centro de Custo'!$F$5:$F$1270,'NF x Centro de Custo'!$C$5:$C$1270,$C361)</f>
        <v>4175.13</v>
      </c>
      <c r="G361" s="15" t="n">
        <f aca="false">SUMIFS('NF x Centro de Custo'!$G$5:$G$1270,'NF x Centro de Custo'!$C$5:$C$1270,$C361)</f>
        <v>0</v>
      </c>
      <c r="H361" s="15" t="n">
        <f aca="false">F361+G361</f>
        <v>4175.13</v>
      </c>
      <c r="I361" s="25" t="n">
        <v>4175.13</v>
      </c>
      <c r="J361" s="15" t="n">
        <f aca="false">ROUND(H361-I361,2)</f>
        <v>0</v>
      </c>
      <c r="K361" s="26" t="str">
        <f aca="false">IF(ABS(J361)&lt;0.05,"OK","Verificar")</f>
        <v>OK</v>
      </c>
    </row>
    <row r="362" customFormat="false" ht="15" hidden="false" customHeight="false" outlineLevel="0" collapsed="false">
      <c r="A362" s="3" t="n">
        <v>4</v>
      </c>
      <c r="B362" s="24" t="n">
        <v>46113</v>
      </c>
      <c r="C362" s="3" t="s">
        <v>591</v>
      </c>
      <c r="D362" s="3" t="s">
        <v>231</v>
      </c>
      <c r="E362" s="3" t="n">
        <f aca="false">COUNTIF('NF x Centro de Custo'!$C$5:$C$1270,$C362)</f>
        <v>2</v>
      </c>
      <c r="F362" s="15" t="n">
        <f aca="false">SUMIFS('NF x Centro de Custo'!$F$5:$F$1270,'NF x Centro de Custo'!$C$5:$C$1270,$C362)</f>
        <v>6393.36</v>
      </c>
      <c r="G362" s="15" t="n">
        <f aca="false">SUMIFS('NF x Centro de Custo'!$G$5:$G$1270,'NF x Centro de Custo'!$C$5:$C$1270,$C362)</f>
        <v>0</v>
      </c>
      <c r="H362" s="15" t="n">
        <f aca="false">F362+G362</f>
        <v>6393.36</v>
      </c>
      <c r="I362" s="25" t="n">
        <v>6393.36</v>
      </c>
      <c r="J362" s="15" t="n">
        <f aca="false">ROUND(H362-I362,2)</f>
        <v>0</v>
      </c>
      <c r="K362" s="26" t="str">
        <f aca="false">IF(ABS(J362)&lt;0.05,"OK","Verificar")</f>
        <v>OK</v>
      </c>
    </row>
    <row r="363" customFormat="false" ht="15" hidden="false" customHeight="false" outlineLevel="0" collapsed="false">
      <c r="A363" s="3" t="n">
        <v>4</v>
      </c>
      <c r="B363" s="24" t="n">
        <v>46113</v>
      </c>
      <c r="C363" s="3" t="s">
        <v>592</v>
      </c>
      <c r="D363" s="3" t="s">
        <v>231</v>
      </c>
      <c r="E363" s="3" t="n">
        <f aca="false">COUNTIF('NF x Centro de Custo'!$C$5:$C$1270,$C363)</f>
        <v>1</v>
      </c>
      <c r="F363" s="15" t="n">
        <f aca="false">SUMIFS('NF x Centro de Custo'!$F$5:$F$1270,'NF x Centro de Custo'!$C$5:$C$1270,$C363)</f>
        <v>8096.95</v>
      </c>
      <c r="G363" s="15" t="n">
        <f aca="false">SUMIFS('NF x Centro de Custo'!$G$5:$G$1270,'NF x Centro de Custo'!$C$5:$C$1270,$C363)</f>
        <v>0</v>
      </c>
      <c r="H363" s="15" t="n">
        <f aca="false">F363+G363</f>
        <v>8096.95</v>
      </c>
      <c r="I363" s="25" t="n">
        <v>8096.95</v>
      </c>
      <c r="J363" s="15" t="n">
        <f aca="false">ROUND(H363-I363,2)</f>
        <v>0</v>
      </c>
      <c r="K363" s="26" t="str">
        <f aca="false">IF(ABS(J363)&lt;0.05,"OK","Verificar")</f>
        <v>OK</v>
      </c>
    </row>
    <row r="364" customFormat="false" ht="15" hidden="false" customHeight="false" outlineLevel="0" collapsed="false">
      <c r="A364" s="3" t="n">
        <v>4</v>
      </c>
      <c r="B364" s="24" t="n">
        <v>46113</v>
      </c>
      <c r="C364" s="3" t="s">
        <v>593</v>
      </c>
      <c r="D364" s="3" t="s">
        <v>234</v>
      </c>
      <c r="E364" s="3" t="n">
        <f aca="false">COUNTIF('NF x Centro de Custo'!$C$5:$C$1270,$C364)</f>
        <v>1</v>
      </c>
      <c r="F364" s="15" t="n">
        <f aca="false">SUMIFS('NF x Centro de Custo'!$F$5:$F$1270,'NF x Centro de Custo'!$C$5:$C$1270,$C364)</f>
        <v>1841</v>
      </c>
      <c r="G364" s="15" t="n">
        <f aca="false">SUMIFS('NF x Centro de Custo'!$G$5:$G$1270,'NF x Centro de Custo'!$C$5:$C$1270,$C364)</f>
        <v>0</v>
      </c>
      <c r="H364" s="15" t="n">
        <f aca="false">F364+G364</f>
        <v>1841</v>
      </c>
      <c r="I364" s="25" t="n">
        <v>1841</v>
      </c>
      <c r="J364" s="15" t="n">
        <f aca="false">ROUND(H364-I364,2)</f>
        <v>0</v>
      </c>
      <c r="K364" s="26" t="str">
        <f aca="false">IF(ABS(J364)&lt;0.05,"OK","Verificar")</f>
        <v>OK</v>
      </c>
    </row>
    <row r="365" customFormat="false" ht="15" hidden="false" customHeight="false" outlineLevel="0" collapsed="false">
      <c r="A365" s="3" t="n">
        <v>4</v>
      </c>
      <c r="B365" s="24" t="n">
        <v>46113</v>
      </c>
      <c r="C365" s="3" t="s">
        <v>594</v>
      </c>
      <c r="D365" s="3" t="s">
        <v>234</v>
      </c>
      <c r="E365" s="3" t="n">
        <f aca="false">COUNTIF('NF x Centro de Custo'!$C$5:$C$1270,$C365)</f>
        <v>1</v>
      </c>
      <c r="F365" s="15" t="n">
        <f aca="false">SUMIFS('NF x Centro de Custo'!$F$5:$F$1270,'NF x Centro de Custo'!$C$5:$C$1270,$C365)</f>
        <v>3909.62</v>
      </c>
      <c r="G365" s="15" t="n">
        <f aca="false">SUMIFS('NF x Centro de Custo'!$G$5:$G$1270,'NF x Centro de Custo'!$C$5:$C$1270,$C365)</f>
        <v>0</v>
      </c>
      <c r="H365" s="15" t="n">
        <f aca="false">F365+G365</f>
        <v>3909.62</v>
      </c>
      <c r="I365" s="25" t="n">
        <v>3909.62</v>
      </c>
      <c r="J365" s="15" t="n">
        <f aca="false">ROUND(H365-I365,2)</f>
        <v>0</v>
      </c>
      <c r="K365" s="26" t="str">
        <f aca="false">IF(ABS(J365)&lt;0.05,"OK","Verificar")</f>
        <v>OK</v>
      </c>
    </row>
    <row r="366" customFormat="false" ht="15" hidden="false" customHeight="false" outlineLevel="0" collapsed="false">
      <c r="A366" s="3" t="n">
        <v>4</v>
      </c>
      <c r="B366" s="24" t="n">
        <v>46113</v>
      </c>
      <c r="C366" s="3" t="s">
        <v>595</v>
      </c>
      <c r="D366" s="3" t="s">
        <v>224</v>
      </c>
      <c r="E366" s="3" t="n">
        <f aca="false">COUNTIF('NF x Centro de Custo'!$C$5:$C$1270,$C366)</f>
        <v>1</v>
      </c>
      <c r="F366" s="15" t="n">
        <f aca="false">SUMIFS('NF x Centro de Custo'!$F$5:$F$1270,'NF x Centro de Custo'!$C$5:$C$1270,$C366)</f>
        <v>1046.9</v>
      </c>
      <c r="G366" s="15" t="n">
        <f aca="false">SUMIFS('NF x Centro de Custo'!$G$5:$G$1270,'NF x Centro de Custo'!$C$5:$C$1270,$C366)</f>
        <v>0</v>
      </c>
      <c r="H366" s="15" t="n">
        <f aca="false">F366+G366</f>
        <v>1046.9</v>
      </c>
      <c r="I366" s="25" t="n">
        <v>1046.9</v>
      </c>
      <c r="J366" s="15" t="n">
        <f aca="false">ROUND(H366-I366,2)</f>
        <v>0</v>
      </c>
      <c r="K366" s="26" t="str">
        <f aca="false">IF(ABS(J366)&lt;0.05,"OK","Verificar")</f>
        <v>OK</v>
      </c>
    </row>
    <row r="367" customFormat="false" ht="15" hidden="false" customHeight="false" outlineLevel="0" collapsed="false">
      <c r="A367" s="3" t="n">
        <v>4</v>
      </c>
      <c r="B367" s="24" t="n">
        <v>46113</v>
      </c>
      <c r="C367" s="3" t="s">
        <v>596</v>
      </c>
      <c r="D367" s="3" t="s">
        <v>224</v>
      </c>
      <c r="E367" s="3" t="n">
        <f aca="false">COUNTIF('NF x Centro de Custo'!$C$5:$C$1270,$C367)</f>
        <v>1</v>
      </c>
      <c r="F367" s="15" t="n">
        <f aca="false">SUMIFS('NF x Centro de Custo'!$F$5:$F$1270,'NF x Centro de Custo'!$C$5:$C$1270,$C367)</f>
        <v>5006.51</v>
      </c>
      <c r="G367" s="15" t="n">
        <f aca="false">SUMIFS('NF x Centro de Custo'!$G$5:$G$1270,'NF x Centro de Custo'!$C$5:$C$1270,$C367)</f>
        <v>0</v>
      </c>
      <c r="H367" s="15" t="n">
        <f aca="false">F367+G367</f>
        <v>5006.51</v>
      </c>
      <c r="I367" s="25" t="n">
        <v>5006.51</v>
      </c>
      <c r="J367" s="15" t="n">
        <f aca="false">ROUND(H367-I367,2)</f>
        <v>0</v>
      </c>
      <c r="K367" s="26" t="str">
        <f aca="false">IF(ABS(J367)&lt;0.05,"OK","Verificar")</f>
        <v>OK</v>
      </c>
    </row>
    <row r="368" customFormat="false" ht="15" hidden="false" customHeight="false" outlineLevel="0" collapsed="false">
      <c r="A368" s="3" t="n">
        <v>4</v>
      </c>
      <c r="B368" s="24" t="n">
        <v>46113</v>
      </c>
      <c r="C368" s="3" t="s">
        <v>597</v>
      </c>
      <c r="D368" s="3" t="s">
        <v>224</v>
      </c>
      <c r="E368" s="3" t="n">
        <f aca="false">COUNTIF('NF x Centro de Custo'!$C$5:$C$1270,$C368)</f>
        <v>1</v>
      </c>
      <c r="F368" s="15" t="n">
        <f aca="false">SUMIFS('NF x Centro de Custo'!$F$5:$F$1270,'NF x Centro de Custo'!$C$5:$C$1270,$C368)</f>
        <v>1402.15</v>
      </c>
      <c r="G368" s="15" t="n">
        <f aca="false">SUMIFS('NF x Centro de Custo'!$G$5:$G$1270,'NF x Centro de Custo'!$C$5:$C$1270,$C368)</f>
        <v>0</v>
      </c>
      <c r="H368" s="15" t="n">
        <f aca="false">F368+G368</f>
        <v>1402.15</v>
      </c>
      <c r="I368" s="25" t="n">
        <v>1402.15</v>
      </c>
      <c r="J368" s="15" t="n">
        <f aca="false">ROUND(H368-I368,2)</f>
        <v>0</v>
      </c>
      <c r="K368" s="26" t="str">
        <f aca="false">IF(ABS(J368)&lt;0.05,"OK","Verificar")</f>
        <v>OK</v>
      </c>
    </row>
    <row r="369" customFormat="false" ht="15" hidden="false" customHeight="false" outlineLevel="0" collapsed="false">
      <c r="A369" s="3" t="n">
        <v>4</v>
      </c>
      <c r="B369" s="24" t="n">
        <v>46113</v>
      </c>
      <c r="C369" s="3" t="s">
        <v>598</v>
      </c>
      <c r="D369" s="3" t="s">
        <v>226</v>
      </c>
      <c r="E369" s="3" t="n">
        <f aca="false">COUNTIF('NF x Centro de Custo'!$C$5:$C$1270,$C369)</f>
        <v>1</v>
      </c>
      <c r="F369" s="15" t="n">
        <f aca="false">SUMIFS('NF x Centro de Custo'!$F$5:$F$1270,'NF x Centro de Custo'!$C$5:$C$1270,$C369)</f>
        <v>5350.37</v>
      </c>
      <c r="G369" s="15" t="n">
        <f aca="false">SUMIFS('NF x Centro de Custo'!$G$5:$G$1270,'NF x Centro de Custo'!$C$5:$C$1270,$C369)</f>
        <v>0</v>
      </c>
      <c r="H369" s="15" t="n">
        <f aca="false">F369+G369</f>
        <v>5350.37</v>
      </c>
      <c r="I369" s="25" t="n">
        <v>5350.37</v>
      </c>
      <c r="J369" s="15" t="n">
        <f aca="false">ROUND(H369-I369,2)</f>
        <v>0</v>
      </c>
      <c r="K369" s="26" t="str">
        <f aca="false">IF(ABS(J369)&lt;0.05,"OK","Verificar")</f>
        <v>OK</v>
      </c>
    </row>
    <row r="370" customFormat="false" ht="15" hidden="false" customHeight="false" outlineLevel="0" collapsed="false">
      <c r="A370" s="3" t="n">
        <v>4</v>
      </c>
      <c r="B370" s="24" t="n">
        <v>46113</v>
      </c>
      <c r="C370" s="3" t="s">
        <v>599</v>
      </c>
      <c r="D370" s="3" t="s">
        <v>226</v>
      </c>
      <c r="E370" s="3" t="n">
        <f aca="false">COUNTIF('NF x Centro de Custo'!$C$5:$C$1270,$C370)</f>
        <v>5</v>
      </c>
      <c r="F370" s="15" t="n">
        <f aca="false">SUMIFS('NF x Centro de Custo'!$F$5:$F$1270,'NF x Centro de Custo'!$C$5:$C$1270,$C370)</f>
        <v>21199.28</v>
      </c>
      <c r="G370" s="15" t="n">
        <f aca="false">SUMIFS('NF x Centro de Custo'!$G$5:$G$1270,'NF x Centro de Custo'!$C$5:$C$1270,$C370)</f>
        <v>0</v>
      </c>
      <c r="H370" s="15" t="n">
        <f aca="false">F370+G370</f>
        <v>21199.28</v>
      </c>
      <c r="I370" s="25" t="n">
        <v>21199.28</v>
      </c>
      <c r="J370" s="15" t="n">
        <f aca="false">ROUND(H370-I370,2)</f>
        <v>0</v>
      </c>
      <c r="K370" s="26" t="str">
        <f aca="false">IF(ABS(J370)&lt;0.05,"OK","Verificar")</f>
        <v>OK</v>
      </c>
    </row>
    <row r="371" customFormat="false" ht="15" hidden="false" customHeight="false" outlineLevel="0" collapsed="false">
      <c r="A371" s="3" t="n">
        <v>4</v>
      </c>
      <c r="B371" s="24" t="n">
        <v>46113</v>
      </c>
      <c r="C371" s="3" t="s">
        <v>600</v>
      </c>
      <c r="D371" s="3" t="s">
        <v>226</v>
      </c>
      <c r="E371" s="3" t="n">
        <f aca="false">COUNTIF('NF x Centro de Custo'!$C$5:$C$1270,$C371)</f>
        <v>2</v>
      </c>
      <c r="F371" s="15" t="n">
        <f aca="false">SUMIFS('NF x Centro de Custo'!$F$5:$F$1270,'NF x Centro de Custo'!$C$5:$C$1270,$C371)</f>
        <v>5644.64</v>
      </c>
      <c r="G371" s="15" t="n">
        <f aca="false">SUMIFS('NF x Centro de Custo'!$G$5:$G$1270,'NF x Centro de Custo'!$C$5:$C$1270,$C371)</f>
        <v>0</v>
      </c>
      <c r="H371" s="15" t="n">
        <f aca="false">F371+G371</f>
        <v>5644.64</v>
      </c>
      <c r="I371" s="25" t="n">
        <v>5644.64</v>
      </c>
      <c r="J371" s="15" t="n">
        <f aca="false">ROUND(H371-I371,2)</f>
        <v>0</v>
      </c>
      <c r="K371" s="26" t="str">
        <f aca="false">IF(ABS(J371)&lt;0.05,"OK","Verificar")</f>
        <v>OK</v>
      </c>
    </row>
    <row r="372" customFormat="false" ht="15" hidden="false" customHeight="false" outlineLevel="0" collapsed="false">
      <c r="A372" s="3" t="n">
        <v>4</v>
      </c>
      <c r="B372" s="24" t="n">
        <v>46113</v>
      </c>
      <c r="C372" s="3" t="s">
        <v>601</v>
      </c>
      <c r="D372" s="3" t="s">
        <v>243</v>
      </c>
      <c r="E372" s="3" t="n">
        <f aca="false">COUNTIF('NF x Centro de Custo'!$C$5:$C$1270,$C372)</f>
        <v>1</v>
      </c>
      <c r="F372" s="15" t="n">
        <f aca="false">SUMIFS('NF x Centro de Custo'!$F$5:$F$1270,'NF x Centro de Custo'!$C$5:$C$1270,$C372)</f>
        <v>2137.8</v>
      </c>
      <c r="G372" s="15" t="n">
        <f aca="false">SUMIFS('NF x Centro de Custo'!$G$5:$G$1270,'NF x Centro de Custo'!$C$5:$C$1270,$C372)</f>
        <v>0</v>
      </c>
      <c r="H372" s="15" t="n">
        <f aca="false">F372+G372</f>
        <v>2137.8</v>
      </c>
      <c r="I372" s="25" t="n">
        <v>2137.8</v>
      </c>
      <c r="J372" s="15" t="n">
        <f aca="false">ROUND(H372-I372,2)</f>
        <v>0</v>
      </c>
      <c r="K372" s="26" t="str">
        <f aca="false">IF(ABS(J372)&lt;0.05,"OK","Verificar")</f>
        <v>OK</v>
      </c>
    </row>
    <row r="373" customFormat="false" ht="15" hidden="false" customHeight="false" outlineLevel="0" collapsed="false">
      <c r="A373" s="3" t="n">
        <v>4</v>
      </c>
      <c r="B373" s="24" t="n">
        <v>46113</v>
      </c>
      <c r="C373" s="3" t="s">
        <v>602</v>
      </c>
      <c r="D373" s="3" t="s">
        <v>243</v>
      </c>
      <c r="E373" s="3" t="n">
        <f aca="false">COUNTIF('NF x Centro de Custo'!$C$5:$C$1270,$C373)</f>
        <v>1</v>
      </c>
      <c r="F373" s="15" t="n">
        <f aca="false">SUMIFS('NF x Centro de Custo'!$F$5:$F$1270,'NF x Centro de Custo'!$C$5:$C$1270,$C373)</f>
        <v>3845.36</v>
      </c>
      <c r="G373" s="15" t="n">
        <f aca="false">SUMIFS('NF x Centro de Custo'!$G$5:$G$1270,'NF x Centro de Custo'!$C$5:$C$1270,$C373)</f>
        <v>0</v>
      </c>
      <c r="H373" s="15" t="n">
        <f aca="false">F373+G373</f>
        <v>3845.36</v>
      </c>
      <c r="I373" s="25" t="n">
        <v>3845.36</v>
      </c>
      <c r="J373" s="15" t="n">
        <f aca="false">ROUND(H373-I373,2)</f>
        <v>0</v>
      </c>
      <c r="K373" s="26" t="str">
        <f aca="false">IF(ABS(J373)&lt;0.05,"OK","Verificar")</f>
        <v>OK</v>
      </c>
    </row>
    <row r="374" customFormat="false" ht="15" hidden="false" customHeight="false" outlineLevel="0" collapsed="false">
      <c r="A374" s="3" t="n">
        <v>4</v>
      </c>
      <c r="B374" s="24" t="n">
        <v>46113</v>
      </c>
      <c r="C374" s="3" t="s">
        <v>603</v>
      </c>
      <c r="D374" s="3" t="s">
        <v>246</v>
      </c>
      <c r="E374" s="3" t="n">
        <f aca="false">COUNTIF('NF x Centro de Custo'!$C$5:$C$1270,$C374)</f>
        <v>1</v>
      </c>
      <c r="F374" s="15" t="n">
        <f aca="false">SUMIFS('NF x Centro de Custo'!$F$5:$F$1270,'NF x Centro de Custo'!$C$5:$C$1270,$C374)</f>
        <v>1330.36</v>
      </c>
      <c r="G374" s="15" t="n">
        <f aca="false">SUMIFS('NF x Centro de Custo'!$G$5:$G$1270,'NF x Centro de Custo'!$C$5:$C$1270,$C374)</f>
        <v>0</v>
      </c>
      <c r="H374" s="15" t="n">
        <f aca="false">F374+G374</f>
        <v>1330.36</v>
      </c>
      <c r="I374" s="25" t="n">
        <v>1330.36</v>
      </c>
      <c r="J374" s="15" t="n">
        <f aca="false">ROUND(H374-I374,2)</f>
        <v>0</v>
      </c>
      <c r="K374" s="26" t="str">
        <f aca="false">IF(ABS(J374)&lt;0.05,"OK","Verificar")</f>
        <v>OK</v>
      </c>
    </row>
    <row r="375" customFormat="false" ht="15" hidden="false" customHeight="false" outlineLevel="0" collapsed="false">
      <c r="A375" s="3" t="n">
        <v>4</v>
      </c>
      <c r="B375" s="24" t="n">
        <v>46113</v>
      </c>
      <c r="C375" s="3" t="s">
        <v>604</v>
      </c>
      <c r="D375" s="3" t="s">
        <v>246</v>
      </c>
      <c r="E375" s="3" t="n">
        <f aca="false">COUNTIF('NF x Centro de Custo'!$C$5:$C$1270,$C375)</f>
        <v>1</v>
      </c>
      <c r="F375" s="15" t="n">
        <f aca="false">SUMIFS('NF x Centro de Custo'!$F$5:$F$1270,'NF x Centro de Custo'!$C$5:$C$1270,$C375)</f>
        <v>850.5</v>
      </c>
      <c r="G375" s="15" t="n">
        <f aca="false">SUMIFS('NF x Centro de Custo'!$G$5:$G$1270,'NF x Centro de Custo'!$C$5:$C$1270,$C375)</f>
        <v>0</v>
      </c>
      <c r="H375" s="15" t="n">
        <f aca="false">F375+G375</f>
        <v>850.5</v>
      </c>
      <c r="I375" s="25" t="n">
        <v>850.5</v>
      </c>
      <c r="J375" s="15" t="n">
        <f aca="false">ROUND(H375-I375,2)</f>
        <v>0</v>
      </c>
      <c r="K375" s="26" t="str">
        <f aca="false">IF(ABS(J375)&lt;0.05,"OK","Verificar")</f>
        <v>OK</v>
      </c>
    </row>
    <row r="376" customFormat="false" ht="15" hidden="false" customHeight="false" outlineLevel="0" collapsed="false">
      <c r="A376" s="3" t="n">
        <v>4</v>
      </c>
      <c r="B376" s="24" t="n">
        <v>46113</v>
      </c>
      <c r="C376" s="3" t="s">
        <v>605</v>
      </c>
      <c r="D376" s="3" t="s">
        <v>249</v>
      </c>
      <c r="E376" s="3" t="n">
        <f aca="false">COUNTIF('NF x Centro de Custo'!$C$5:$C$1270,$C376)</f>
        <v>1</v>
      </c>
      <c r="F376" s="15" t="n">
        <f aca="false">SUMIFS('NF x Centro de Custo'!$F$5:$F$1270,'NF x Centro de Custo'!$C$5:$C$1270,$C376)</f>
        <v>2007.47</v>
      </c>
      <c r="G376" s="15" t="n">
        <f aca="false">SUMIFS('NF x Centro de Custo'!$G$5:$G$1270,'NF x Centro de Custo'!$C$5:$C$1270,$C376)</f>
        <v>0</v>
      </c>
      <c r="H376" s="15" t="n">
        <f aca="false">F376+G376</f>
        <v>2007.47</v>
      </c>
      <c r="I376" s="25" t="n">
        <v>2007.47</v>
      </c>
      <c r="J376" s="15" t="n">
        <f aca="false">ROUND(H376-I376,2)</f>
        <v>0</v>
      </c>
      <c r="K376" s="26" t="str">
        <f aca="false">IF(ABS(J376)&lt;0.05,"OK","Verificar")</f>
        <v>OK</v>
      </c>
    </row>
    <row r="377" customFormat="false" ht="15" hidden="false" customHeight="false" outlineLevel="0" collapsed="false">
      <c r="A377" s="3" t="n">
        <v>4</v>
      </c>
      <c r="B377" s="24" t="n">
        <v>46113</v>
      </c>
      <c r="C377" s="3" t="s">
        <v>606</v>
      </c>
      <c r="D377" s="3" t="s">
        <v>249</v>
      </c>
      <c r="E377" s="3" t="n">
        <f aca="false">COUNTIF('NF x Centro de Custo'!$C$5:$C$1270,$C377)</f>
        <v>1</v>
      </c>
      <c r="F377" s="15" t="n">
        <f aca="false">SUMIFS('NF x Centro de Custo'!$F$5:$F$1270,'NF x Centro de Custo'!$C$5:$C$1270,$C377)</f>
        <v>830.5</v>
      </c>
      <c r="G377" s="15" t="n">
        <f aca="false">SUMIFS('NF x Centro de Custo'!$G$5:$G$1270,'NF x Centro de Custo'!$C$5:$C$1270,$C377)</f>
        <v>0</v>
      </c>
      <c r="H377" s="15" t="n">
        <f aca="false">F377+G377</f>
        <v>830.5</v>
      </c>
      <c r="I377" s="25" t="n">
        <v>830.5</v>
      </c>
      <c r="J377" s="15" t="n">
        <f aca="false">ROUND(H377-I377,2)</f>
        <v>0</v>
      </c>
      <c r="K377" s="26" t="str">
        <f aca="false">IF(ABS(J377)&lt;0.05,"OK","Verificar")</f>
        <v>OK</v>
      </c>
    </row>
    <row r="378" customFormat="false" ht="15" hidden="false" customHeight="false" outlineLevel="0" collapsed="false">
      <c r="A378" s="3" t="n">
        <v>4</v>
      </c>
      <c r="B378" s="24" t="n">
        <v>46113</v>
      </c>
      <c r="C378" s="3" t="s">
        <v>607</v>
      </c>
      <c r="D378" s="3" t="s">
        <v>252</v>
      </c>
      <c r="E378" s="3" t="n">
        <f aca="false">COUNTIF('NF x Centro de Custo'!$C$5:$C$1270,$C378)</f>
        <v>1</v>
      </c>
      <c r="F378" s="15" t="n">
        <f aca="false">SUMIFS('NF x Centro de Custo'!$F$5:$F$1270,'NF x Centro de Custo'!$C$5:$C$1270,$C378)</f>
        <v>1389.63</v>
      </c>
      <c r="G378" s="15" t="n">
        <f aca="false">SUMIFS('NF x Centro de Custo'!$G$5:$G$1270,'NF x Centro de Custo'!$C$5:$C$1270,$C378)</f>
        <v>0</v>
      </c>
      <c r="H378" s="15" t="n">
        <f aca="false">F378+G378</f>
        <v>1389.63</v>
      </c>
      <c r="I378" s="25" t="n">
        <v>1389.63</v>
      </c>
      <c r="J378" s="15" t="n">
        <f aca="false">ROUND(H378-I378,2)</f>
        <v>0</v>
      </c>
      <c r="K378" s="26" t="str">
        <f aca="false">IF(ABS(J378)&lt;0.05,"OK","Verificar")</f>
        <v>OK</v>
      </c>
    </row>
    <row r="379" customFormat="false" ht="15" hidden="false" customHeight="false" outlineLevel="0" collapsed="false">
      <c r="A379" s="3" t="n">
        <v>4</v>
      </c>
      <c r="B379" s="24" t="n">
        <v>46113</v>
      </c>
      <c r="C379" s="3" t="s">
        <v>608</v>
      </c>
      <c r="D379" s="3" t="s">
        <v>252</v>
      </c>
      <c r="E379" s="3" t="n">
        <f aca="false">COUNTIF('NF x Centro de Custo'!$C$5:$C$1270,$C379)</f>
        <v>1</v>
      </c>
      <c r="F379" s="15" t="n">
        <f aca="false">SUMIFS('NF x Centro de Custo'!$F$5:$F$1270,'NF x Centro de Custo'!$C$5:$C$1270,$C379)</f>
        <v>1067.16</v>
      </c>
      <c r="G379" s="15" t="n">
        <f aca="false">SUMIFS('NF x Centro de Custo'!$G$5:$G$1270,'NF x Centro de Custo'!$C$5:$C$1270,$C379)</f>
        <v>0</v>
      </c>
      <c r="H379" s="15" t="n">
        <f aca="false">F379+G379</f>
        <v>1067.16</v>
      </c>
      <c r="I379" s="25" t="n">
        <v>1067.16</v>
      </c>
      <c r="J379" s="15" t="n">
        <f aca="false">ROUND(H379-I379,2)</f>
        <v>0</v>
      </c>
      <c r="K379" s="26" t="str">
        <f aca="false">IF(ABS(J379)&lt;0.05,"OK","Verificar")</f>
        <v>OK</v>
      </c>
    </row>
    <row r="380" customFormat="false" ht="15" hidden="false" customHeight="false" outlineLevel="0" collapsed="false">
      <c r="A380" s="3" t="n">
        <v>4</v>
      </c>
      <c r="B380" s="24" t="n">
        <v>46113</v>
      </c>
      <c r="C380" s="3" t="s">
        <v>609</v>
      </c>
      <c r="D380" s="3" t="s">
        <v>255</v>
      </c>
      <c r="E380" s="3" t="n">
        <f aca="false">COUNTIF('NF x Centro de Custo'!$C$5:$C$1270,$C380)</f>
        <v>1</v>
      </c>
      <c r="F380" s="15" t="n">
        <f aca="false">SUMIFS('NF x Centro de Custo'!$F$5:$F$1270,'NF x Centro de Custo'!$C$5:$C$1270,$C380)</f>
        <v>868.5</v>
      </c>
      <c r="G380" s="15" t="n">
        <f aca="false">SUMIFS('NF x Centro de Custo'!$G$5:$G$1270,'NF x Centro de Custo'!$C$5:$C$1270,$C380)</f>
        <v>0</v>
      </c>
      <c r="H380" s="15" t="n">
        <f aca="false">F380+G380</f>
        <v>868.5</v>
      </c>
      <c r="I380" s="25" t="n">
        <v>868.5</v>
      </c>
      <c r="J380" s="15" t="n">
        <f aca="false">ROUND(H380-I380,2)</f>
        <v>0</v>
      </c>
      <c r="K380" s="26" t="str">
        <f aca="false">IF(ABS(J380)&lt;0.05,"OK","Verificar")</f>
        <v>OK</v>
      </c>
    </row>
    <row r="381" customFormat="false" ht="15" hidden="false" customHeight="false" outlineLevel="0" collapsed="false">
      <c r="A381" s="3" t="n">
        <v>4</v>
      </c>
      <c r="B381" s="24" t="n">
        <v>46113</v>
      </c>
      <c r="C381" s="3" t="s">
        <v>610</v>
      </c>
      <c r="D381" s="3" t="s">
        <v>255</v>
      </c>
      <c r="E381" s="3" t="n">
        <f aca="false">COUNTIF('NF x Centro de Custo'!$C$5:$C$1270,$C381)</f>
        <v>1</v>
      </c>
      <c r="F381" s="15" t="n">
        <f aca="false">SUMIFS('NF x Centro de Custo'!$F$5:$F$1270,'NF x Centro de Custo'!$C$5:$C$1270,$C381)</f>
        <v>2238.43</v>
      </c>
      <c r="G381" s="15" t="n">
        <f aca="false">SUMIFS('NF x Centro de Custo'!$G$5:$G$1270,'NF x Centro de Custo'!$C$5:$C$1270,$C381)</f>
        <v>0</v>
      </c>
      <c r="H381" s="15" t="n">
        <f aca="false">F381+G381</f>
        <v>2238.43</v>
      </c>
      <c r="I381" s="25" t="n">
        <v>2238.43</v>
      </c>
      <c r="J381" s="15" t="n">
        <f aca="false">ROUND(H381-I381,2)</f>
        <v>0</v>
      </c>
      <c r="K381" s="26" t="str">
        <f aca="false">IF(ABS(J381)&lt;0.05,"OK","Verificar")</f>
        <v>OK</v>
      </c>
    </row>
    <row r="382" customFormat="false" ht="15" hidden="false" customHeight="false" outlineLevel="0" collapsed="false">
      <c r="A382" s="3" t="n">
        <v>4</v>
      </c>
      <c r="B382" s="24" t="n">
        <v>46113</v>
      </c>
      <c r="C382" s="3" t="s">
        <v>611</v>
      </c>
      <c r="D382" s="3" t="s">
        <v>258</v>
      </c>
      <c r="E382" s="3" t="n">
        <f aca="false">COUNTIF('NF x Centro de Custo'!$C$5:$C$1270,$C382)</f>
        <v>1</v>
      </c>
      <c r="F382" s="15" t="n">
        <f aca="false">SUMIFS('NF x Centro de Custo'!$F$5:$F$1270,'NF x Centro de Custo'!$C$5:$C$1270,$C382)</f>
        <v>1018.5</v>
      </c>
      <c r="G382" s="15" t="n">
        <f aca="false">SUMIFS('NF x Centro de Custo'!$G$5:$G$1270,'NF x Centro de Custo'!$C$5:$C$1270,$C382)</f>
        <v>0</v>
      </c>
      <c r="H382" s="15" t="n">
        <f aca="false">F382+G382</f>
        <v>1018.5</v>
      </c>
      <c r="I382" s="25" t="n">
        <v>1018.5</v>
      </c>
      <c r="J382" s="15" t="n">
        <f aca="false">ROUND(H382-I382,2)</f>
        <v>0</v>
      </c>
      <c r="K382" s="26" t="str">
        <f aca="false">IF(ABS(J382)&lt;0.05,"OK","Verificar")</f>
        <v>OK</v>
      </c>
    </row>
    <row r="383" customFormat="false" ht="15" hidden="false" customHeight="false" outlineLevel="0" collapsed="false">
      <c r="A383" s="3" t="n">
        <v>4</v>
      </c>
      <c r="B383" s="24" t="n">
        <v>46113</v>
      </c>
      <c r="C383" s="3" t="s">
        <v>612</v>
      </c>
      <c r="D383" s="3" t="s">
        <v>261</v>
      </c>
      <c r="E383" s="3" t="n">
        <f aca="false">COUNTIF('NF x Centro de Custo'!$C$5:$C$1270,$C383)</f>
        <v>1</v>
      </c>
      <c r="F383" s="15" t="n">
        <f aca="false">SUMIFS('NF x Centro de Custo'!$F$5:$F$1270,'NF x Centro de Custo'!$C$5:$C$1270,$C383)</f>
        <v>1109.03</v>
      </c>
      <c r="G383" s="15" t="n">
        <f aca="false">SUMIFS('NF x Centro de Custo'!$G$5:$G$1270,'NF x Centro de Custo'!$C$5:$C$1270,$C383)</f>
        <v>0</v>
      </c>
      <c r="H383" s="15" t="n">
        <f aca="false">F383+G383</f>
        <v>1109.03</v>
      </c>
      <c r="I383" s="25" t="n">
        <v>1109.03</v>
      </c>
      <c r="J383" s="15" t="n">
        <f aca="false">ROUND(H383-I383,2)</f>
        <v>0</v>
      </c>
      <c r="K383" s="26" t="str">
        <f aca="false">IF(ABS(J383)&lt;0.05,"OK","Verificar")</f>
        <v>OK</v>
      </c>
    </row>
    <row r="384" customFormat="false" ht="15" hidden="false" customHeight="false" outlineLevel="0" collapsed="false">
      <c r="A384" s="3" t="n">
        <v>4</v>
      </c>
      <c r="B384" s="24" t="n">
        <v>46113</v>
      </c>
      <c r="C384" s="3" t="s">
        <v>613</v>
      </c>
      <c r="D384" s="3" t="s">
        <v>261</v>
      </c>
      <c r="E384" s="3" t="n">
        <f aca="false">COUNTIF('NF x Centro de Custo'!$C$5:$C$1270,$C384)</f>
        <v>1</v>
      </c>
      <c r="F384" s="15" t="n">
        <f aca="false">SUMIFS('NF x Centro de Custo'!$F$5:$F$1270,'NF x Centro de Custo'!$C$5:$C$1270,$C384)</f>
        <v>854.5</v>
      </c>
      <c r="G384" s="15" t="n">
        <f aca="false">SUMIFS('NF x Centro de Custo'!$G$5:$G$1270,'NF x Centro de Custo'!$C$5:$C$1270,$C384)</f>
        <v>0</v>
      </c>
      <c r="H384" s="15" t="n">
        <f aca="false">F384+G384</f>
        <v>854.5</v>
      </c>
      <c r="I384" s="25" t="n">
        <v>854.5</v>
      </c>
      <c r="J384" s="15" t="n">
        <f aca="false">ROUND(H384-I384,2)</f>
        <v>0</v>
      </c>
      <c r="K384" s="26" t="str">
        <f aca="false">IF(ABS(J384)&lt;0.05,"OK","Verificar")</f>
        <v>OK</v>
      </c>
    </row>
    <row r="385" customFormat="false" ht="15" hidden="false" customHeight="false" outlineLevel="0" collapsed="false">
      <c r="A385" s="3" t="n">
        <v>4</v>
      </c>
      <c r="B385" s="24" t="n">
        <v>46113</v>
      </c>
      <c r="C385" s="3" t="s">
        <v>614</v>
      </c>
      <c r="D385" s="3" t="s">
        <v>344</v>
      </c>
      <c r="E385" s="3" t="n">
        <f aca="false">COUNTIF('NF x Centro de Custo'!$C$5:$C$1270,$C385)</f>
        <v>1</v>
      </c>
      <c r="F385" s="15" t="n">
        <f aca="false">SUMIFS('NF x Centro de Custo'!$F$5:$F$1270,'NF x Centro de Custo'!$C$5:$C$1270,$C385)</f>
        <v>128.16</v>
      </c>
      <c r="G385" s="15" t="n">
        <f aca="false">SUMIFS('NF x Centro de Custo'!$G$5:$G$1270,'NF x Centro de Custo'!$C$5:$C$1270,$C385)</f>
        <v>0</v>
      </c>
      <c r="H385" s="15" t="n">
        <f aca="false">F385+G385</f>
        <v>128.16</v>
      </c>
      <c r="I385" s="25" t="n">
        <v>128.16</v>
      </c>
      <c r="J385" s="15" t="n">
        <f aca="false">ROUND(H385-I385,2)</f>
        <v>0</v>
      </c>
      <c r="K385" s="26" t="str">
        <f aca="false">IF(ABS(J385)&lt;0.05,"OK","Verificar")</f>
        <v>OK</v>
      </c>
    </row>
    <row r="386" customFormat="false" ht="15" hidden="false" customHeight="false" outlineLevel="0" collapsed="false">
      <c r="A386" s="3" t="n">
        <v>4</v>
      </c>
      <c r="B386" s="24" t="n">
        <v>46113</v>
      </c>
      <c r="C386" s="3" t="s">
        <v>615</v>
      </c>
      <c r="D386" s="3" t="s">
        <v>344</v>
      </c>
      <c r="E386" s="3" t="n">
        <f aca="false">COUNTIF('NF x Centro de Custo'!$C$5:$C$1270,$C386)</f>
        <v>1</v>
      </c>
      <c r="F386" s="15" t="n">
        <f aca="false">SUMIFS('NF x Centro de Custo'!$F$5:$F$1270,'NF x Centro de Custo'!$C$5:$C$1270,$C386)</f>
        <v>914.5</v>
      </c>
      <c r="G386" s="15" t="n">
        <f aca="false">SUMIFS('NF x Centro de Custo'!$G$5:$G$1270,'NF x Centro de Custo'!$C$5:$C$1270,$C386)</f>
        <v>0</v>
      </c>
      <c r="H386" s="15" t="n">
        <f aca="false">F386+G386</f>
        <v>914.5</v>
      </c>
      <c r="I386" s="25" t="n">
        <v>914.5</v>
      </c>
      <c r="J386" s="15" t="n">
        <f aca="false">ROUND(H386-I386,2)</f>
        <v>0</v>
      </c>
      <c r="K386" s="26" t="str">
        <f aca="false">IF(ABS(J386)&lt;0.05,"OK","Verificar")</f>
        <v>OK</v>
      </c>
    </row>
    <row r="387" customFormat="false" ht="15" hidden="false" customHeight="false" outlineLevel="0" collapsed="false">
      <c r="A387" s="3" t="n">
        <v>4</v>
      </c>
      <c r="B387" s="24" t="n">
        <v>46113</v>
      </c>
      <c r="C387" s="3" t="s">
        <v>616</v>
      </c>
      <c r="D387" s="3" t="s">
        <v>222</v>
      </c>
      <c r="E387" s="3" t="n">
        <f aca="false">COUNTIF('NF x Centro de Custo'!$C$5:$C$1270,$C387)</f>
        <v>4</v>
      </c>
      <c r="F387" s="15" t="n">
        <f aca="false">SUMIFS('NF x Centro de Custo'!$F$5:$F$1270,'NF x Centro de Custo'!$C$5:$C$1270,$C387)</f>
        <v>35624.49</v>
      </c>
      <c r="G387" s="15" t="n">
        <f aca="false">SUMIFS('NF x Centro de Custo'!$G$5:$G$1270,'NF x Centro de Custo'!$C$5:$C$1270,$C387)</f>
        <v>0</v>
      </c>
      <c r="H387" s="15" t="n">
        <f aca="false">F387+G387</f>
        <v>35624.49</v>
      </c>
      <c r="I387" s="25" t="n">
        <v>35624.49</v>
      </c>
      <c r="J387" s="15" t="n">
        <f aca="false">ROUND(H387-I387,2)</f>
        <v>0</v>
      </c>
      <c r="K387" s="26" t="str">
        <f aca="false">IF(ABS(J387)&lt;0.05,"OK","Verificar")</f>
        <v>OK</v>
      </c>
    </row>
    <row r="388" customFormat="false" ht="15" hidden="false" customHeight="false" outlineLevel="0" collapsed="false">
      <c r="A388" s="3" t="n">
        <v>4</v>
      </c>
      <c r="B388" s="24" t="n">
        <v>46113</v>
      </c>
      <c r="C388" s="3" t="s">
        <v>617</v>
      </c>
      <c r="D388" s="3" t="s">
        <v>237</v>
      </c>
      <c r="E388" s="3" t="n">
        <f aca="false">COUNTIF('NF x Centro de Custo'!$C$5:$C$1270,$C388)</f>
        <v>1</v>
      </c>
      <c r="F388" s="15" t="n">
        <f aca="false">SUMIFS('NF x Centro de Custo'!$F$5:$F$1270,'NF x Centro de Custo'!$C$5:$C$1270,$C388)</f>
        <v>866.5</v>
      </c>
      <c r="G388" s="15" t="n">
        <f aca="false">SUMIFS('NF x Centro de Custo'!$G$5:$G$1270,'NF x Centro de Custo'!$C$5:$C$1270,$C388)</f>
        <v>0</v>
      </c>
      <c r="H388" s="15" t="n">
        <f aca="false">F388+G388</f>
        <v>866.5</v>
      </c>
      <c r="I388" s="25" t="n">
        <v>866.5</v>
      </c>
      <c r="J388" s="15" t="n">
        <f aca="false">ROUND(H388-I388,2)</f>
        <v>0</v>
      </c>
      <c r="K388" s="26" t="str">
        <f aca="false">IF(ABS(J388)&lt;0.05,"OK","Verificar")</f>
        <v>OK</v>
      </c>
    </row>
    <row r="389" customFormat="false" ht="15" hidden="false" customHeight="false" outlineLevel="0" collapsed="false">
      <c r="A389" s="3" t="n">
        <v>4</v>
      </c>
      <c r="B389" s="24" t="n">
        <v>46113</v>
      </c>
      <c r="C389" s="3" t="s">
        <v>618</v>
      </c>
      <c r="D389" s="3" t="s">
        <v>237</v>
      </c>
      <c r="E389" s="3" t="n">
        <f aca="false">COUNTIF('NF x Centro de Custo'!$C$5:$C$1270,$C389)</f>
        <v>1</v>
      </c>
      <c r="F389" s="15" t="n">
        <f aca="false">SUMIFS('NF x Centro de Custo'!$F$5:$F$1270,'NF x Centro de Custo'!$C$5:$C$1270,$C389)</f>
        <v>5069.98</v>
      </c>
      <c r="G389" s="15" t="n">
        <f aca="false">SUMIFS('NF x Centro de Custo'!$G$5:$G$1270,'NF x Centro de Custo'!$C$5:$C$1270,$C389)</f>
        <v>0</v>
      </c>
      <c r="H389" s="15" t="n">
        <f aca="false">F389+G389</f>
        <v>5069.98</v>
      </c>
      <c r="I389" s="25" t="n">
        <v>5069.98</v>
      </c>
      <c r="J389" s="15" t="n">
        <f aca="false">ROUND(H389-I389,2)</f>
        <v>0</v>
      </c>
      <c r="K389" s="26" t="str">
        <f aca="false">IF(ABS(J389)&lt;0.05,"OK","Verificar")</f>
        <v>OK</v>
      </c>
    </row>
    <row r="390" customFormat="false" ht="15" hidden="false" customHeight="false" outlineLevel="0" collapsed="false">
      <c r="A390" s="3" t="n">
        <v>4</v>
      </c>
      <c r="B390" s="24" t="n">
        <v>46113</v>
      </c>
      <c r="C390" s="3" t="s">
        <v>619</v>
      </c>
      <c r="D390" s="3" t="s">
        <v>237</v>
      </c>
      <c r="E390" s="3" t="n">
        <f aca="false">COUNTIF('NF x Centro de Custo'!$C$5:$C$1270,$C390)</f>
        <v>2</v>
      </c>
      <c r="F390" s="15" t="n">
        <f aca="false">SUMIFS('NF x Centro de Custo'!$F$5:$F$1270,'NF x Centro de Custo'!$C$5:$C$1270,$C390)</f>
        <v>25494.43</v>
      </c>
      <c r="G390" s="15" t="n">
        <f aca="false">SUMIFS('NF x Centro de Custo'!$G$5:$G$1270,'NF x Centro de Custo'!$C$5:$C$1270,$C390)</f>
        <v>0</v>
      </c>
      <c r="H390" s="15" t="n">
        <f aca="false">F390+G390</f>
        <v>25494.43</v>
      </c>
      <c r="I390" s="25" t="n">
        <v>25494.43</v>
      </c>
      <c r="J390" s="15" t="n">
        <f aca="false">ROUND(H390-I390,2)</f>
        <v>0</v>
      </c>
      <c r="K390" s="26" t="str">
        <f aca="false">IF(ABS(J390)&lt;0.05,"OK","Verificar")</f>
        <v>OK</v>
      </c>
    </row>
    <row r="391" customFormat="false" ht="15" hidden="false" customHeight="false" outlineLevel="0" collapsed="false">
      <c r="A391" s="3" t="n">
        <v>4</v>
      </c>
      <c r="B391" s="24" t="n">
        <v>46113</v>
      </c>
      <c r="C391" s="3" t="s">
        <v>620</v>
      </c>
      <c r="D391" s="3" t="s">
        <v>269</v>
      </c>
      <c r="E391" s="3" t="n">
        <f aca="false">COUNTIF('NF x Centro de Custo'!$C$5:$C$1270,$C391)</f>
        <v>4</v>
      </c>
      <c r="F391" s="15" t="n">
        <f aca="false">SUMIFS('NF x Centro de Custo'!$F$5:$F$1270,'NF x Centro de Custo'!$C$5:$C$1270,$C391)</f>
        <v>3998.55</v>
      </c>
      <c r="G391" s="15" t="n">
        <f aca="false">SUMIFS('NF x Centro de Custo'!$G$5:$G$1270,'NF x Centro de Custo'!$C$5:$C$1270,$C391)</f>
        <v>0</v>
      </c>
      <c r="H391" s="15" t="n">
        <f aca="false">F391+G391</f>
        <v>3998.55</v>
      </c>
      <c r="I391" s="25" t="n">
        <v>3998.55</v>
      </c>
      <c r="J391" s="15" t="n">
        <f aca="false">ROUND(H391-I391,2)</f>
        <v>0</v>
      </c>
      <c r="K391" s="26" t="str">
        <f aca="false">IF(ABS(J391)&lt;0.05,"OK","Verificar")</f>
        <v>OK</v>
      </c>
    </row>
    <row r="392" customFormat="false" ht="15" hidden="false" customHeight="false" outlineLevel="0" collapsed="false">
      <c r="A392" s="3" t="n">
        <v>4</v>
      </c>
      <c r="B392" s="24" t="n">
        <v>46113</v>
      </c>
      <c r="C392" s="3" t="s">
        <v>621</v>
      </c>
      <c r="D392" s="3" t="s">
        <v>237</v>
      </c>
      <c r="E392" s="3" t="n">
        <f aca="false">COUNTIF('NF x Centro de Custo'!$C$5:$C$1270,$C392)</f>
        <v>1</v>
      </c>
      <c r="F392" s="15" t="n">
        <f aca="false">SUMIFS('NF x Centro de Custo'!$F$5:$F$1270,'NF x Centro de Custo'!$C$5:$C$1270,$C392)</f>
        <v>694.28</v>
      </c>
      <c r="G392" s="15" t="n">
        <f aca="false">SUMIFS('NF x Centro de Custo'!$G$5:$G$1270,'NF x Centro de Custo'!$C$5:$C$1270,$C392)</f>
        <v>0</v>
      </c>
      <c r="H392" s="15" t="n">
        <f aca="false">F392+G392</f>
        <v>694.28</v>
      </c>
      <c r="I392" s="25" t="n">
        <v>694.28</v>
      </c>
      <c r="J392" s="15" t="n">
        <f aca="false">ROUND(H392-I392,2)</f>
        <v>0</v>
      </c>
      <c r="K392" s="26" t="str">
        <f aca="false">IF(ABS(J392)&lt;0.05,"OK","Verificar")</f>
        <v>OK</v>
      </c>
    </row>
    <row r="393" customFormat="false" ht="15" hidden="false" customHeight="false" outlineLevel="0" collapsed="false">
      <c r="A393" s="3" t="n">
        <v>4</v>
      </c>
      <c r="B393" s="24" t="n">
        <v>46113</v>
      </c>
      <c r="C393" s="3" t="s">
        <v>622</v>
      </c>
      <c r="D393" s="3" t="s">
        <v>269</v>
      </c>
      <c r="E393" s="3" t="n">
        <f aca="false">COUNTIF('NF x Centro de Custo'!$C$5:$C$1270,$C393)</f>
        <v>5</v>
      </c>
      <c r="F393" s="15" t="n">
        <f aca="false">SUMIFS('NF x Centro de Custo'!$F$5:$F$1270,'NF x Centro de Custo'!$C$5:$C$1270,$C393)</f>
        <v>11910.23</v>
      </c>
      <c r="G393" s="15" t="n">
        <f aca="false">SUMIFS('NF x Centro de Custo'!$G$5:$G$1270,'NF x Centro de Custo'!$C$5:$C$1270,$C393)</f>
        <v>0</v>
      </c>
      <c r="H393" s="15" t="n">
        <f aca="false">F393+G393</f>
        <v>11910.23</v>
      </c>
      <c r="I393" s="25" t="n">
        <v>11910.23</v>
      </c>
      <c r="J393" s="15" t="n">
        <f aca="false">ROUND(H393-I393,2)</f>
        <v>0</v>
      </c>
      <c r="K393" s="26" t="str">
        <f aca="false">IF(ABS(J393)&lt;0.05,"OK","Verificar")</f>
        <v>OK</v>
      </c>
    </row>
    <row r="394" customFormat="false" ht="15" hidden="false" customHeight="false" outlineLevel="0" collapsed="false">
      <c r="A394" s="3" t="n">
        <v>4</v>
      </c>
      <c r="B394" s="24" t="n">
        <v>46113</v>
      </c>
      <c r="C394" s="3" t="s">
        <v>623</v>
      </c>
      <c r="D394" s="3" t="s">
        <v>269</v>
      </c>
      <c r="E394" s="3" t="n">
        <f aca="false">COUNTIF('NF x Centro de Custo'!$C$5:$C$1270,$C394)</f>
        <v>1</v>
      </c>
      <c r="F394" s="15" t="n">
        <f aca="false">SUMIFS('NF x Centro de Custo'!$F$5:$F$1270,'NF x Centro de Custo'!$C$5:$C$1270,$C394)</f>
        <v>57275.87</v>
      </c>
      <c r="G394" s="15" t="n">
        <f aca="false">SUMIFS('NF x Centro de Custo'!$G$5:$G$1270,'NF x Centro de Custo'!$C$5:$C$1270,$C394)</f>
        <v>0</v>
      </c>
      <c r="H394" s="15" t="n">
        <f aca="false">F394+G394</f>
        <v>57275.87</v>
      </c>
      <c r="I394" s="25" t="n">
        <v>57275.87</v>
      </c>
      <c r="J394" s="15" t="n">
        <f aca="false">ROUND(H394-I394,2)</f>
        <v>0</v>
      </c>
      <c r="K394" s="26" t="str">
        <f aca="false">IF(ABS(J394)&lt;0.05,"OK","Verificar")</f>
        <v>OK</v>
      </c>
    </row>
    <row r="395" customFormat="false" ht="15" hidden="false" customHeight="false" outlineLevel="0" collapsed="false">
      <c r="A395" s="3" t="n">
        <v>4</v>
      </c>
      <c r="B395" s="24" t="n">
        <v>46113</v>
      </c>
      <c r="C395" s="3" t="s">
        <v>624</v>
      </c>
      <c r="D395" s="3" t="s">
        <v>222</v>
      </c>
      <c r="E395" s="3" t="n">
        <f aca="false">COUNTIF('NF x Centro de Custo'!$C$5:$C$1270,$C395)</f>
        <v>2</v>
      </c>
      <c r="F395" s="15" t="n">
        <f aca="false">SUMIFS('NF x Centro de Custo'!$F$5:$F$1270,'NF x Centro de Custo'!$C$5:$C$1270,$C395)</f>
        <v>6345.51</v>
      </c>
      <c r="G395" s="15" t="n">
        <f aca="false">SUMIFS('NF x Centro de Custo'!$G$5:$G$1270,'NF x Centro de Custo'!$C$5:$C$1270,$C395)</f>
        <v>0</v>
      </c>
      <c r="H395" s="15" t="n">
        <f aca="false">F395+G395</f>
        <v>6345.51</v>
      </c>
      <c r="I395" s="25" t="n">
        <v>6345.51</v>
      </c>
      <c r="J395" s="15" t="n">
        <f aca="false">ROUND(H395-I395,2)</f>
        <v>0</v>
      </c>
      <c r="K395" s="26" t="str">
        <f aca="false">IF(ABS(J395)&lt;0.05,"OK","Verificar")</f>
        <v>OK</v>
      </c>
    </row>
    <row r="396" customFormat="false" ht="15" hidden="false" customHeight="false" outlineLevel="0" collapsed="false">
      <c r="A396" s="3" t="n">
        <v>4</v>
      </c>
      <c r="B396" s="24" t="n">
        <v>46113</v>
      </c>
      <c r="C396" s="3" t="s">
        <v>625</v>
      </c>
      <c r="D396" s="3" t="s">
        <v>222</v>
      </c>
      <c r="E396" s="3" t="n">
        <f aca="false">COUNTIF('NF x Centro de Custo'!$C$5:$C$1270,$C396)</f>
        <v>4</v>
      </c>
      <c r="F396" s="15" t="n">
        <f aca="false">SUMIFS('NF x Centro de Custo'!$F$5:$F$1270,'NF x Centro de Custo'!$C$5:$C$1270,$C396)</f>
        <v>32846.8</v>
      </c>
      <c r="G396" s="15" t="n">
        <f aca="false">SUMIFS('NF x Centro de Custo'!$G$5:$G$1270,'NF x Centro de Custo'!$C$5:$C$1270,$C396)</f>
        <v>0</v>
      </c>
      <c r="H396" s="15" t="n">
        <f aca="false">F396+G396</f>
        <v>32846.8</v>
      </c>
      <c r="I396" s="25" t="n">
        <v>32846.8</v>
      </c>
      <c r="J396" s="15" t="n">
        <f aca="false">ROUND(H396-I396,2)</f>
        <v>0</v>
      </c>
      <c r="K396" s="26" t="str">
        <f aca="false">IF(ABS(J396)&lt;0.05,"OK","Verificar")</f>
        <v>OK</v>
      </c>
    </row>
    <row r="397" customFormat="false" ht="15" hidden="false" customHeight="false" outlineLevel="0" collapsed="false">
      <c r="A397" s="3" t="n">
        <v>4</v>
      </c>
      <c r="B397" s="24" t="n">
        <v>46113</v>
      </c>
      <c r="C397" s="3" t="s">
        <v>626</v>
      </c>
      <c r="D397" s="3" t="s">
        <v>222</v>
      </c>
      <c r="E397" s="3" t="n">
        <f aca="false">COUNTIF('NF x Centro de Custo'!$C$5:$C$1270,$C397)</f>
        <v>3</v>
      </c>
      <c r="F397" s="15" t="n">
        <f aca="false">SUMIFS('NF x Centro de Custo'!$F$5:$F$1270,'NF x Centro de Custo'!$C$5:$C$1270,$C397)</f>
        <v>3332.52</v>
      </c>
      <c r="G397" s="15" t="n">
        <f aca="false">SUMIFS('NF x Centro de Custo'!$G$5:$G$1270,'NF x Centro de Custo'!$C$5:$C$1270,$C397)</f>
        <v>0</v>
      </c>
      <c r="H397" s="15" t="n">
        <f aca="false">F397+G397</f>
        <v>3332.52</v>
      </c>
      <c r="I397" s="25" t="n">
        <v>3332.52</v>
      </c>
      <c r="J397" s="15" t="n">
        <f aca="false">ROUND(H397-I397,2)</f>
        <v>0</v>
      </c>
      <c r="K397" s="26" t="str">
        <f aca="false">IF(ABS(J397)&lt;0.05,"OK","Verificar")</f>
        <v>OK</v>
      </c>
    </row>
    <row r="398" customFormat="false" ht="15" hidden="false" customHeight="false" outlineLevel="0" collapsed="false">
      <c r="A398" s="3" t="n">
        <v>4</v>
      </c>
      <c r="B398" s="24" t="n">
        <v>46113</v>
      </c>
      <c r="C398" s="3" t="s">
        <v>627</v>
      </c>
      <c r="D398" s="3" t="s">
        <v>222</v>
      </c>
      <c r="E398" s="3" t="n">
        <f aca="false">COUNTIF('NF x Centro de Custo'!$C$5:$C$1270,$C398)</f>
        <v>17</v>
      </c>
      <c r="F398" s="15" t="n">
        <f aca="false">SUMIFS('NF x Centro de Custo'!$F$5:$F$1270,'NF x Centro de Custo'!$C$5:$C$1270,$C398)</f>
        <v>24247.13</v>
      </c>
      <c r="G398" s="15" t="n">
        <f aca="false">SUMIFS('NF x Centro de Custo'!$G$5:$G$1270,'NF x Centro de Custo'!$C$5:$C$1270,$C398)</f>
        <v>0</v>
      </c>
      <c r="H398" s="15" t="n">
        <f aca="false">F398+G398</f>
        <v>24247.13</v>
      </c>
      <c r="I398" s="25" t="n">
        <v>24247.13</v>
      </c>
      <c r="J398" s="15" t="n">
        <f aca="false">ROUND(H398-I398,2)</f>
        <v>0</v>
      </c>
      <c r="K398" s="26" t="str">
        <f aca="false">IF(ABS(J398)&lt;0.05,"OK","Verificar")</f>
        <v>OK</v>
      </c>
    </row>
    <row r="399" customFormat="false" ht="15" hidden="false" customHeight="false" outlineLevel="0" collapsed="false">
      <c r="A399" s="3" t="n">
        <v>4</v>
      </c>
      <c r="B399" s="24" t="n">
        <v>46113</v>
      </c>
      <c r="C399" s="3" t="s">
        <v>628</v>
      </c>
      <c r="D399" s="3" t="s">
        <v>222</v>
      </c>
      <c r="E399" s="3" t="n">
        <f aca="false">COUNTIF('NF x Centro de Custo'!$C$5:$C$1270,$C399)</f>
        <v>18</v>
      </c>
      <c r="F399" s="15" t="n">
        <f aca="false">SUMIFS('NF x Centro de Custo'!$F$5:$F$1270,'NF x Centro de Custo'!$C$5:$C$1270,$C399)</f>
        <v>195925.44</v>
      </c>
      <c r="G399" s="15" t="n">
        <f aca="false">SUMIFS('NF x Centro de Custo'!$G$5:$G$1270,'NF x Centro de Custo'!$C$5:$C$1270,$C399)</f>
        <v>0</v>
      </c>
      <c r="H399" s="15" t="n">
        <f aca="false">F399+G399</f>
        <v>195925.44</v>
      </c>
      <c r="I399" s="25" t="n">
        <v>195925.44</v>
      </c>
      <c r="J399" s="15" t="n">
        <f aca="false">ROUND(H399-I399,2)</f>
        <v>0</v>
      </c>
      <c r="K399" s="26" t="str">
        <f aca="false">IF(ABS(J399)&lt;0.05,"OK","Verificar")</f>
        <v>OK</v>
      </c>
    </row>
    <row r="400" customFormat="false" ht="15" hidden="false" customHeight="false" outlineLevel="0" collapsed="false">
      <c r="A400" s="3" t="n">
        <v>4</v>
      </c>
      <c r="B400" s="24" t="n">
        <v>46113</v>
      </c>
      <c r="C400" s="3" t="s">
        <v>629</v>
      </c>
      <c r="D400" s="3" t="s">
        <v>222</v>
      </c>
      <c r="E400" s="3" t="n">
        <f aca="false">COUNTIF('NF x Centro de Custo'!$C$5:$C$1270,$C400)</f>
        <v>1</v>
      </c>
      <c r="F400" s="15" t="n">
        <f aca="false">SUMIFS('NF x Centro de Custo'!$F$5:$F$1270,'NF x Centro de Custo'!$C$5:$C$1270,$C400)</f>
        <v>7515.93</v>
      </c>
      <c r="G400" s="15" t="n">
        <f aca="false">SUMIFS('NF x Centro de Custo'!$G$5:$G$1270,'NF x Centro de Custo'!$C$5:$C$1270,$C400)</f>
        <v>0</v>
      </c>
      <c r="H400" s="15" t="n">
        <f aca="false">F400+G400</f>
        <v>7515.93</v>
      </c>
      <c r="I400" s="25" t="n">
        <v>7515.93</v>
      </c>
      <c r="J400" s="15" t="n">
        <f aca="false">ROUND(H400-I400,2)</f>
        <v>0</v>
      </c>
      <c r="K400" s="26" t="str">
        <f aca="false">IF(ABS(J400)&lt;0.05,"OK","Verificar")</f>
        <v>OK</v>
      </c>
    </row>
    <row r="401" customFormat="false" ht="15" hidden="false" customHeight="false" outlineLevel="0" collapsed="false">
      <c r="A401" s="3" t="n">
        <v>5</v>
      </c>
      <c r="B401" s="24" t="n">
        <v>46143</v>
      </c>
      <c r="C401" s="3" t="s">
        <v>630</v>
      </c>
      <c r="D401" s="3" t="s">
        <v>222</v>
      </c>
      <c r="E401" s="3" t="n">
        <f aca="false">COUNTIF('NF x Centro de Custo'!$C$5:$C$1270,$C401)</f>
        <v>3</v>
      </c>
      <c r="F401" s="15" t="n">
        <f aca="false">SUMIFS('NF x Centro de Custo'!$F$5:$F$1270,'NF x Centro de Custo'!$C$5:$C$1270,$C401)</f>
        <v>409387.94</v>
      </c>
      <c r="G401" s="15" t="n">
        <f aca="false">SUMIFS('NF x Centro de Custo'!$G$5:$G$1270,'NF x Centro de Custo'!$C$5:$C$1270,$C401)</f>
        <v>144575.33</v>
      </c>
      <c r="H401" s="15" t="n">
        <f aca="false">F401+G401</f>
        <v>553963.27</v>
      </c>
      <c r="I401" s="25" t="n">
        <v>553963.27</v>
      </c>
      <c r="J401" s="15" t="n">
        <f aca="false">ROUND(H401-I401,2)</f>
        <v>0</v>
      </c>
      <c r="K401" s="26" t="str">
        <f aca="false">IF(ABS(J401)&lt;0.05,"OK","Verificar")</f>
        <v>OK</v>
      </c>
    </row>
    <row r="402" customFormat="false" ht="15" hidden="false" customHeight="false" outlineLevel="0" collapsed="false">
      <c r="A402" s="3" t="n">
        <v>5</v>
      </c>
      <c r="B402" s="24" t="n">
        <v>46143</v>
      </c>
      <c r="C402" s="3" t="s">
        <v>631</v>
      </c>
      <c r="D402" s="3" t="s">
        <v>222</v>
      </c>
      <c r="E402" s="3" t="n">
        <f aca="false">COUNTIF('NF x Centro de Custo'!$C$5:$C$1270,$C402)</f>
        <v>1</v>
      </c>
      <c r="F402" s="15" t="n">
        <f aca="false">SUMIFS('NF x Centro de Custo'!$F$5:$F$1270,'NF x Centro de Custo'!$C$5:$C$1270,$C402)</f>
        <v>81006.74</v>
      </c>
      <c r="G402" s="15" t="n">
        <f aca="false">SUMIFS('NF x Centro de Custo'!$G$5:$G$1270,'NF x Centro de Custo'!$C$5:$C$1270,$C402)</f>
        <v>28567.08</v>
      </c>
      <c r="H402" s="15" t="n">
        <f aca="false">F402+G402</f>
        <v>109573.82</v>
      </c>
      <c r="I402" s="25" t="n">
        <v>109573.82</v>
      </c>
      <c r="J402" s="15" t="n">
        <f aca="false">ROUND(H402-I402,2)</f>
        <v>0</v>
      </c>
      <c r="K402" s="26" t="str">
        <f aca="false">IF(ABS(J402)&lt;0.05,"OK","Verificar")</f>
        <v>OK</v>
      </c>
    </row>
    <row r="403" customFormat="false" ht="15" hidden="false" customHeight="false" outlineLevel="0" collapsed="false">
      <c r="A403" s="3" t="n">
        <v>5</v>
      </c>
      <c r="B403" s="24" t="n">
        <v>46143</v>
      </c>
      <c r="C403" s="3" t="s">
        <v>632</v>
      </c>
      <c r="D403" s="3" t="s">
        <v>214</v>
      </c>
      <c r="E403" s="3" t="n">
        <f aca="false">COUNTIF('NF x Centro de Custo'!$C$5:$C$1270,$C403)</f>
        <v>1</v>
      </c>
      <c r="F403" s="15" t="n">
        <f aca="false">SUMIFS('NF x Centro de Custo'!$F$5:$F$1270,'NF x Centro de Custo'!$C$5:$C$1270,$C403)</f>
        <v>2546.69</v>
      </c>
      <c r="G403" s="15" t="n">
        <f aca="false">SUMIFS('NF x Centro de Custo'!$G$5:$G$1270,'NF x Centro de Custo'!$C$5:$C$1270,$C403)</f>
        <v>907.81</v>
      </c>
      <c r="H403" s="15" t="n">
        <f aca="false">F403+G403</f>
        <v>3454.5</v>
      </c>
      <c r="I403" s="25" t="n">
        <v>3454.5</v>
      </c>
      <c r="J403" s="15" t="n">
        <f aca="false">ROUND(H403-I403,2)</f>
        <v>0</v>
      </c>
      <c r="K403" s="26" t="str">
        <f aca="false">IF(ABS(J403)&lt;0.05,"OK","Verificar")</f>
        <v>OK</v>
      </c>
    </row>
    <row r="404" customFormat="false" ht="15" hidden="false" customHeight="false" outlineLevel="0" collapsed="false">
      <c r="A404" s="3" t="n">
        <v>5</v>
      </c>
      <c r="B404" s="24" t="n">
        <v>46143</v>
      </c>
      <c r="C404" s="3" t="s">
        <v>633</v>
      </c>
      <c r="D404" s="3" t="s">
        <v>214</v>
      </c>
      <c r="E404" s="3" t="n">
        <f aca="false">COUNTIF('NF x Centro de Custo'!$C$5:$C$1270,$C404)</f>
        <v>1</v>
      </c>
      <c r="F404" s="15" t="n">
        <f aca="false">SUMIFS('NF x Centro de Custo'!$F$5:$F$1270,'NF x Centro de Custo'!$C$5:$C$1270,$C404)</f>
        <v>15664.44</v>
      </c>
      <c r="G404" s="15" t="n">
        <f aca="false">SUMIFS('NF x Centro de Custo'!$G$5:$G$1270,'NF x Centro de Custo'!$C$5:$C$1270,$C404)</f>
        <v>5718.21</v>
      </c>
      <c r="H404" s="15" t="n">
        <f aca="false">F404+G404</f>
        <v>21382.65</v>
      </c>
      <c r="I404" s="25" t="n">
        <v>21382.65</v>
      </c>
      <c r="J404" s="15" t="n">
        <f aca="false">ROUND(H404-I404,2)</f>
        <v>0</v>
      </c>
      <c r="K404" s="26" t="str">
        <f aca="false">IF(ABS(J404)&lt;0.05,"OK","Verificar")</f>
        <v>OK</v>
      </c>
    </row>
    <row r="405" customFormat="false" ht="15" hidden="false" customHeight="false" outlineLevel="0" collapsed="false">
      <c r="A405" s="3" t="n">
        <v>5</v>
      </c>
      <c r="B405" s="24" t="n">
        <v>46143</v>
      </c>
      <c r="C405" s="3" t="s">
        <v>634</v>
      </c>
      <c r="D405" s="3" t="s">
        <v>222</v>
      </c>
      <c r="E405" s="3" t="n">
        <f aca="false">COUNTIF('NF x Centro de Custo'!$C$5:$C$1270,$C405)</f>
        <v>3</v>
      </c>
      <c r="F405" s="15" t="n">
        <f aca="false">SUMIFS('NF x Centro de Custo'!$F$5:$F$1270,'NF x Centro de Custo'!$C$5:$C$1270,$C405)</f>
        <v>135994.74</v>
      </c>
      <c r="G405" s="15" t="n">
        <f aca="false">SUMIFS('NF x Centro de Custo'!$G$5:$G$1270,'NF x Centro de Custo'!$C$5:$C$1270,$C405)</f>
        <v>48489.64</v>
      </c>
      <c r="H405" s="15" t="n">
        <f aca="false">F405+G405</f>
        <v>184484.38</v>
      </c>
      <c r="I405" s="25" t="n">
        <v>184484.38</v>
      </c>
      <c r="J405" s="15" t="n">
        <f aca="false">ROUND(H405-I405,2)</f>
        <v>0</v>
      </c>
      <c r="K405" s="26" t="str">
        <f aca="false">IF(ABS(J405)&lt;0.05,"OK","Verificar")</f>
        <v>OK</v>
      </c>
    </row>
    <row r="406" customFormat="false" ht="15" hidden="false" customHeight="false" outlineLevel="0" collapsed="false">
      <c r="A406" s="3" t="n">
        <v>5</v>
      </c>
      <c r="B406" s="24" t="n">
        <v>46143</v>
      </c>
      <c r="C406" s="3" t="s">
        <v>635</v>
      </c>
      <c r="D406" s="3" t="s">
        <v>243</v>
      </c>
      <c r="E406" s="3" t="n">
        <f aca="false">COUNTIF('NF x Centro de Custo'!$C$5:$C$1270,$C406)</f>
        <v>1</v>
      </c>
      <c r="F406" s="15" t="n">
        <f aca="false">SUMIFS('NF x Centro de Custo'!$F$5:$F$1270,'NF x Centro de Custo'!$C$5:$C$1270,$C406)</f>
        <v>3104.7</v>
      </c>
      <c r="G406" s="15" t="n">
        <f aca="false">SUMIFS('NF x Centro de Custo'!$G$5:$G$1270,'NF x Centro de Custo'!$C$5:$C$1270,$C406)</f>
        <v>1113.27</v>
      </c>
      <c r="H406" s="15" t="n">
        <f aca="false">F406+G406</f>
        <v>4217.97</v>
      </c>
      <c r="I406" s="25" t="n">
        <v>4217.97</v>
      </c>
      <c r="J406" s="15" t="n">
        <f aca="false">ROUND(H406-I406,2)</f>
        <v>0</v>
      </c>
      <c r="K406" s="26" t="str">
        <f aca="false">IF(ABS(J406)&lt;0.05,"OK","Verificar")</f>
        <v>OK</v>
      </c>
    </row>
    <row r="407" customFormat="false" ht="15" hidden="false" customHeight="false" outlineLevel="0" collapsed="false">
      <c r="A407" s="3" t="n">
        <v>5</v>
      </c>
      <c r="B407" s="24" t="n">
        <v>46143</v>
      </c>
      <c r="C407" s="3" t="s">
        <v>636</v>
      </c>
      <c r="D407" s="3" t="s">
        <v>243</v>
      </c>
      <c r="E407" s="3" t="n">
        <f aca="false">COUNTIF('NF x Centro de Custo'!$C$5:$C$1270,$C407)</f>
        <v>1</v>
      </c>
      <c r="F407" s="15" t="n">
        <f aca="false">SUMIFS('NF x Centro de Custo'!$F$5:$F$1270,'NF x Centro de Custo'!$C$5:$C$1270,$C407)</f>
        <v>6444.5</v>
      </c>
      <c r="G407" s="15" t="n">
        <f aca="false">SUMIFS('NF x Centro de Custo'!$G$5:$G$1270,'NF x Centro de Custo'!$C$5:$C$1270,$C407)</f>
        <v>2297.6</v>
      </c>
      <c r="H407" s="15" t="n">
        <f aca="false">F407+G407</f>
        <v>8742.1</v>
      </c>
      <c r="I407" s="25" t="n">
        <v>8742.1</v>
      </c>
      <c r="J407" s="15" t="n">
        <f aca="false">ROUND(H407-I407,2)</f>
        <v>0</v>
      </c>
      <c r="K407" s="26" t="str">
        <f aca="false">IF(ABS(J407)&lt;0.05,"OK","Verificar")</f>
        <v>OK</v>
      </c>
    </row>
    <row r="408" customFormat="false" ht="15" hidden="false" customHeight="false" outlineLevel="0" collapsed="false">
      <c r="A408" s="3" t="n">
        <v>5</v>
      </c>
      <c r="B408" s="24" t="n">
        <v>46143</v>
      </c>
      <c r="C408" s="3" t="s">
        <v>637</v>
      </c>
      <c r="D408" s="3" t="s">
        <v>246</v>
      </c>
      <c r="E408" s="3" t="n">
        <f aca="false">COUNTIF('NF x Centro de Custo'!$C$5:$C$1270,$C408)</f>
        <v>1</v>
      </c>
      <c r="F408" s="15" t="n">
        <f aca="false">SUMIFS('NF x Centro de Custo'!$F$5:$F$1270,'NF x Centro de Custo'!$C$5:$C$1270,$C408)</f>
        <v>1563.72</v>
      </c>
      <c r="G408" s="15" t="n">
        <f aca="false">SUMIFS('NF x Centro de Custo'!$G$5:$G$1270,'NF x Centro de Custo'!$C$5:$C$1270,$C408)</f>
        <v>575.28</v>
      </c>
      <c r="H408" s="15" t="n">
        <f aca="false">F408+G408</f>
        <v>2139</v>
      </c>
      <c r="I408" s="25" t="n">
        <v>2139</v>
      </c>
      <c r="J408" s="15" t="n">
        <f aca="false">ROUND(H408-I408,2)</f>
        <v>0</v>
      </c>
      <c r="K408" s="26" t="str">
        <f aca="false">IF(ABS(J408)&lt;0.05,"OK","Verificar")</f>
        <v>OK</v>
      </c>
    </row>
    <row r="409" customFormat="false" ht="15" hidden="false" customHeight="false" outlineLevel="0" collapsed="false">
      <c r="A409" s="3" t="n">
        <v>5</v>
      </c>
      <c r="B409" s="24" t="n">
        <v>46143</v>
      </c>
      <c r="C409" s="3" t="s">
        <v>638</v>
      </c>
      <c r="D409" s="3" t="s">
        <v>246</v>
      </c>
      <c r="E409" s="3" t="n">
        <f aca="false">COUNTIF('NF x Centro de Custo'!$C$5:$C$1270,$C409)</f>
        <v>1</v>
      </c>
      <c r="F409" s="15" t="n">
        <f aca="false">SUMIFS('NF x Centro de Custo'!$F$5:$F$1270,'NF x Centro de Custo'!$C$5:$C$1270,$C409)</f>
        <v>2369.83</v>
      </c>
      <c r="G409" s="15" t="n">
        <f aca="false">SUMIFS('NF x Centro de Custo'!$G$5:$G$1270,'NF x Centro de Custo'!$C$5:$C$1270,$C409)</f>
        <v>845.74</v>
      </c>
      <c r="H409" s="15" t="n">
        <f aca="false">F409+G409</f>
        <v>3215.57</v>
      </c>
      <c r="I409" s="25" t="n">
        <v>3215.57</v>
      </c>
      <c r="J409" s="15" t="n">
        <f aca="false">ROUND(H409-I409,2)</f>
        <v>0</v>
      </c>
      <c r="K409" s="26" t="str">
        <f aca="false">IF(ABS(J409)&lt;0.05,"OK","Verificar")</f>
        <v>OK</v>
      </c>
    </row>
    <row r="410" customFormat="false" ht="15" hidden="false" customHeight="false" outlineLevel="0" collapsed="false">
      <c r="A410" s="3" t="n">
        <v>5</v>
      </c>
      <c r="B410" s="24" t="n">
        <v>46143</v>
      </c>
      <c r="C410" s="3" t="s">
        <v>639</v>
      </c>
      <c r="D410" s="3" t="s">
        <v>231</v>
      </c>
      <c r="E410" s="3" t="n">
        <f aca="false">COUNTIF('NF x Centro de Custo'!$C$5:$C$1270,$C410)</f>
        <v>1</v>
      </c>
      <c r="F410" s="15" t="n">
        <f aca="false">SUMIFS('NF x Centro de Custo'!$F$5:$F$1270,'NF x Centro de Custo'!$C$5:$C$1270,$C410)</f>
        <v>10823.15</v>
      </c>
      <c r="G410" s="15" t="n">
        <f aca="false">SUMIFS('NF x Centro de Custo'!$G$5:$G$1270,'NF x Centro de Custo'!$C$5:$C$1270,$C410)</f>
        <v>3868.69</v>
      </c>
      <c r="H410" s="15" t="n">
        <f aca="false">F410+G410</f>
        <v>14691.84</v>
      </c>
      <c r="I410" s="25" t="n">
        <v>14691.84</v>
      </c>
      <c r="J410" s="15" t="n">
        <f aca="false">ROUND(H410-I410,2)</f>
        <v>0</v>
      </c>
      <c r="K410" s="26" t="str">
        <f aca="false">IF(ABS(J410)&lt;0.05,"OK","Verificar")</f>
        <v>OK</v>
      </c>
    </row>
    <row r="411" customFormat="false" ht="15" hidden="false" customHeight="false" outlineLevel="0" collapsed="false">
      <c r="A411" s="3" t="n">
        <v>5</v>
      </c>
      <c r="B411" s="24" t="n">
        <v>46143</v>
      </c>
      <c r="C411" s="3" t="s">
        <v>640</v>
      </c>
      <c r="D411" s="3" t="s">
        <v>231</v>
      </c>
      <c r="E411" s="3" t="n">
        <f aca="false">COUNTIF('NF x Centro de Custo'!$C$5:$C$1270,$C411)</f>
        <v>1</v>
      </c>
      <c r="F411" s="15" t="n">
        <f aca="false">SUMIFS('NF x Centro de Custo'!$F$5:$F$1270,'NF x Centro de Custo'!$C$5:$C$1270,$C411)</f>
        <v>9309.78</v>
      </c>
      <c r="G411" s="15" t="n">
        <f aca="false">SUMIFS('NF x Centro de Custo'!$G$5:$G$1270,'NF x Centro de Custo'!$C$5:$C$1270,$C411)</f>
        <v>3455.7</v>
      </c>
      <c r="H411" s="15" t="n">
        <f aca="false">F411+G411</f>
        <v>12765.48</v>
      </c>
      <c r="I411" s="25" t="n">
        <v>12765.48</v>
      </c>
      <c r="J411" s="15" t="n">
        <f aca="false">ROUND(H411-I411,2)</f>
        <v>0</v>
      </c>
      <c r="K411" s="26" t="str">
        <f aca="false">IF(ABS(J411)&lt;0.05,"OK","Verificar")</f>
        <v>OK</v>
      </c>
    </row>
    <row r="412" customFormat="false" ht="15" hidden="false" customHeight="false" outlineLevel="0" collapsed="false">
      <c r="A412" s="3" t="n">
        <v>5</v>
      </c>
      <c r="B412" s="24" t="n">
        <v>46143</v>
      </c>
      <c r="C412" s="3" t="s">
        <v>641</v>
      </c>
      <c r="D412" s="3" t="s">
        <v>252</v>
      </c>
      <c r="E412" s="3" t="n">
        <f aca="false">COUNTIF('NF x Centro de Custo'!$C$5:$C$1270,$C412)</f>
        <v>1</v>
      </c>
      <c r="F412" s="15" t="n">
        <f aca="false">SUMIFS('NF x Centro de Custo'!$F$5:$F$1270,'NF x Centro de Custo'!$C$5:$C$1270,$C412)</f>
        <v>2946.93</v>
      </c>
      <c r="G412" s="15" t="n">
        <f aca="false">SUMIFS('NF x Centro de Custo'!$G$5:$G$1270,'NF x Centro de Custo'!$C$5:$C$1270,$C412)</f>
        <v>1045.76</v>
      </c>
      <c r="H412" s="15" t="n">
        <f aca="false">F412+G412</f>
        <v>3992.69</v>
      </c>
      <c r="I412" s="25" t="n">
        <v>3992.69</v>
      </c>
      <c r="J412" s="15" t="n">
        <f aca="false">ROUND(H412-I412,2)</f>
        <v>0</v>
      </c>
      <c r="K412" s="26" t="str">
        <f aca="false">IF(ABS(J412)&lt;0.05,"OK","Verificar")</f>
        <v>OK</v>
      </c>
    </row>
    <row r="413" customFormat="false" ht="15" hidden="false" customHeight="false" outlineLevel="0" collapsed="false">
      <c r="A413" s="3" t="n">
        <v>5</v>
      </c>
      <c r="B413" s="24" t="n">
        <v>46143</v>
      </c>
      <c r="C413" s="3" t="s">
        <v>642</v>
      </c>
      <c r="D413" s="3" t="s">
        <v>252</v>
      </c>
      <c r="E413" s="3" t="n">
        <f aca="false">COUNTIF('NF x Centro de Custo'!$C$5:$C$1270,$C413)</f>
        <v>1</v>
      </c>
      <c r="F413" s="15" t="n">
        <f aca="false">SUMIFS('NF x Centro de Custo'!$F$5:$F$1270,'NF x Centro de Custo'!$C$5:$C$1270,$C413)</f>
        <v>2531.71</v>
      </c>
      <c r="G413" s="15" t="n">
        <f aca="false">SUMIFS('NF x Centro de Custo'!$G$5:$G$1270,'NF x Centro de Custo'!$C$5:$C$1270,$C413)</f>
        <v>902.63</v>
      </c>
      <c r="H413" s="15" t="n">
        <f aca="false">F413+G413</f>
        <v>3434.34</v>
      </c>
      <c r="I413" s="25" t="n">
        <v>3434.34</v>
      </c>
      <c r="J413" s="15" t="n">
        <f aca="false">ROUND(H413-I413,2)</f>
        <v>0</v>
      </c>
      <c r="K413" s="26" t="str">
        <f aca="false">IF(ABS(J413)&lt;0.05,"OK","Verificar")</f>
        <v>OK</v>
      </c>
    </row>
    <row r="414" customFormat="false" ht="15" hidden="false" customHeight="false" outlineLevel="0" collapsed="false">
      <c r="A414" s="3" t="n">
        <v>5</v>
      </c>
      <c r="B414" s="24" t="n">
        <v>46143</v>
      </c>
      <c r="C414" s="3" t="s">
        <v>643</v>
      </c>
      <c r="D414" s="3" t="s">
        <v>261</v>
      </c>
      <c r="E414" s="3" t="n">
        <f aca="false">COUNTIF('NF x Centro de Custo'!$C$5:$C$1270,$C414)</f>
        <v>2</v>
      </c>
      <c r="F414" s="15" t="n">
        <f aca="false">SUMIFS('NF x Centro de Custo'!$F$5:$F$1270,'NF x Centro de Custo'!$C$5:$C$1270,$C414)</f>
        <v>2822.57</v>
      </c>
      <c r="G414" s="15" t="n">
        <f aca="false">SUMIFS('NF x Centro de Custo'!$G$5:$G$1270,'NF x Centro de Custo'!$C$5:$C$1270,$C414)</f>
        <v>1007.52</v>
      </c>
      <c r="H414" s="15" t="n">
        <f aca="false">F414+G414</f>
        <v>3830.09</v>
      </c>
      <c r="I414" s="25" t="n">
        <v>3830.09</v>
      </c>
      <c r="J414" s="15" t="n">
        <f aca="false">ROUND(H414-I414,2)</f>
        <v>0</v>
      </c>
      <c r="K414" s="26" t="str">
        <f aca="false">IF(ABS(J414)&lt;0.05,"OK","Verificar")</f>
        <v>OK</v>
      </c>
    </row>
    <row r="415" customFormat="false" ht="15" hidden="false" customHeight="false" outlineLevel="0" collapsed="false">
      <c r="A415" s="3" t="n">
        <v>5</v>
      </c>
      <c r="B415" s="24" t="n">
        <v>46143</v>
      </c>
      <c r="C415" s="3" t="s">
        <v>644</v>
      </c>
      <c r="D415" s="3" t="s">
        <v>255</v>
      </c>
      <c r="E415" s="3" t="n">
        <f aca="false">COUNTIF('NF x Centro de Custo'!$C$5:$C$1270,$C415)</f>
        <v>2</v>
      </c>
      <c r="F415" s="15" t="n">
        <f aca="false">SUMIFS('NF x Centro de Custo'!$F$5:$F$1270,'NF x Centro de Custo'!$C$5:$C$1270,$C415)</f>
        <v>4707.78</v>
      </c>
      <c r="G415" s="15" t="n">
        <f aca="false">SUMIFS('NF x Centro de Custo'!$G$5:$G$1270,'NF x Centro de Custo'!$C$5:$C$1270,$C415)</f>
        <v>1686.96</v>
      </c>
      <c r="H415" s="15" t="n">
        <f aca="false">F415+G415</f>
        <v>6394.74</v>
      </c>
      <c r="I415" s="25" t="n">
        <v>6394.74</v>
      </c>
      <c r="J415" s="15" t="n">
        <f aca="false">ROUND(H415-I415,2)</f>
        <v>0</v>
      </c>
      <c r="K415" s="26" t="str">
        <f aca="false">IF(ABS(J415)&lt;0.05,"OK","Verificar")</f>
        <v>OK</v>
      </c>
    </row>
    <row r="416" customFormat="false" ht="15" hidden="false" customHeight="false" outlineLevel="0" collapsed="false">
      <c r="A416" s="3" t="n">
        <v>5</v>
      </c>
      <c r="B416" s="24" t="n">
        <v>46143</v>
      </c>
      <c r="C416" s="3" t="s">
        <v>645</v>
      </c>
      <c r="D416" s="3" t="s">
        <v>258</v>
      </c>
      <c r="E416" s="3" t="n">
        <f aca="false">COUNTIF('NF x Centro de Custo'!$C$5:$C$1270,$C416)</f>
        <v>2</v>
      </c>
      <c r="F416" s="15" t="n">
        <f aca="false">SUMIFS('NF x Centro de Custo'!$F$5:$F$1270,'NF x Centro de Custo'!$C$5:$C$1270,$C416)</f>
        <v>7943.52</v>
      </c>
      <c r="G416" s="15" t="n">
        <f aca="false">SUMIFS('NF x Centro de Custo'!$G$5:$G$1270,'NF x Centro de Custo'!$C$5:$C$1270,$C416)</f>
        <v>2764.8</v>
      </c>
      <c r="H416" s="15" t="n">
        <f aca="false">F416+G416</f>
        <v>10708.32</v>
      </c>
      <c r="I416" s="25" t="n">
        <v>10708.32</v>
      </c>
      <c r="J416" s="15" t="n">
        <f aca="false">ROUND(H416-I416,2)</f>
        <v>0</v>
      </c>
      <c r="K416" s="26" t="str">
        <f aca="false">IF(ABS(J416)&lt;0.05,"OK","Verificar")</f>
        <v>OK</v>
      </c>
    </row>
    <row r="417" customFormat="false" ht="15" hidden="false" customHeight="false" outlineLevel="0" collapsed="false">
      <c r="A417" s="3" t="n">
        <v>5</v>
      </c>
      <c r="B417" s="24" t="n">
        <v>46143</v>
      </c>
      <c r="C417" s="3" t="s">
        <v>646</v>
      </c>
      <c r="D417" s="3" t="s">
        <v>258</v>
      </c>
      <c r="E417" s="3" t="n">
        <f aca="false">COUNTIF('NF x Centro de Custo'!$C$5:$C$1270,$C417)</f>
        <v>1</v>
      </c>
      <c r="F417" s="15" t="n">
        <f aca="false">SUMIFS('NF x Centro de Custo'!$F$5:$F$1270,'NF x Centro de Custo'!$C$5:$C$1270,$C417)</f>
        <v>82.49</v>
      </c>
      <c r="G417" s="15" t="n">
        <f aca="false">SUMIFS('NF x Centro de Custo'!$G$5:$G$1270,'NF x Centro de Custo'!$C$5:$C$1270,$C417)</f>
        <v>99.82</v>
      </c>
      <c r="H417" s="15" t="n">
        <f aca="false">F417+G417</f>
        <v>182.31</v>
      </c>
      <c r="I417" s="25" t="n">
        <v>182.31</v>
      </c>
      <c r="J417" s="15" t="n">
        <f aca="false">ROUND(H417-I417,2)</f>
        <v>0</v>
      </c>
      <c r="K417" s="26" t="str">
        <f aca="false">IF(ABS(J417)&lt;0.05,"OK","Verificar")</f>
        <v>OK</v>
      </c>
    </row>
    <row r="418" customFormat="false" ht="15" hidden="false" customHeight="false" outlineLevel="0" collapsed="false">
      <c r="A418" s="3" t="n">
        <v>5</v>
      </c>
      <c r="B418" s="24" t="n">
        <v>46143</v>
      </c>
      <c r="C418" s="3" t="s">
        <v>647</v>
      </c>
      <c r="D418" s="3" t="s">
        <v>249</v>
      </c>
      <c r="E418" s="3" t="n">
        <f aca="false">COUNTIF('NF x Centro de Custo'!$C$5:$C$1270,$C418)</f>
        <v>1</v>
      </c>
      <c r="F418" s="15" t="n">
        <f aca="false">SUMIFS('NF x Centro de Custo'!$F$5:$F$1270,'NF x Centro de Custo'!$C$5:$C$1270,$C418)</f>
        <v>3000.07</v>
      </c>
      <c r="G418" s="15" t="n">
        <f aca="false">SUMIFS('NF x Centro de Custo'!$G$5:$G$1270,'NF x Centro de Custo'!$C$5:$C$1270,$C418)</f>
        <v>1199.01</v>
      </c>
      <c r="H418" s="15" t="n">
        <f aca="false">F418+G418</f>
        <v>4199.08</v>
      </c>
      <c r="I418" s="25" t="n">
        <v>4199.08</v>
      </c>
      <c r="J418" s="15" t="n">
        <f aca="false">ROUND(H418-I418,2)</f>
        <v>0</v>
      </c>
      <c r="K418" s="26" t="str">
        <f aca="false">IF(ABS(J418)&lt;0.05,"OK","Verificar")</f>
        <v>OK</v>
      </c>
    </row>
    <row r="419" customFormat="false" ht="15" hidden="false" customHeight="false" outlineLevel="0" collapsed="false">
      <c r="A419" s="3" t="n">
        <v>5</v>
      </c>
      <c r="B419" s="24" t="n">
        <v>46143</v>
      </c>
      <c r="C419" s="3" t="s">
        <v>648</v>
      </c>
      <c r="D419" s="3" t="s">
        <v>212</v>
      </c>
      <c r="E419" s="3" t="n">
        <f aca="false">COUNTIF('NF x Centro de Custo'!$C$5:$C$1270,$C419)</f>
        <v>2</v>
      </c>
      <c r="F419" s="15" t="n">
        <f aca="false">SUMIFS('NF x Centro de Custo'!$F$5:$F$1270,'NF x Centro de Custo'!$C$5:$C$1270,$C419)</f>
        <v>123717.28</v>
      </c>
      <c r="G419" s="15" t="n">
        <f aca="false">SUMIFS('NF x Centro de Custo'!$G$5:$G$1270,'NF x Centro de Custo'!$C$5:$C$1270,$C419)</f>
        <v>38329.54</v>
      </c>
      <c r="H419" s="15" t="n">
        <f aca="false">F419+G419</f>
        <v>162046.82</v>
      </c>
      <c r="I419" s="25" t="n">
        <v>162046.82</v>
      </c>
      <c r="J419" s="15" t="n">
        <f aca="false">ROUND(H419-I419,2)</f>
        <v>0</v>
      </c>
      <c r="K419" s="26" t="str">
        <f aca="false">IF(ABS(J419)&lt;0.05,"OK","Verificar")</f>
        <v>OK</v>
      </c>
    </row>
    <row r="420" customFormat="false" ht="15" hidden="false" customHeight="false" outlineLevel="0" collapsed="false">
      <c r="A420" s="3" t="n">
        <v>5</v>
      </c>
      <c r="B420" s="24" t="n">
        <v>46143</v>
      </c>
      <c r="C420" s="3" t="s">
        <v>649</v>
      </c>
      <c r="D420" s="3" t="s">
        <v>224</v>
      </c>
      <c r="E420" s="3" t="n">
        <f aca="false">COUNTIF('NF x Centro de Custo'!$C$5:$C$1270,$C420)</f>
        <v>1</v>
      </c>
      <c r="F420" s="15" t="n">
        <f aca="false">SUMIFS('NF x Centro de Custo'!$F$5:$F$1270,'NF x Centro de Custo'!$C$5:$C$1270,$C420)</f>
        <v>8993.52</v>
      </c>
      <c r="G420" s="15" t="n">
        <f aca="false">SUMIFS('NF x Centro de Custo'!$G$5:$G$1270,'NF x Centro de Custo'!$C$5:$C$1270,$C420)</f>
        <v>3214.64</v>
      </c>
      <c r="H420" s="15" t="n">
        <f aca="false">F420+G420</f>
        <v>12208.16</v>
      </c>
      <c r="I420" s="25" t="n">
        <v>12208.16</v>
      </c>
      <c r="J420" s="15" t="n">
        <f aca="false">ROUND(H420-I420,2)</f>
        <v>0</v>
      </c>
      <c r="K420" s="26" t="str">
        <f aca="false">IF(ABS(J420)&lt;0.05,"OK","Verificar")</f>
        <v>OK</v>
      </c>
    </row>
    <row r="421" customFormat="false" ht="15" hidden="false" customHeight="false" outlineLevel="0" collapsed="false">
      <c r="A421" s="3" t="n">
        <v>5</v>
      </c>
      <c r="B421" s="24" t="n">
        <v>46143</v>
      </c>
      <c r="C421" s="3" t="s">
        <v>650</v>
      </c>
      <c r="D421" s="3" t="s">
        <v>224</v>
      </c>
      <c r="E421" s="3" t="n">
        <f aca="false">COUNTIF('NF x Centro de Custo'!$C$5:$C$1270,$C421)</f>
        <v>1</v>
      </c>
      <c r="F421" s="15" t="n">
        <f aca="false">SUMIFS('NF x Centro de Custo'!$F$5:$F$1270,'NF x Centro de Custo'!$C$5:$C$1270,$C421)</f>
        <v>2740.47</v>
      </c>
      <c r="G421" s="15" t="n">
        <f aca="false">SUMIFS('NF x Centro de Custo'!$G$5:$G$1270,'NF x Centro de Custo'!$C$5:$C$1270,$C421)</f>
        <v>974.98</v>
      </c>
      <c r="H421" s="15" t="n">
        <f aca="false">F421+G421</f>
        <v>3715.45</v>
      </c>
      <c r="I421" s="25" t="n">
        <v>3715.45</v>
      </c>
      <c r="J421" s="15" t="n">
        <f aca="false">ROUND(H421-I421,2)</f>
        <v>0</v>
      </c>
      <c r="K421" s="26" t="str">
        <f aca="false">IF(ABS(J421)&lt;0.05,"OK","Verificar")</f>
        <v>OK</v>
      </c>
    </row>
    <row r="422" customFormat="false" ht="15" hidden="false" customHeight="false" outlineLevel="0" collapsed="false">
      <c r="A422" s="3" t="n">
        <v>5</v>
      </c>
      <c r="B422" s="24" t="n">
        <v>46143</v>
      </c>
      <c r="C422" s="3" t="s">
        <v>651</v>
      </c>
      <c r="D422" s="3" t="s">
        <v>224</v>
      </c>
      <c r="E422" s="3" t="n">
        <f aca="false">COUNTIF('NF x Centro de Custo'!$C$5:$C$1270,$C422)</f>
        <v>2</v>
      </c>
      <c r="F422" s="15" t="n">
        <f aca="false">SUMIFS('NF x Centro de Custo'!$F$5:$F$1270,'NF x Centro de Custo'!$C$5:$C$1270,$C422)</f>
        <v>28636.6</v>
      </c>
      <c r="G422" s="15" t="n">
        <f aca="false">SUMIFS('NF x Centro de Custo'!$G$5:$G$1270,'NF x Centro de Custo'!$C$5:$C$1270,$C422)</f>
        <v>10043.876616</v>
      </c>
      <c r="H422" s="15" t="n">
        <f aca="false">F422+G422</f>
        <v>38680.476616</v>
      </c>
      <c r="I422" s="25" t="n">
        <v>38680.476616</v>
      </c>
      <c r="J422" s="15" t="n">
        <f aca="false">ROUND(H422-I422,2)</f>
        <v>0</v>
      </c>
      <c r="K422" s="26" t="str">
        <f aca="false">IF(ABS(J422)&lt;0.05,"OK","Verificar")</f>
        <v>OK</v>
      </c>
    </row>
    <row r="423" customFormat="false" ht="15" hidden="false" customHeight="false" outlineLevel="0" collapsed="false">
      <c r="A423" s="3" t="n">
        <v>5</v>
      </c>
      <c r="B423" s="24" t="n">
        <v>46143</v>
      </c>
      <c r="C423" s="3" t="s">
        <v>652</v>
      </c>
      <c r="D423" s="3" t="s">
        <v>234</v>
      </c>
      <c r="E423" s="3" t="n">
        <f aca="false">COUNTIF('NF x Centro de Custo'!$C$5:$C$1270,$C423)</f>
        <v>1</v>
      </c>
      <c r="F423" s="15" t="n">
        <f aca="false">SUMIFS('NF x Centro de Custo'!$F$5:$F$1270,'NF x Centro de Custo'!$C$5:$C$1270,$C423)</f>
        <v>3028.12</v>
      </c>
      <c r="G423" s="15" t="n">
        <f aca="false">SUMIFS('NF x Centro de Custo'!$G$5:$G$1270,'NF x Centro de Custo'!$C$5:$C$1270,$C423)</f>
        <v>1074.66</v>
      </c>
      <c r="H423" s="15" t="n">
        <f aca="false">F423+G423</f>
        <v>4102.78</v>
      </c>
      <c r="I423" s="25" t="n">
        <v>4102.78</v>
      </c>
      <c r="J423" s="15" t="n">
        <f aca="false">ROUND(H423-I423,2)</f>
        <v>0</v>
      </c>
      <c r="K423" s="26" t="str">
        <f aca="false">IF(ABS(J423)&lt;0.05,"OK","Verificar")</f>
        <v>OK</v>
      </c>
    </row>
    <row r="424" customFormat="false" ht="15" hidden="false" customHeight="false" outlineLevel="0" collapsed="false">
      <c r="A424" s="3" t="n">
        <v>5</v>
      </c>
      <c r="B424" s="24" t="n">
        <v>46143</v>
      </c>
      <c r="C424" s="3" t="s">
        <v>653</v>
      </c>
      <c r="D424" s="3" t="s">
        <v>234</v>
      </c>
      <c r="E424" s="3" t="n">
        <f aca="false">COUNTIF('NF x Centro de Custo'!$C$5:$C$1270,$C424)</f>
        <v>1</v>
      </c>
      <c r="F424" s="15" t="n">
        <f aca="false">SUMIFS('NF x Centro de Custo'!$F$5:$F$1270,'NF x Centro de Custo'!$C$5:$C$1270,$C424)</f>
        <v>7415.08</v>
      </c>
      <c r="G424" s="15" t="n">
        <f aca="false">SUMIFS('NF x Centro de Custo'!$G$5:$G$1270,'NF x Centro de Custo'!$C$5:$C$1270,$C424)</f>
        <v>2655.14</v>
      </c>
      <c r="H424" s="15" t="n">
        <f aca="false">F424+G424</f>
        <v>10070.22</v>
      </c>
      <c r="I424" s="25" t="n">
        <v>10070.22</v>
      </c>
      <c r="J424" s="15" t="n">
        <f aca="false">ROUND(H424-I424,2)</f>
        <v>0</v>
      </c>
      <c r="K424" s="26" t="str">
        <f aca="false">IF(ABS(J424)&lt;0.05,"OK","Verificar")</f>
        <v>OK</v>
      </c>
    </row>
    <row r="425" customFormat="false" ht="15" hidden="false" customHeight="false" outlineLevel="0" collapsed="false">
      <c r="A425" s="3" t="n">
        <v>5</v>
      </c>
      <c r="B425" s="24" t="n">
        <v>46143</v>
      </c>
      <c r="C425" s="3" t="s">
        <v>654</v>
      </c>
      <c r="D425" s="3" t="s">
        <v>228</v>
      </c>
      <c r="E425" s="3" t="n">
        <f aca="false">COUNTIF('NF x Centro de Custo'!$C$5:$C$1270,$C425)</f>
        <v>1</v>
      </c>
      <c r="F425" s="15" t="n">
        <f aca="false">SUMIFS('NF x Centro de Custo'!$F$5:$F$1270,'NF x Centro de Custo'!$C$5:$C$1270,$C425)</f>
        <v>8675.82</v>
      </c>
      <c r="G425" s="15" t="n">
        <f aca="false">SUMIFS('NF x Centro de Custo'!$G$5:$G$1270,'NF x Centro de Custo'!$C$5:$C$1270,$C425)</f>
        <v>3274.84</v>
      </c>
      <c r="H425" s="15" t="n">
        <f aca="false">F425+G425</f>
        <v>11950.66</v>
      </c>
      <c r="I425" s="25" t="n">
        <v>11950.66</v>
      </c>
      <c r="J425" s="15" t="n">
        <f aca="false">ROUND(H425-I425,2)</f>
        <v>0</v>
      </c>
      <c r="K425" s="26" t="str">
        <f aca="false">IF(ABS(J425)&lt;0.05,"OK","Verificar")</f>
        <v>OK</v>
      </c>
    </row>
    <row r="426" customFormat="false" ht="15" hidden="false" customHeight="false" outlineLevel="0" collapsed="false">
      <c r="A426" s="3" t="n">
        <v>5</v>
      </c>
      <c r="B426" s="24" t="n">
        <v>46143</v>
      </c>
      <c r="C426" s="3" t="s">
        <v>655</v>
      </c>
      <c r="D426" s="3" t="s">
        <v>219</v>
      </c>
      <c r="E426" s="3" t="n">
        <f aca="false">COUNTIF('NF x Centro de Custo'!$C$5:$C$1270,$C426)</f>
        <v>2</v>
      </c>
      <c r="F426" s="15" t="n">
        <f aca="false">SUMIFS('NF x Centro de Custo'!$F$5:$F$1270,'NF x Centro de Custo'!$C$5:$C$1270,$C426)</f>
        <v>3745.96</v>
      </c>
      <c r="G426" s="15" t="n">
        <f aca="false">SUMIFS('NF x Centro de Custo'!$G$5:$G$1270,'NF x Centro de Custo'!$C$5:$C$1270,$C426)</f>
        <v>1582.97</v>
      </c>
      <c r="H426" s="15" t="n">
        <f aca="false">F426+G426</f>
        <v>5328.93</v>
      </c>
      <c r="I426" s="25" t="n">
        <v>5328.93</v>
      </c>
      <c r="J426" s="15" t="n">
        <f aca="false">ROUND(H426-I426,2)</f>
        <v>0</v>
      </c>
      <c r="K426" s="26" t="str">
        <f aca="false">IF(ABS(J426)&lt;0.05,"OK","Verificar")</f>
        <v>OK</v>
      </c>
    </row>
    <row r="427" customFormat="false" ht="15" hidden="false" customHeight="false" outlineLevel="0" collapsed="false">
      <c r="A427" s="3" t="n">
        <v>5</v>
      </c>
      <c r="B427" s="24" t="n">
        <v>46143</v>
      </c>
      <c r="C427" s="3" t="s">
        <v>656</v>
      </c>
      <c r="D427" s="3" t="s">
        <v>228</v>
      </c>
      <c r="E427" s="3" t="n">
        <f aca="false">COUNTIF('NF x Centro de Custo'!$C$5:$C$1270,$C427)</f>
        <v>1</v>
      </c>
      <c r="F427" s="15" t="n">
        <f aca="false">SUMIFS('NF x Centro de Custo'!$F$5:$F$1270,'NF x Centro de Custo'!$C$5:$C$1270,$C427)</f>
        <v>39679.55</v>
      </c>
      <c r="G427" s="15" t="n">
        <f aca="false">SUMIFS('NF x Centro de Custo'!$G$5:$G$1270,'NF x Centro de Custo'!$C$5:$C$1270,$C427)</f>
        <v>13926.332648</v>
      </c>
      <c r="H427" s="15" t="n">
        <f aca="false">F427+G427</f>
        <v>53605.882648</v>
      </c>
      <c r="I427" s="25" t="n">
        <v>53605.882648</v>
      </c>
      <c r="J427" s="15" t="n">
        <f aca="false">ROUND(H427-I427,2)</f>
        <v>0</v>
      </c>
      <c r="K427" s="26" t="str">
        <f aca="false">IF(ABS(J427)&lt;0.05,"OK","Verificar")</f>
        <v>OK</v>
      </c>
    </row>
    <row r="428" customFormat="false" ht="15" hidden="false" customHeight="false" outlineLevel="0" collapsed="false">
      <c r="A428" s="3" t="n">
        <v>5</v>
      </c>
      <c r="B428" s="24" t="n">
        <v>46143</v>
      </c>
      <c r="C428" s="3" t="s">
        <v>657</v>
      </c>
      <c r="D428" s="3" t="s">
        <v>228</v>
      </c>
      <c r="E428" s="3" t="n">
        <f aca="false">COUNTIF('NF x Centro de Custo'!$C$5:$C$1270,$C428)</f>
        <v>1</v>
      </c>
      <c r="F428" s="15" t="n">
        <f aca="false">SUMIFS('NF x Centro de Custo'!$F$5:$F$1270,'NF x Centro de Custo'!$C$5:$C$1270,$C428)</f>
        <v>10374.68</v>
      </c>
      <c r="G428" s="15" t="n">
        <f aca="false">SUMIFS('NF x Centro de Custo'!$G$5:$G$1270,'NF x Centro de Custo'!$C$5:$C$1270,$C428)</f>
        <v>3615.245216</v>
      </c>
      <c r="H428" s="15" t="n">
        <f aca="false">F428+G428</f>
        <v>13989.925216</v>
      </c>
      <c r="I428" s="25" t="n">
        <v>13989.925216</v>
      </c>
      <c r="J428" s="15" t="n">
        <f aca="false">ROUND(H428-I428,2)</f>
        <v>0</v>
      </c>
      <c r="K428" s="26" t="str">
        <f aca="false">IF(ABS(J428)&lt;0.05,"OK","Verificar")</f>
        <v>OK</v>
      </c>
    </row>
    <row r="429" customFormat="false" ht="15" hidden="false" customHeight="false" outlineLevel="0" collapsed="false">
      <c r="A429" s="3" t="n">
        <v>5</v>
      </c>
      <c r="B429" s="24" t="n">
        <v>46143</v>
      </c>
      <c r="C429" s="3" t="s">
        <v>658</v>
      </c>
      <c r="D429" s="3" t="s">
        <v>228</v>
      </c>
      <c r="E429" s="3" t="n">
        <f aca="false">COUNTIF('NF x Centro de Custo'!$C$5:$C$1270,$C429)</f>
        <v>1</v>
      </c>
      <c r="F429" s="15" t="n">
        <f aca="false">SUMIFS('NF x Centro de Custo'!$F$5:$F$1270,'NF x Centro de Custo'!$C$5:$C$1270,$C429)</f>
        <v>20322.88</v>
      </c>
      <c r="G429" s="15" t="n">
        <f aca="false">SUMIFS('NF x Centro de Custo'!$G$5:$G$1270,'NF x Centro de Custo'!$C$5:$C$1270,$C429)</f>
        <v>7055.8</v>
      </c>
      <c r="H429" s="15" t="n">
        <f aca="false">F429+G429</f>
        <v>27378.68</v>
      </c>
      <c r="I429" s="25" t="n">
        <v>27378.68</v>
      </c>
      <c r="J429" s="15" t="n">
        <f aca="false">ROUND(H429-I429,2)</f>
        <v>0</v>
      </c>
      <c r="K429" s="26" t="str">
        <f aca="false">IF(ABS(J429)&lt;0.05,"OK","Verificar")</f>
        <v>OK</v>
      </c>
    </row>
    <row r="430" customFormat="false" ht="15" hidden="false" customHeight="false" outlineLevel="0" collapsed="false">
      <c r="A430" s="3" t="n">
        <v>5</v>
      </c>
      <c r="B430" s="24" t="n">
        <v>46143</v>
      </c>
      <c r="C430" s="3" t="s">
        <v>659</v>
      </c>
      <c r="D430" s="3" t="s">
        <v>217</v>
      </c>
      <c r="E430" s="3" t="n">
        <f aca="false">COUNTIF('NF x Centro de Custo'!$C$5:$C$1270,$C430)</f>
        <v>1</v>
      </c>
      <c r="F430" s="15" t="n">
        <f aca="false">SUMIFS('NF x Centro de Custo'!$F$5:$F$1270,'NF x Centro de Custo'!$C$5:$C$1270,$C430)</f>
        <v>11380.16</v>
      </c>
      <c r="G430" s="15" t="n">
        <f aca="false">SUMIFS('NF x Centro de Custo'!$G$5:$G$1270,'NF x Centro de Custo'!$C$5:$C$1270,$C430)</f>
        <v>4120.16</v>
      </c>
      <c r="H430" s="15" t="n">
        <f aca="false">F430+G430</f>
        <v>15500.32</v>
      </c>
      <c r="I430" s="25" t="n">
        <v>15500.32</v>
      </c>
      <c r="J430" s="15" t="n">
        <f aca="false">ROUND(H430-I430,2)</f>
        <v>0</v>
      </c>
      <c r="K430" s="26" t="str">
        <f aca="false">IF(ABS(J430)&lt;0.05,"OK","Verificar")</f>
        <v>OK</v>
      </c>
    </row>
    <row r="431" customFormat="false" ht="15" hidden="false" customHeight="false" outlineLevel="0" collapsed="false">
      <c r="A431" s="3" t="n">
        <v>5</v>
      </c>
      <c r="B431" s="24" t="n">
        <v>46143</v>
      </c>
      <c r="C431" s="3" t="s">
        <v>660</v>
      </c>
      <c r="D431" s="3" t="s">
        <v>217</v>
      </c>
      <c r="E431" s="3" t="n">
        <f aca="false">COUNTIF('NF x Centro de Custo'!$C$5:$C$1270,$C431)</f>
        <v>1</v>
      </c>
      <c r="F431" s="15" t="n">
        <f aca="false">SUMIFS('NF x Centro de Custo'!$F$5:$F$1270,'NF x Centro de Custo'!$C$5:$C$1270,$C431)</f>
        <v>2352.62</v>
      </c>
      <c r="G431" s="15" t="n">
        <f aca="false">SUMIFS('NF x Centro de Custo'!$G$5:$G$1270,'NF x Centro de Custo'!$C$5:$C$1270,$C431)</f>
        <v>872.36</v>
      </c>
      <c r="H431" s="15" t="n">
        <f aca="false">F431+G431</f>
        <v>3224.98</v>
      </c>
      <c r="I431" s="25" t="n">
        <v>3224.98</v>
      </c>
      <c r="J431" s="15" t="n">
        <f aca="false">ROUND(H431-I431,2)</f>
        <v>0</v>
      </c>
      <c r="K431" s="26" t="str">
        <f aca="false">IF(ABS(J431)&lt;0.05,"OK","Verificar")</f>
        <v>OK</v>
      </c>
    </row>
    <row r="432" customFormat="false" ht="15" hidden="false" customHeight="false" outlineLevel="0" collapsed="false">
      <c r="A432" s="3" t="n">
        <v>5</v>
      </c>
      <c r="B432" s="24" t="n">
        <v>46143</v>
      </c>
      <c r="C432" s="3" t="s">
        <v>661</v>
      </c>
      <c r="D432" s="3" t="s">
        <v>217</v>
      </c>
      <c r="E432" s="3" t="n">
        <f aca="false">COUNTIF('NF x Centro de Custo'!$C$5:$C$1270,$C432)</f>
        <v>3</v>
      </c>
      <c r="F432" s="15" t="n">
        <f aca="false">SUMIFS('NF x Centro de Custo'!$F$5:$F$1270,'NF x Centro de Custo'!$C$5:$C$1270,$C432)</f>
        <v>6993.01</v>
      </c>
      <c r="G432" s="15" t="n">
        <f aca="false">SUMIFS('NF x Centro de Custo'!$G$5:$G$1270,'NF x Centro de Custo'!$C$5:$C$1270,$C432)</f>
        <v>2560.92</v>
      </c>
      <c r="H432" s="15" t="n">
        <f aca="false">F432+G432</f>
        <v>9553.93</v>
      </c>
      <c r="I432" s="25" t="n">
        <v>9553.93</v>
      </c>
      <c r="J432" s="15" t="n">
        <f aca="false">ROUND(H432-I432,2)</f>
        <v>0</v>
      </c>
      <c r="K432" s="26" t="str">
        <f aca="false">IF(ABS(J432)&lt;0.05,"OK","Verificar")</f>
        <v>OK</v>
      </c>
    </row>
    <row r="433" customFormat="false" ht="15" hidden="false" customHeight="false" outlineLevel="0" collapsed="false">
      <c r="A433" s="3" t="n">
        <v>5</v>
      </c>
      <c r="B433" s="24" t="n">
        <v>46143</v>
      </c>
      <c r="C433" s="3" t="s">
        <v>662</v>
      </c>
      <c r="D433" s="3" t="s">
        <v>217</v>
      </c>
      <c r="E433" s="3" t="n">
        <f aca="false">COUNTIF('NF x Centro de Custo'!$C$5:$C$1270,$C433)</f>
        <v>1</v>
      </c>
      <c r="F433" s="15" t="n">
        <f aca="false">SUMIFS('NF x Centro de Custo'!$F$5:$F$1270,'NF x Centro de Custo'!$C$5:$C$1270,$C433)</f>
        <v>46529.36</v>
      </c>
      <c r="G433" s="15" t="n">
        <f aca="false">SUMIFS('NF x Centro de Custo'!$G$5:$G$1270,'NF x Centro de Custo'!$C$5:$C$1270,$C433)</f>
        <v>16210.18</v>
      </c>
      <c r="H433" s="15" t="n">
        <f aca="false">F433+G433</f>
        <v>62739.54</v>
      </c>
      <c r="I433" s="25" t="n">
        <v>62739.54</v>
      </c>
      <c r="J433" s="15" t="n">
        <f aca="false">ROUND(H433-I433,2)</f>
        <v>0</v>
      </c>
      <c r="K433" s="26" t="str">
        <f aca="false">IF(ABS(J433)&lt;0.05,"OK","Verificar")</f>
        <v>OK</v>
      </c>
    </row>
    <row r="434" customFormat="false" ht="15" hidden="false" customHeight="false" outlineLevel="0" collapsed="false">
      <c r="A434" s="3" t="n">
        <v>5</v>
      </c>
      <c r="B434" s="24" t="n">
        <v>46143</v>
      </c>
      <c r="C434" s="3" t="s">
        <v>663</v>
      </c>
      <c r="D434" s="3" t="s">
        <v>219</v>
      </c>
      <c r="E434" s="3" t="n">
        <f aca="false">COUNTIF('NF x Centro de Custo'!$C$5:$C$1270,$C434)</f>
        <v>1</v>
      </c>
      <c r="F434" s="15" t="n">
        <f aca="false">SUMIFS('NF x Centro de Custo'!$F$5:$F$1270,'NF x Centro de Custo'!$C$5:$C$1270,$C434)</f>
        <v>22352.44</v>
      </c>
      <c r="G434" s="15" t="n">
        <f aca="false">SUMIFS('NF x Centro de Custo'!$G$5:$G$1270,'NF x Centro de Custo'!$C$5:$C$1270,$C434)</f>
        <v>7766.46</v>
      </c>
      <c r="H434" s="15" t="n">
        <f aca="false">F434+G434</f>
        <v>30118.9</v>
      </c>
      <c r="I434" s="25" t="n">
        <v>30118.9</v>
      </c>
      <c r="J434" s="15" t="n">
        <f aca="false">ROUND(H434-I434,2)</f>
        <v>0</v>
      </c>
      <c r="K434" s="26" t="str">
        <f aca="false">IF(ABS(J434)&lt;0.05,"OK","Verificar")</f>
        <v>OK</v>
      </c>
    </row>
    <row r="435" customFormat="false" ht="15" hidden="false" customHeight="false" outlineLevel="0" collapsed="false">
      <c r="A435" s="3" t="n">
        <v>5</v>
      </c>
      <c r="B435" s="24" t="n">
        <v>46143</v>
      </c>
      <c r="C435" s="3" t="s">
        <v>664</v>
      </c>
      <c r="D435" s="3" t="s">
        <v>219</v>
      </c>
      <c r="E435" s="3" t="n">
        <f aca="false">COUNTIF('NF x Centro de Custo'!$C$5:$C$1270,$C435)</f>
        <v>1</v>
      </c>
      <c r="F435" s="15" t="n">
        <f aca="false">SUMIFS('NF x Centro de Custo'!$F$5:$F$1270,'NF x Centro de Custo'!$C$5:$C$1270,$C435)</f>
        <v>1828.1</v>
      </c>
      <c r="G435" s="15" t="n">
        <f aca="false">SUMIFS('NF x Centro de Custo'!$G$5:$G$1270,'NF x Centro de Custo'!$C$5:$C$1270,$C435)</f>
        <v>670.09</v>
      </c>
      <c r="H435" s="15" t="n">
        <f aca="false">F435+G435</f>
        <v>2498.19</v>
      </c>
      <c r="I435" s="25" t="n">
        <v>2498.19</v>
      </c>
      <c r="J435" s="15" t="n">
        <f aca="false">ROUND(H435-I435,2)</f>
        <v>0</v>
      </c>
      <c r="K435" s="26" t="str">
        <f aca="false">IF(ABS(J435)&lt;0.05,"OK","Verificar")</f>
        <v>OK</v>
      </c>
    </row>
    <row r="436" customFormat="false" ht="15" hidden="false" customHeight="false" outlineLevel="0" collapsed="false">
      <c r="A436" s="3" t="n">
        <v>5</v>
      </c>
      <c r="B436" s="24" t="n">
        <v>46143</v>
      </c>
      <c r="C436" s="3" t="s">
        <v>665</v>
      </c>
      <c r="D436" s="3" t="s">
        <v>219</v>
      </c>
      <c r="E436" s="3" t="n">
        <f aca="false">COUNTIF('NF x Centro de Custo'!$C$5:$C$1270,$C436)</f>
        <v>1</v>
      </c>
      <c r="F436" s="15" t="n">
        <f aca="false">SUMIFS('NF x Centro de Custo'!$F$5:$F$1270,'NF x Centro de Custo'!$C$5:$C$1270,$C436)</f>
        <v>35894.4</v>
      </c>
      <c r="G436" s="15" t="n">
        <f aca="false">SUMIFS('NF x Centro de Custo'!$G$5:$G$1270,'NF x Centro de Custo'!$C$5:$C$1270,$C436)</f>
        <v>12520.12</v>
      </c>
      <c r="H436" s="15" t="n">
        <f aca="false">F436+G436</f>
        <v>48414.52</v>
      </c>
      <c r="I436" s="25" t="n">
        <v>48414.52</v>
      </c>
      <c r="J436" s="15" t="n">
        <f aca="false">ROUND(H436-I436,2)</f>
        <v>0</v>
      </c>
      <c r="K436" s="26" t="str">
        <f aca="false">IF(ABS(J436)&lt;0.05,"OK","Verificar")</f>
        <v>OK</v>
      </c>
    </row>
    <row r="437" customFormat="false" ht="15" hidden="false" customHeight="false" outlineLevel="0" collapsed="false">
      <c r="A437" s="3" t="n">
        <v>5</v>
      </c>
      <c r="B437" s="24" t="n">
        <v>46143</v>
      </c>
      <c r="C437" s="3" t="s">
        <v>666</v>
      </c>
      <c r="D437" s="3" t="s">
        <v>237</v>
      </c>
      <c r="E437" s="3" t="n">
        <f aca="false">COUNTIF('NF x Centro de Custo'!$C$5:$C$1270,$C437)</f>
        <v>1</v>
      </c>
      <c r="F437" s="15" t="n">
        <f aca="false">SUMIFS('NF x Centro de Custo'!$F$5:$F$1270,'NF x Centro de Custo'!$C$5:$C$1270,$C437)</f>
        <v>8631.99</v>
      </c>
      <c r="G437" s="15" t="n">
        <f aca="false">SUMIFS('NF x Centro de Custo'!$G$5:$G$1270,'NF x Centro de Custo'!$C$5:$C$1270,$C437)</f>
        <v>3001.45</v>
      </c>
      <c r="H437" s="15" t="n">
        <f aca="false">F437+G437</f>
        <v>11633.44</v>
      </c>
      <c r="I437" s="25" t="n">
        <v>11633.44</v>
      </c>
      <c r="J437" s="15" t="n">
        <f aca="false">ROUND(H437-I437,2)</f>
        <v>0</v>
      </c>
      <c r="K437" s="26" t="str">
        <f aca="false">IF(ABS(J437)&lt;0.05,"OK","Verificar")</f>
        <v>OK</v>
      </c>
    </row>
    <row r="438" customFormat="false" ht="15" hidden="false" customHeight="false" outlineLevel="0" collapsed="false">
      <c r="A438" s="3" t="n">
        <v>5</v>
      </c>
      <c r="B438" s="24" t="n">
        <v>46143</v>
      </c>
      <c r="C438" s="3" t="s">
        <v>667</v>
      </c>
      <c r="D438" s="3" t="s">
        <v>237</v>
      </c>
      <c r="E438" s="3" t="n">
        <f aca="false">COUNTIF('NF x Centro de Custo'!$C$5:$C$1270,$C438)</f>
        <v>1</v>
      </c>
      <c r="F438" s="15" t="n">
        <f aca="false">SUMIFS('NF x Centro de Custo'!$F$5:$F$1270,'NF x Centro de Custo'!$C$5:$C$1270,$C438)</f>
        <v>81.57</v>
      </c>
      <c r="G438" s="15" t="n">
        <f aca="false">SUMIFS('NF x Centro de Custo'!$G$5:$G$1270,'NF x Centro de Custo'!$C$5:$C$1270,$C438)</f>
        <v>34.78</v>
      </c>
      <c r="H438" s="15" t="n">
        <f aca="false">F438+G438</f>
        <v>116.35</v>
      </c>
      <c r="I438" s="25" t="n">
        <v>116.35</v>
      </c>
      <c r="J438" s="15" t="n">
        <f aca="false">ROUND(H438-I438,2)</f>
        <v>0</v>
      </c>
      <c r="K438" s="26" t="str">
        <f aca="false">IF(ABS(J438)&lt;0.05,"OK","Verificar")</f>
        <v>OK</v>
      </c>
    </row>
    <row r="439" customFormat="false" ht="15" hidden="false" customHeight="false" outlineLevel="0" collapsed="false">
      <c r="A439" s="3" t="n">
        <v>5</v>
      </c>
      <c r="B439" s="24" t="n">
        <v>46143</v>
      </c>
      <c r="C439" s="3" t="s">
        <v>668</v>
      </c>
      <c r="D439" s="3" t="s">
        <v>237</v>
      </c>
      <c r="E439" s="3" t="n">
        <f aca="false">COUNTIF('NF x Centro de Custo'!$C$5:$C$1270,$C439)</f>
        <v>1</v>
      </c>
      <c r="F439" s="15" t="n">
        <f aca="false">SUMIFS('NF x Centro de Custo'!$F$5:$F$1270,'NF x Centro de Custo'!$C$5:$C$1270,$C439)</f>
        <v>4993.57</v>
      </c>
      <c r="G439" s="15" t="n">
        <f aca="false">SUMIFS('NF x Centro de Custo'!$G$5:$G$1270,'NF x Centro de Custo'!$C$5:$C$1270,$C439)</f>
        <v>1876.96</v>
      </c>
      <c r="H439" s="15" t="n">
        <f aca="false">F439+G439</f>
        <v>6870.53</v>
      </c>
      <c r="I439" s="25" t="n">
        <v>6870.53</v>
      </c>
      <c r="J439" s="15" t="n">
        <f aca="false">ROUND(H439-I439,2)</f>
        <v>0</v>
      </c>
      <c r="K439" s="26" t="str">
        <f aca="false">IF(ABS(J439)&lt;0.05,"OK","Verificar")</f>
        <v>OK</v>
      </c>
    </row>
    <row r="440" customFormat="false" ht="15" hidden="false" customHeight="false" outlineLevel="0" collapsed="false">
      <c r="A440" s="3" t="n">
        <v>5</v>
      </c>
      <c r="B440" s="24" t="n">
        <v>46143</v>
      </c>
      <c r="C440" s="3" t="s">
        <v>669</v>
      </c>
      <c r="D440" s="3" t="s">
        <v>237</v>
      </c>
      <c r="E440" s="3" t="n">
        <f aca="false">COUNTIF('NF x Centro de Custo'!$C$5:$C$1270,$C440)</f>
        <v>2</v>
      </c>
      <c r="F440" s="15" t="n">
        <f aca="false">SUMIFS('NF x Centro de Custo'!$F$5:$F$1270,'NF x Centro de Custo'!$C$5:$C$1270,$C440)</f>
        <v>80616.06</v>
      </c>
      <c r="G440" s="15" t="n">
        <f aca="false">SUMIFS('NF x Centro de Custo'!$G$5:$G$1270,'NF x Centro de Custo'!$C$5:$C$1270,$C440)</f>
        <v>28066.83</v>
      </c>
      <c r="H440" s="15" t="n">
        <f aca="false">F440+G440</f>
        <v>108682.89</v>
      </c>
      <c r="I440" s="25" t="n">
        <v>108682.89</v>
      </c>
      <c r="J440" s="15" t="n">
        <f aca="false">ROUND(H440-I440,2)</f>
        <v>0</v>
      </c>
      <c r="K440" s="26" t="str">
        <f aca="false">IF(ABS(J440)&lt;0.05,"OK","Verificar")</f>
        <v>OK</v>
      </c>
    </row>
    <row r="441" customFormat="false" ht="15" hidden="false" customHeight="false" outlineLevel="0" collapsed="false">
      <c r="A441" s="3" t="n">
        <v>5</v>
      </c>
      <c r="B441" s="24" t="n">
        <v>46143</v>
      </c>
      <c r="C441" s="3" t="s">
        <v>670</v>
      </c>
      <c r="D441" s="3" t="s">
        <v>269</v>
      </c>
      <c r="E441" s="3" t="n">
        <f aca="false">COUNTIF('NF x Centro de Custo'!$C$5:$C$1270,$C441)</f>
        <v>3</v>
      </c>
      <c r="F441" s="15" t="n">
        <f aca="false">SUMIFS('NF x Centro de Custo'!$F$5:$F$1270,'NF x Centro de Custo'!$C$5:$C$1270,$C441)</f>
        <v>11340.49</v>
      </c>
      <c r="G441" s="15" t="n">
        <f aca="false">SUMIFS('NF x Centro de Custo'!$G$5:$G$1270,'NF x Centro de Custo'!$C$5:$C$1270,$C441)</f>
        <v>4085.93</v>
      </c>
      <c r="H441" s="15" t="n">
        <f aca="false">F441+G441</f>
        <v>15426.42</v>
      </c>
      <c r="I441" s="25" t="n">
        <v>15426.42</v>
      </c>
      <c r="J441" s="15" t="n">
        <f aca="false">ROUND(H441-I441,2)</f>
        <v>0</v>
      </c>
      <c r="K441" s="26" t="str">
        <f aca="false">IF(ABS(J441)&lt;0.05,"OK","Verificar")</f>
        <v>OK</v>
      </c>
    </row>
    <row r="442" customFormat="false" ht="15" hidden="false" customHeight="false" outlineLevel="0" collapsed="false">
      <c r="A442" s="3" t="n">
        <v>5</v>
      </c>
      <c r="B442" s="24" t="n">
        <v>46143</v>
      </c>
      <c r="C442" s="3" t="s">
        <v>671</v>
      </c>
      <c r="D442" s="3" t="s">
        <v>226</v>
      </c>
      <c r="E442" s="3" t="n">
        <f aca="false">COUNTIF('NF x Centro de Custo'!$C$5:$C$1270,$C442)</f>
        <v>1</v>
      </c>
      <c r="F442" s="15" t="n">
        <f aca="false">SUMIFS('NF x Centro de Custo'!$F$5:$F$1270,'NF x Centro de Custo'!$C$5:$C$1270,$C442)</f>
        <v>10182.61</v>
      </c>
      <c r="G442" s="15" t="n">
        <f aca="false">SUMIFS('NF x Centro de Custo'!$G$5:$G$1270,'NF x Centro de Custo'!$C$5:$C$1270,$C442)</f>
        <v>3282.7</v>
      </c>
      <c r="H442" s="15" t="n">
        <f aca="false">F442+G442</f>
        <v>13465.31</v>
      </c>
      <c r="I442" s="25" t="n">
        <v>13465.31</v>
      </c>
      <c r="J442" s="15" t="n">
        <f aca="false">ROUND(H442-I442,2)</f>
        <v>0</v>
      </c>
      <c r="K442" s="26" t="str">
        <f aca="false">IF(ABS(J442)&lt;0.05,"OK","Verificar")</f>
        <v>OK</v>
      </c>
    </row>
    <row r="443" customFormat="false" ht="15" hidden="false" customHeight="false" outlineLevel="0" collapsed="false">
      <c r="A443" s="3" t="n">
        <v>5</v>
      </c>
      <c r="B443" s="24" t="n">
        <v>46143</v>
      </c>
      <c r="C443" s="3" t="s">
        <v>672</v>
      </c>
      <c r="D443" s="3" t="s">
        <v>269</v>
      </c>
      <c r="E443" s="3" t="n">
        <f aca="false">COUNTIF('NF x Centro de Custo'!$C$5:$C$1270,$C443)</f>
        <v>1</v>
      </c>
      <c r="F443" s="15" t="n">
        <f aca="false">SUMIFS('NF x Centro de Custo'!$F$5:$F$1270,'NF x Centro de Custo'!$C$5:$C$1270,$C443)</f>
        <v>121862.22</v>
      </c>
      <c r="G443" s="15" t="n">
        <f aca="false">SUMIFS('NF x Centro de Custo'!$G$5:$G$1270,'NF x Centro de Custo'!$C$5:$C$1270,$C443)</f>
        <v>42394.22</v>
      </c>
      <c r="H443" s="15" t="n">
        <f aca="false">F443+G443</f>
        <v>164256.44</v>
      </c>
      <c r="I443" s="25" t="n">
        <v>164256.44</v>
      </c>
      <c r="J443" s="15" t="n">
        <f aca="false">ROUND(H443-I443,2)</f>
        <v>0</v>
      </c>
      <c r="K443" s="26" t="str">
        <f aca="false">IF(ABS(J443)&lt;0.05,"OK","Verificar")</f>
        <v>OK</v>
      </c>
    </row>
    <row r="444" customFormat="false" ht="15" hidden="false" customHeight="false" outlineLevel="0" collapsed="false">
      <c r="A444" s="3" t="n">
        <v>5</v>
      </c>
      <c r="B444" s="24" t="n">
        <v>46143</v>
      </c>
      <c r="C444" s="3" t="s">
        <v>673</v>
      </c>
      <c r="D444" s="3" t="s">
        <v>269</v>
      </c>
      <c r="E444" s="3" t="n">
        <f aca="false">COUNTIF('NF x Centro de Custo'!$C$5:$C$1270,$C444)</f>
        <v>2</v>
      </c>
      <c r="F444" s="15" t="n">
        <f aca="false">SUMIFS('NF x Centro de Custo'!$F$5:$F$1270,'NF x Centro de Custo'!$C$5:$C$1270,$C444)</f>
        <v>8514.89</v>
      </c>
      <c r="G444" s="15" t="n">
        <f aca="false">SUMIFS('NF x Centro de Custo'!$G$5:$G$1270,'NF x Centro de Custo'!$C$5:$C$1270,$C444)</f>
        <v>3145.67</v>
      </c>
      <c r="H444" s="15" t="n">
        <f aca="false">F444+G444</f>
        <v>11660.56</v>
      </c>
      <c r="I444" s="25" t="n">
        <v>11660.56</v>
      </c>
      <c r="J444" s="15" t="n">
        <f aca="false">ROUND(H444-I444,2)</f>
        <v>0</v>
      </c>
      <c r="K444" s="26" t="str">
        <f aca="false">IF(ABS(J444)&lt;0.05,"OK","Verificar")</f>
        <v>OK</v>
      </c>
    </row>
    <row r="445" customFormat="false" ht="15" hidden="false" customHeight="false" outlineLevel="0" collapsed="false">
      <c r="A445" s="3" t="n">
        <v>5</v>
      </c>
      <c r="B445" s="24" t="n">
        <v>46143</v>
      </c>
      <c r="C445" s="3" t="s">
        <v>674</v>
      </c>
      <c r="D445" s="3" t="s">
        <v>222</v>
      </c>
      <c r="E445" s="3" t="n">
        <f aca="false">COUNTIF('NF x Centro de Custo'!$C$5:$C$1270,$C445)</f>
        <v>2</v>
      </c>
      <c r="F445" s="15" t="n">
        <f aca="false">SUMIFS('NF x Centro de Custo'!$F$5:$F$1270,'NF x Centro de Custo'!$C$5:$C$1270,$C445)</f>
        <v>10255.58</v>
      </c>
      <c r="G445" s="15" t="n">
        <f aca="false">SUMIFS('NF x Centro de Custo'!$G$5:$G$1270,'NF x Centro de Custo'!$C$5:$C$1270,$C445)</f>
        <v>3632.83</v>
      </c>
      <c r="H445" s="15" t="n">
        <f aca="false">F445+G445</f>
        <v>13888.41</v>
      </c>
      <c r="I445" s="25" t="n">
        <v>13888.41</v>
      </c>
      <c r="J445" s="15" t="n">
        <f aca="false">ROUND(H445-I445,2)</f>
        <v>0</v>
      </c>
      <c r="K445" s="26" t="str">
        <f aca="false">IF(ABS(J445)&lt;0.05,"OK","Verificar")</f>
        <v>OK</v>
      </c>
    </row>
    <row r="446" customFormat="false" ht="15" hidden="false" customHeight="false" outlineLevel="0" collapsed="false">
      <c r="A446" s="3" t="n">
        <v>5</v>
      </c>
      <c r="B446" s="24" t="n">
        <v>46143</v>
      </c>
      <c r="C446" s="3" t="s">
        <v>675</v>
      </c>
      <c r="D446" s="3" t="s">
        <v>222</v>
      </c>
      <c r="E446" s="3" t="n">
        <f aca="false">COUNTIF('NF x Centro de Custo'!$C$5:$C$1270,$C446)</f>
        <v>12</v>
      </c>
      <c r="F446" s="15" t="n">
        <f aca="false">SUMIFS('NF x Centro de Custo'!$F$5:$F$1270,'NF x Centro de Custo'!$C$5:$C$1270,$C446)</f>
        <v>988804.44</v>
      </c>
      <c r="G446" s="15" t="n">
        <f aca="false">SUMIFS('NF x Centro de Custo'!$G$5:$G$1270,'NF x Centro de Custo'!$C$5:$C$1270,$C446)</f>
        <v>352182.5</v>
      </c>
      <c r="H446" s="15" t="n">
        <f aca="false">F446+G446</f>
        <v>1340986.94</v>
      </c>
      <c r="I446" s="25" t="n">
        <v>1340986.94</v>
      </c>
      <c r="J446" s="15" t="n">
        <f aca="false">ROUND(H446-I446,2)</f>
        <v>0</v>
      </c>
      <c r="K446" s="26" t="str">
        <f aca="false">IF(ABS(J446)&lt;0.05,"OK","Verificar")</f>
        <v>OK</v>
      </c>
    </row>
    <row r="447" customFormat="false" ht="15" hidden="false" customHeight="false" outlineLevel="0" collapsed="false">
      <c r="A447" s="3" t="n">
        <v>5</v>
      </c>
      <c r="B447" s="24" t="n">
        <v>46143</v>
      </c>
      <c r="C447" s="3" t="s">
        <v>676</v>
      </c>
      <c r="D447" s="3" t="s">
        <v>226</v>
      </c>
      <c r="E447" s="3" t="n">
        <f aca="false">COUNTIF('NF x Centro de Custo'!$C$5:$C$1270,$C447)</f>
        <v>4</v>
      </c>
      <c r="F447" s="15" t="n">
        <f aca="false">SUMIFS('NF x Centro de Custo'!$F$5:$F$1270,'NF x Centro de Custo'!$C$5:$C$1270,$C447)</f>
        <v>133827.75</v>
      </c>
      <c r="G447" s="15" t="n">
        <f aca="false">SUMIFS('NF x Centro de Custo'!$G$5:$G$1270,'NF x Centro de Custo'!$C$5:$C$1270,$C447)</f>
        <v>40418.47</v>
      </c>
      <c r="H447" s="15" t="n">
        <f aca="false">F447+G447</f>
        <v>174246.22</v>
      </c>
      <c r="I447" s="25" t="n">
        <v>174246.22</v>
      </c>
      <c r="J447" s="15" t="n">
        <f aca="false">ROUND(H447-I447,2)</f>
        <v>0</v>
      </c>
      <c r="K447" s="26" t="str">
        <f aca="false">IF(ABS(J447)&lt;0.05,"OK","Verificar")</f>
        <v>OK</v>
      </c>
    </row>
    <row r="448" customFormat="false" ht="15" hidden="false" customHeight="false" outlineLevel="0" collapsed="false">
      <c r="A448" s="3" t="n">
        <v>5</v>
      </c>
      <c r="B448" s="24" t="n">
        <v>46143</v>
      </c>
      <c r="C448" s="3" t="s">
        <v>677</v>
      </c>
      <c r="D448" s="3" t="s">
        <v>222</v>
      </c>
      <c r="E448" s="3" t="n">
        <f aca="false">COUNTIF('NF x Centro de Custo'!$C$5:$C$1270,$C448)</f>
        <v>4</v>
      </c>
      <c r="F448" s="15" t="n">
        <f aca="false">SUMIFS('NF x Centro de Custo'!$F$5:$F$1270,'NF x Centro de Custo'!$C$5:$C$1270,$C448)</f>
        <v>24439.5</v>
      </c>
      <c r="G448" s="15" t="n">
        <f aca="false">SUMIFS('NF x Centro de Custo'!$G$5:$G$1270,'NF x Centro de Custo'!$C$5:$C$1270,$C448)</f>
        <v>0</v>
      </c>
      <c r="H448" s="15" t="n">
        <f aca="false">F448+G448</f>
        <v>24439.5</v>
      </c>
      <c r="I448" s="25" t="n">
        <v>24439.5</v>
      </c>
      <c r="J448" s="15" t="n">
        <f aca="false">ROUND(H448-I448,2)</f>
        <v>0</v>
      </c>
      <c r="K448" s="26" t="str">
        <f aca="false">IF(ABS(J448)&lt;0.05,"OK","Verificar")</f>
        <v>OK</v>
      </c>
    </row>
    <row r="449" customFormat="false" ht="15" hidden="false" customHeight="false" outlineLevel="0" collapsed="false">
      <c r="A449" s="3" t="n">
        <v>5</v>
      </c>
      <c r="B449" s="24" t="n">
        <v>46143</v>
      </c>
      <c r="C449" s="3" t="s">
        <v>678</v>
      </c>
      <c r="D449" s="3" t="s">
        <v>222</v>
      </c>
      <c r="E449" s="3" t="n">
        <f aca="false">COUNTIF('NF x Centro de Custo'!$C$5:$C$1270,$C449)</f>
        <v>3</v>
      </c>
      <c r="F449" s="15" t="n">
        <f aca="false">SUMIFS('NF x Centro de Custo'!$F$5:$F$1270,'NF x Centro de Custo'!$C$5:$C$1270,$C449)</f>
        <v>26807.4</v>
      </c>
      <c r="G449" s="15" t="n">
        <f aca="false">SUMIFS('NF x Centro de Custo'!$G$5:$G$1270,'NF x Centro de Custo'!$C$5:$C$1270,$C449)</f>
        <v>0</v>
      </c>
      <c r="H449" s="15" t="n">
        <f aca="false">F449+G449</f>
        <v>26807.4</v>
      </c>
      <c r="I449" s="25" t="n">
        <v>26807.4</v>
      </c>
      <c r="J449" s="15" t="n">
        <f aca="false">ROUND(H449-I449,2)</f>
        <v>0</v>
      </c>
      <c r="K449" s="26" t="str">
        <f aca="false">IF(ABS(J449)&lt;0.05,"OK","Verificar")</f>
        <v>OK</v>
      </c>
    </row>
    <row r="450" customFormat="false" ht="15" hidden="false" customHeight="false" outlineLevel="0" collapsed="false">
      <c r="A450" s="3" t="n">
        <v>5</v>
      </c>
      <c r="B450" s="24" t="n">
        <v>46143</v>
      </c>
      <c r="C450" s="3" t="s">
        <v>679</v>
      </c>
      <c r="D450" s="3" t="s">
        <v>222</v>
      </c>
      <c r="E450" s="3" t="n">
        <f aca="false">COUNTIF('NF x Centro de Custo'!$C$5:$C$1270,$C450)</f>
        <v>3</v>
      </c>
      <c r="F450" s="15" t="n">
        <f aca="false">SUMIFS('NF x Centro de Custo'!$F$5:$F$1270,'NF x Centro de Custo'!$C$5:$C$1270,$C450)</f>
        <v>1757.4</v>
      </c>
      <c r="G450" s="15" t="n">
        <f aca="false">SUMIFS('NF x Centro de Custo'!$G$5:$G$1270,'NF x Centro de Custo'!$C$5:$C$1270,$C450)</f>
        <v>0</v>
      </c>
      <c r="H450" s="15" t="n">
        <f aca="false">F450+G450</f>
        <v>1757.4</v>
      </c>
      <c r="I450" s="25" t="n">
        <v>1757.4</v>
      </c>
      <c r="J450" s="15" t="n">
        <f aca="false">ROUND(H450-I450,2)</f>
        <v>0</v>
      </c>
      <c r="K450" s="26" t="str">
        <f aca="false">IF(ABS(J450)&lt;0.05,"OK","Verificar")</f>
        <v>OK</v>
      </c>
    </row>
    <row r="451" customFormat="false" ht="15" hidden="false" customHeight="false" outlineLevel="0" collapsed="false">
      <c r="A451" s="3" t="n">
        <v>5</v>
      </c>
      <c r="B451" s="24" t="n">
        <v>46143</v>
      </c>
      <c r="C451" s="3" t="s">
        <v>680</v>
      </c>
      <c r="D451" s="3" t="s">
        <v>222</v>
      </c>
      <c r="E451" s="3" t="n">
        <f aca="false">COUNTIF('NF x Centro de Custo'!$C$5:$C$1270,$C451)</f>
        <v>2</v>
      </c>
      <c r="F451" s="15" t="n">
        <f aca="false">SUMIFS('NF x Centro de Custo'!$F$5:$F$1270,'NF x Centro de Custo'!$C$5:$C$1270,$C451)</f>
        <v>603.6</v>
      </c>
      <c r="G451" s="15" t="n">
        <f aca="false">SUMIFS('NF x Centro de Custo'!$G$5:$G$1270,'NF x Centro de Custo'!$C$5:$C$1270,$C451)</f>
        <v>0</v>
      </c>
      <c r="H451" s="15" t="n">
        <f aca="false">F451+G451</f>
        <v>603.6</v>
      </c>
      <c r="I451" s="25" t="n">
        <v>603.6</v>
      </c>
      <c r="J451" s="15" t="n">
        <f aca="false">ROUND(H451-I451,2)</f>
        <v>0</v>
      </c>
      <c r="K451" s="26" t="str">
        <f aca="false">IF(ABS(J451)&lt;0.05,"OK","Verificar")</f>
        <v>OK</v>
      </c>
    </row>
    <row r="452" customFormat="false" ht="15" hidden="false" customHeight="false" outlineLevel="0" collapsed="false">
      <c r="A452" s="3" t="n">
        <v>5</v>
      </c>
      <c r="B452" s="24" t="n">
        <v>46143</v>
      </c>
      <c r="C452" s="3" t="s">
        <v>681</v>
      </c>
      <c r="D452" s="3" t="s">
        <v>222</v>
      </c>
      <c r="E452" s="3" t="n">
        <f aca="false">COUNTIF('NF x Centro de Custo'!$C$5:$C$1270,$C452)</f>
        <v>14</v>
      </c>
      <c r="F452" s="15" t="n">
        <f aca="false">SUMIFS('NF x Centro de Custo'!$F$5:$F$1270,'NF x Centro de Custo'!$C$5:$C$1270,$C452)</f>
        <v>121098.4</v>
      </c>
      <c r="G452" s="15" t="n">
        <f aca="false">SUMIFS('NF x Centro de Custo'!$G$5:$G$1270,'NF x Centro de Custo'!$C$5:$C$1270,$C452)</f>
        <v>0</v>
      </c>
      <c r="H452" s="15" t="n">
        <f aca="false">F452+G452</f>
        <v>121098.4</v>
      </c>
      <c r="I452" s="25" t="n">
        <v>121098.4</v>
      </c>
      <c r="J452" s="15" t="n">
        <f aca="false">ROUND(H452-I452,2)</f>
        <v>0</v>
      </c>
      <c r="K452" s="26" t="str">
        <f aca="false">IF(ABS(J452)&lt;0.05,"OK","Verificar")</f>
        <v>OK</v>
      </c>
    </row>
    <row r="453" customFormat="false" ht="15" hidden="false" customHeight="false" outlineLevel="0" collapsed="false">
      <c r="A453" s="3" t="n">
        <v>5</v>
      </c>
      <c r="B453" s="24" t="n">
        <v>46143</v>
      </c>
      <c r="C453" s="3" t="s">
        <v>682</v>
      </c>
      <c r="D453" s="3" t="s">
        <v>261</v>
      </c>
      <c r="E453" s="3" t="n">
        <f aca="false">COUNTIF('NF x Centro de Custo'!$C$5:$C$1270,$C453)</f>
        <v>1</v>
      </c>
      <c r="F453" s="15" t="n">
        <f aca="false">SUMIFS('NF x Centro de Custo'!$F$5:$F$1270,'NF x Centro de Custo'!$C$5:$C$1270,$C453)</f>
        <v>854.5</v>
      </c>
      <c r="G453" s="15" t="n">
        <f aca="false">SUMIFS('NF x Centro de Custo'!$G$5:$G$1270,'NF x Centro de Custo'!$C$5:$C$1270,$C453)</f>
        <v>0</v>
      </c>
      <c r="H453" s="15" t="n">
        <f aca="false">F453+G453</f>
        <v>854.5</v>
      </c>
      <c r="I453" s="25" t="n">
        <v>854.5</v>
      </c>
      <c r="J453" s="15" t="n">
        <f aca="false">ROUND(H453-I453,2)</f>
        <v>0</v>
      </c>
      <c r="K453" s="26" t="str">
        <f aca="false">IF(ABS(J453)&lt;0.05,"OK","Verificar")</f>
        <v>OK</v>
      </c>
    </row>
    <row r="454" customFormat="false" ht="15" hidden="false" customHeight="false" outlineLevel="0" collapsed="false">
      <c r="A454" s="3" t="n">
        <v>5</v>
      </c>
      <c r="B454" s="24" t="n">
        <v>46143</v>
      </c>
      <c r="C454" s="3" t="s">
        <v>683</v>
      </c>
      <c r="D454" s="3" t="s">
        <v>258</v>
      </c>
      <c r="E454" s="3" t="n">
        <f aca="false">COUNTIF('NF x Centro de Custo'!$C$5:$C$1270,$C454)</f>
        <v>1</v>
      </c>
      <c r="F454" s="15" t="n">
        <f aca="false">SUMIFS('NF x Centro de Custo'!$F$5:$F$1270,'NF x Centro de Custo'!$C$5:$C$1270,$C454)</f>
        <v>460.47</v>
      </c>
      <c r="G454" s="15" t="n">
        <f aca="false">SUMIFS('NF x Centro de Custo'!$G$5:$G$1270,'NF x Centro de Custo'!$C$5:$C$1270,$C454)</f>
        <v>0</v>
      </c>
      <c r="H454" s="15" t="n">
        <f aca="false">F454+G454</f>
        <v>460.47</v>
      </c>
      <c r="I454" s="25" t="n">
        <v>460.47</v>
      </c>
      <c r="J454" s="15" t="n">
        <f aca="false">ROUND(H454-I454,2)</f>
        <v>0</v>
      </c>
      <c r="K454" s="26" t="str">
        <f aca="false">IF(ABS(J454)&lt;0.05,"OK","Verificar")</f>
        <v>OK</v>
      </c>
    </row>
    <row r="455" customFormat="false" ht="15" hidden="false" customHeight="false" outlineLevel="0" collapsed="false">
      <c r="A455" s="3" t="n">
        <v>5</v>
      </c>
      <c r="B455" s="24" t="n">
        <v>46143</v>
      </c>
      <c r="C455" s="3" t="s">
        <v>684</v>
      </c>
      <c r="D455" s="3" t="s">
        <v>258</v>
      </c>
      <c r="E455" s="3" t="n">
        <f aca="false">COUNTIF('NF x Centro de Custo'!$C$5:$C$1270,$C455)</f>
        <v>2</v>
      </c>
      <c r="F455" s="15" t="n">
        <f aca="false">SUMIFS('NF x Centro de Custo'!$F$5:$F$1270,'NF x Centro de Custo'!$C$5:$C$1270,$C455)</f>
        <v>884.92</v>
      </c>
      <c r="G455" s="15" t="n">
        <f aca="false">SUMIFS('NF x Centro de Custo'!$G$5:$G$1270,'NF x Centro de Custo'!$C$5:$C$1270,$C455)</f>
        <v>0</v>
      </c>
      <c r="H455" s="15" t="n">
        <f aca="false">F455+G455</f>
        <v>884.92</v>
      </c>
      <c r="I455" s="25" t="n">
        <v>884.92</v>
      </c>
      <c r="J455" s="15" t="n">
        <f aca="false">ROUND(H455-I455,2)</f>
        <v>0</v>
      </c>
      <c r="K455" s="26" t="str">
        <f aca="false">IF(ABS(J455)&lt;0.05,"OK","Verificar")</f>
        <v>OK</v>
      </c>
    </row>
    <row r="456" customFormat="false" ht="15" hidden="false" customHeight="false" outlineLevel="0" collapsed="false">
      <c r="A456" s="3" t="n">
        <v>5</v>
      </c>
      <c r="B456" s="24" t="n">
        <v>46143</v>
      </c>
      <c r="C456" s="3" t="s">
        <v>685</v>
      </c>
      <c r="D456" s="3" t="s">
        <v>255</v>
      </c>
      <c r="E456" s="3" t="n">
        <f aca="false">COUNTIF('NF x Centro de Custo'!$C$5:$C$1270,$C456)</f>
        <v>1</v>
      </c>
      <c r="F456" s="15" t="n">
        <f aca="false">SUMIFS('NF x Centro de Custo'!$F$5:$F$1270,'NF x Centro de Custo'!$C$5:$C$1270,$C456)</f>
        <v>1759</v>
      </c>
      <c r="G456" s="15" t="n">
        <f aca="false">SUMIFS('NF x Centro de Custo'!$G$5:$G$1270,'NF x Centro de Custo'!$C$5:$C$1270,$C456)</f>
        <v>0</v>
      </c>
      <c r="H456" s="15" t="n">
        <f aca="false">F456+G456</f>
        <v>1759</v>
      </c>
      <c r="I456" s="25" t="n">
        <v>1759</v>
      </c>
      <c r="J456" s="15" t="n">
        <f aca="false">ROUND(H456-I456,2)</f>
        <v>0</v>
      </c>
      <c r="K456" s="26" t="str">
        <f aca="false">IF(ABS(J456)&lt;0.05,"OK","Verificar")</f>
        <v>OK</v>
      </c>
    </row>
    <row r="457" customFormat="false" ht="15" hidden="false" customHeight="false" outlineLevel="0" collapsed="false">
      <c r="A457" s="3" t="n">
        <v>5</v>
      </c>
      <c r="B457" s="24" t="n">
        <v>46143</v>
      </c>
      <c r="C457" s="3" t="s">
        <v>686</v>
      </c>
      <c r="D457" s="3" t="s">
        <v>252</v>
      </c>
      <c r="E457" s="3" t="n">
        <f aca="false">COUNTIF('NF x Centro de Custo'!$C$5:$C$1270,$C457)</f>
        <v>1</v>
      </c>
      <c r="F457" s="15" t="n">
        <f aca="false">SUMIFS('NF x Centro de Custo'!$F$5:$F$1270,'NF x Centro de Custo'!$C$5:$C$1270,$C457)</f>
        <v>810.5</v>
      </c>
      <c r="G457" s="15" t="n">
        <f aca="false">SUMIFS('NF x Centro de Custo'!$G$5:$G$1270,'NF x Centro de Custo'!$C$5:$C$1270,$C457)</f>
        <v>0</v>
      </c>
      <c r="H457" s="15" t="n">
        <f aca="false">F457+G457</f>
        <v>810.5</v>
      </c>
      <c r="I457" s="25" t="n">
        <v>810.5</v>
      </c>
      <c r="J457" s="15" t="n">
        <f aca="false">ROUND(H457-I457,2)</f>
        <v>0</v>
      </c>
      <c r="K457" s="26" t="str">
        <f aca="false">IF(ABS(J457)&lt;0.05,"OK","Verificar")</f>
        <v>OK</v>
      </c>
    </row>
    <row r="458" customFormat="false" ht="15" hidden="false" customHeight="false" outlineLevel="0" collapsed="false">
      <c r="A458" s="3" t="n">
        <v>5</v>
      </c>
      <c r="B458" s="24" t="n">
        <v>46143</v>
      </c>
      <c r="C458" s="3" t="s">
        <v>687</v>
      </c>
      <c r="D458" s="3" t="s">
        <v>252</v>
      </c>
      <c r="E458" s="3" t="n">
        <f aca="false">COUNTIF('NF x Centro de Custo'!$C$5:$C$1270,$C458)</f>
        <v>1</v>
      </c>
      <c r="F458" s="15" t="n">
        <f aca="false">SUMIFS('NF x Centro de Custo'!$F$5:$F$1270,'NF x Centro de Custo'!$C$5:$C$1270,$C458)</f>
        <v>970.5</v>
      </c>
      <c r="G458" s="15" t="n">
        <f aca="false">SUMIFS('NF x Centro de Custo'!$G$5:$G$1270,'NF x Centro de Custo'!$C$5:$C$1270,$C458)</f>
        <v>0</v>
      </c>
      <c r="H458" s="15" t="n">
        <f aca="false">F458+G458</f>
        <v>970.5</v>
      </c>
      <c r="I458" s="25" t="n">
        <v>970.5</v>
      </c>
      <c r="J458" s="15" t="n">
        <f aca="false">ROUND(H458-I458,2)</f>
        <v>0</v>
      </c>
      <c r="K458" s="26" t="str">
        <f aca="false">IF(ABS(J458)&lt;0.05,"OK","Verificar")</f>
        <v>OK</v>
      </c>
    </row>
    <row r="459" customFormat="false" ht="15" hidden="false" customHeight="false" outlineLevel="0" collapsed="false">
      <c r="A459" s="3" t="n">
        <v>5</v>
      </c>
      <c r="B459" s="24" t="n">
        <v>46143</v>
      </c>
      <c r="C459" s="3" t="s">
        <v>688</v>
      </c>
      <c r="D459" s="3" t="s">
        <v>249</v>
      </c>
      <c r="E459" s="3" t="n">
        <f aca="false">COUNTIF('NF x Centro de Custo'!$C$5:$C$1270,$C459)</f>
        <v>1</v>
      </c>
      <c r="F459" s="15" t="n">
        <f aca="false">SUMIFS('NF x Centro de Custo'!$F$5:$F$1270,'NF x Centro de Custo'!$C$5:$C$1270,$C459)</f>
        <v>375.87</v>
      </c>
      <c r="G459" s="15" t="n">
        <f aca="false">SUMIFS('NF x Centro de Custo'!$G$5:$G$1270,'NF x Centro de Custo'!$C$5:$C$1270,$C459)</f>
        <v>0</v>
      </c>
      <c r="H459" s="15" t="n">
        <f aca="false">F459+G459</f>
        <v>375.87</v>
      </c>
      <c r="I459" s="25" t="n">
        <v>375.87</v>
      </c>
      <c r="J459" s="15" t="n">
        <f aca="false">ROUND(H459-I459,2)</f>
        <v>0</v>
      </c>
      <c r="K459" s="26" t="str">
        <f aca="false">IF(ABS(J459)&lt;0.05,"OK","Verificar")</f>
        <v>OK</v>
      </c>
    </row>
    <row r="460" customFormat="false" ht="15" hidden="false" customHeight="false" outlineLevel="0" collapsed="false">
      <c r="A460" s="3" t="n">
        <v>5</v>
      </c>
      <c r="B460" s="24" t="n">
        <v>46143</v>
      </c>
      <c r="C460" s="3" t="s">
        <v>689</v>
      </c>
      <c r="D460" s="3" t="s">
        <v>246</v>
      </c>
      <c r="E460" s="3" t="n">
        <f aca="false">COUNTIF('NF x Centro de Custo'!$C$5:$C$1270,$C460)</f>
        <v>1</v>
      </c>
      <c r="F460" s="15" t="n">
        <f aca="false">SUMIFS('NF x Centro de Custo'!$F$5:$F$1270,'NF x Centro de Custo'!$C$5:$C$1270,$C460)</f>
        <v>830.5</v>
      </c>
      <c r="G460" s="15" t="n">
        <f aca="false">SUMIFS('NF x Centro de Custo'!$G$5:$G$1270,'NF x Centro de Custo'!$C$5:$C$1270,$C460)</f>
        <v>0</v>
      </c>
      <c r="H460" s="15" t="n">
        <f aca="false">F460+G460</f>
        <v>830.5</v>
      </c>
      <c r="I460" s="25" t="n">
        <v>830.5</v>
      </c>
      <c r="J460" s="15" t="n">
        <f aca="false">ROUND(H460-I460,2)</f>
        <v>0</v>
      </c>
      <c r="K460" s="26" t="str">
        <f aca="false">IF(ABS(J460)&lt;0.05,"OK","Verificar")</f>
        <v>OK</v>
      </c>
    </row>
    <row r="461" customFormat="false" ht="15" hidden="false" customHeight="false" outlineLevel="0" collapsed="false">
      <c r="A461" s="3" t="n">
        <v>5</v>
      </c>
      <c r="B461" s="24" t="n">
        <v>46143</v>
      </c>
      <c r="C461" s="3" t="s">
        <v>690</v>
      </c>
      <c r="D461" s="3" t="s">
        <v>246</v>
      </c>
      <c r="E461" s="3" t="n">
        <f aca="false">COUNTIF('NF x Centro de Custo'!$C$5:$C$1270,$C461)</f>
        <v>1</v>
      </c>
      <c r="F461" s="15" t="n">
        <f aca="false">SUMIFS('NF x Centro de Custo'!$F$5:$F$1270,'NF x Centro de Custo'!$C$5:$C$1270,$C461)</f>
        <v>41.33</v>
      </c>
      <c r="G461" s="15" t="n">
        <f aca="false">SUMIFS('NF x Centro de Custo'!$G$5:$G$1270,'NF x Centro de Custo'!$C$5:$C$1270,$C461)</f>
        <v>0</v>
      </c>
      <c r="H461" s="15" t="n">
        <f aca="false">F461+G461</f>
        <v>41.33</v>
      </c>
      <c r="I461" s="25" t="n">
        <v>41.33</v>
      </c>
      <c r="J461" s="15" t="n">
        <f aca="false">ROUND(H461-I461,2)</f>
        <v>0</v>
      </c>
      <c r="K461" s="26" t="str">
        <f aca="false">IF(ABS(J461)&lt;0.05,"OK","Verificar")</f>
        <v>OK</v>
      </c>
    </row>
    <row r="462" customFormat="false" ht="15" hidden="false" customHeight="false" outlineLevel="0" collapsed="false">
      <c r="A462" s="3" t="n">
        <v>5</v>
      </c>
      <c r="B462" s="24" t="n">
        <v>46143</v>
      </c>
      <c r="C462" s="3" t="s">
        <v>691</v>
      </c>
      <c r="D462" s="3" t="s">
        <v>243</v>
      </c>
      <c r="E462" s="3" t="n">
        <f aca="false">COUNTIF('NF x Centro de Custo'!$C$5:$C$1270,$C462)</f>
        <v>1</v>
      </c>
      <c r="F462" s="15" t="n">
        <f aca="false">SUMIFS('NF x Centro de Custo'!$F$5:$F$1270,'NF x Centro de Custo'!$C$5:$C$1270,$C462)</f>
        <v>1225.89</v>
      </c>
      <c r="G462" s="15" t="n">
        <f aca="false">SUMIFS('NF x Centro de Custo'!$G$5:$G$1270,'NF x Centro de Custo'!$C$5:$C$1270,$C462)</f>
        <v>0</v>
      </c>
      <c r="H462" s="15" t="n">
        <f aca="false">F462+G462</f>
        <v>1225.89</v>
      </c>
      <c r="I462" s="25" t="n">
        <v>1225.89</v>
      </c>
      <c r="J462" s="15" t="n">
        <f aca="false">ROUND(H462-I462,2)</f>
        <v>0</v>
      </c>
      <c r="K462" s="26" t="str">
        <f aca="false">IF(ABS(J462)&lt;0.05,"OK","Verificar")</f>
        <v>OK</v>
      </c>
    </row>
    <row r="463" customFormat="false" ht="15" hidden="false" customHeight="false" outlineLevel="0" collapsed="false">
      <c r="A463" s="3" t="n">
        <v>5</v>
      </c>
      <c r="B463" s="24" t="n">
        <v>46143</v>
      </c>
      <c r="C463" s="3" t="s">
        <v>692</v>
      </c>
      <c r="D463" s="3" t="s">
        <v>243</v>
      </c>
      <c r="E463" s="3" t="n">
        <f aca="false">COUNTIF('NF x Centro de Custo'!$C$5:$C$1270,$C463)</f>
        <v>1</v>
      </c>
      <c r="F463" s="15" t="n">
        <f aca="false">SUMIFS('NF x Centro de Custo'!$F$5:$F$1270,'NF x Centro de Custo'!$C$5:$C$1270,$C463)</f>
        <v>2228.01</v>
      </c>
      <c r="G463" s="15" t="n">
        <f aca="false">SUMIFS('NF x Centro de Custo'!$G$5:$G$1270,'NF x Centro de Custo'!$C$5:$C$1270,$C463)</f>
        <v>0</v>
      </c>
      <c r="H463" s="15" t="n">
        <f aca="false">F463+G463</f>
        <v>2228.01</v>
      </c>
      <c r="I463" s="25" t="n">
        <v>2228.01</v>
      </c>
      <c r="J463" s="15" t="n">
        <f aca="false">ROUND(H463-I463,2)</f>
        <v>0</v>
      </c>
      <c r="K463" s="26" t="str">
        <f aca="false">IF(ABS(J463)&lt;0.05,"OK","Verificar")</f>
        <v>OK</v>
      </c>
    </row>
    <row r="464" customFormat="false" ht="15" hidden="false" customHeight="false" outlineLevel="0" collapsed="false">
      <c r="A464" s="3" t="n">
        <v>5</v>
      </c>
      <c r="B464" s="24" t="n">
        <v>46143</v>
      </c>
      <c r="C464" s="3" t="s">
        <v>693</v>
      </c>
      <c r="D464" s="3" t="s">
        <v>224</v>
      </c>
      <c r="E464" s="3" t="n">
        <f aca="false">COUNTIF('NF x Centro de Custo'!$C$5:$C$1270,$C464)</f>
        <v>1</v>
      </c>
      <c r="F464" s="15" t="n">
        <f aca="false">SUMIFS('NF x Centro de Custo'!$F$5:$F$1270,'NF x Centro de Custo'!$C$5:$C$1270,$C464)</f>
        <v>1152.08</v>
      </c>
      <c r="G464" s="15" t="n">
        <f aca="false">SUMIFS('NF x Centro de Custo'!$G$5:$G$1270,'NF x Centro de Custo'!$C$5:$C$1270,$C464)</f>
        <v>0</v>
      </c>
      <c r="H464" s="15" t="n">
        <f aca="false">F464+G464</f>
        <v>1152.08</v>
      </c>
      <c r="I464" s="25" t="n">
        <v>1152.08</v>
      </c>
      <c r="J464" s="15" t="n">
        <f aca="false">ROUND(H464-I464,2)</f>
        <v>0</v>
      </c>
      <c r="K464" s="26" t="str">
        <f aca="false">IF(ABS(J464)&lt;0.05,"OK","Verificar")</f>
        <v>OK</v>
      </c>
    </row>
    <row r="465" customFormat="false" ht="15" hidden="false" customHeight="false" outlineLevel="0" collapsed="false">
      <c r="A465" s="3" t="n">
        <v>5</v>
      </c>
      <c r="B465" s="24" t="n">
        <v>46143</v>
      </c>
      <c r="C465" s="3" t="s">
        <v>694</v>
      </c>
      <c r="D465" s="3" t="s">
        <v>222</v>
      </c>
      <c r="E465" s="3" t="n">
        <f aca="false">COUNTIF('NF x Centro de Custo'!$C$5:$C$1270,$C465)</f>
        <v>5</v>
      </c>
      <c r="F465" s="15" t="n">
        <f aca="false">SUMIFS('NF x Centro de Custo'!$F$5:$F$1270,'NF x Centro de Custo'!$C$5:$C$1270,$C465)</f>
        <v>5039.11</v>
      </c>
      <c r="G465" s="15" t="n">
        <f aca="false">SUMIFS('NF x Centro de Custo'!$G$5:$G$1270,'NF x Centro de Custo'!$C$5:$C$1270,$C465)</f>
        <v>0</v>
      </c>
      <c r="H465" s="15" t="n">
        <f aca="false">F465+G465</f>
        <v>5039.11</v>
      </c>
      <c r="I465" s="25" t="n">
        <v>5039.11</v>
      </c>
      <c r="J465" s="15" t="n">
        <f aca="false">ROUND(H465-I465,2)</f>
        <v>0</v>
      </c>
      <c r="K465" s="26" t="str">
        <f aca="false">IF(ABS(J465)&lt;0.05,"OK","Verificar")</f>
        <v>OK</v>
      </c>
    </row>
    <row r="466" customFormat="false" ht="15" hidden="false" customHeight="false" outlineLevel="0" collapsed="false">
      <c r="A466" s="3" t="n">
        <v>5</v>
      </c>
      <c r="B466" s="24" t="n">
        <v>46143</v>
      </c>
      <c r="C466" s="3" t="s">
        <v>695</v>
      </c>
      <c r="D466" s="3" t="s">
        <v>224</v>
      </c>
      <c r="E466" s="3" t="n">
        <f aca="false">COUNTIF('NF x Centro de Custo'!$C$5:$C$1270,$C466)</f>
        <v>1</v>
      </c>
      <c r="F466" s="15" t="n">
        <f aca="false">SUMIFS('NF x Centro de Custo'!$F$5:$F$1270,'NF x Centro de Custo'!$C$5:$C$1270,$C466)</f>
        <v>870.5</v>
      </c>
      <c r="G466" s="15" t="n">
        <f aca="false">SUMIFS('NF x Centro de Custo'!$G$5:$G$1270,'NF x Centro de Custo'!$C$5:$C$1270,$C466)</f>
        <v>0</v>
      </c>
      <c r="H466" s="15" t="n">
        <f aca="false">F466+G466</f>
        <v>870.5</v>
      </c>
      <c r="I466" s="25" t="n">
        <v>870.5</v>
      </c>
      <c r="J466" s="15" t="n">
        <f aca="false">ROUND(H466-I466,2)</f>
        <v>0</v>
      </c>
      <c r="K466" s="26" t="str">
        <f aca="false">IF(ABS(J466)&lt;0.05,"OK","Verificar")</f>
        <v>OK</v>
      </c>
    </row>
    <row r="467" customFormat="false" ht="15" hidden="false" customHeight="false" outlineLevel="0" collapsed="false">
      <c r="A467" s="3" t="n">
        <v>5</v>
      </c>
      <c r="B467" s="24" t="n">
        <v>46143</v>
      </c>
      <c r="C467" s="3" t="s">
        <v>696</v>
      </c>
      <c r="D467" s="3" t="s">
        <v>224</v>
      </c>
      <c r="E467" s="3" t="n">
        <f aca="false">COUNTIF('NF x Centro de Custo'!$C$5:$C$1270,$C467)</f>
        <v>1</v>
      </c>
      <c r="F467" s="15" t="n">
        <f aca="false">SUMIFS('NF x Centro de Custo'!$F$5:$F$1270,'NF x Centro de Custo'!$C$5:$C$1270,$C467)</f>
        <v>3746</v>
      </c>
      <c r="G467" s="15" t="n">
        <f aca="false">SUMIFS('NF x Centro de Custo'!$G$5:$G$1270,'NF x Centro de Custo'!$C$5:$C$1270,$C467)</f>
        <v>0</v>
      </c>
      <c r="H467" s="15" t="n">
        <f aca="false">F467+G467</f>
        <v>3746</v>
      </c>
      <c r="I467" s="25" t="n">
        <v>3746</v>
      </c>
      <c r="J467" s="15" t="n">
        <f aca="false">ROUND(H467-I467,2)</f>
        <v>0</v>
      </c>
      <c r="K467" s="26" t="str">
        <f aca="false">IF(ABS(J467)&lt;0.05,"OK","Verificar")</f>
        <v>OK</v>
      </c>
    </row>
    <row r="468" customFormat="false" ht="15" hidden="false" customHeight="false" outlineLevel="0" collapsed="false">
      <c r="A468" s="3" t="n">
        <v>5</v>
      </c>
      <c r="B468" s="24" t="n">
        <v>46143</v>
      </c>
      <c r="C468" s="3" t="s">
        <v>697</v>
      </c>
      <c r="D468" s="3" t="s">
        <v>214</v>
      </c>
      <c r="E468" s="3" t="n">
        <f aca="false">COUNTIF('NF x Centro de Custo'!$C$5:$C$1270,$C468)</f>
        <v>1</v>
      </c>
      <c r="F468" s="15" t="n">
        <f aca="false">SUMIFS('NF x Centro de Custo'!$F$5:$F$1270,'NF x Centro de Custo'!$C$5:$C$1270,$C468)</f>
        <v>1008.5</v>
      </c>
      <c r="G468" s="15" t="n">
        <f aca="false">SUMIFS('NF x Centro de Custo'!$G$5:$G$1270,'NF x Centro de Custo'!$C$5:$C$1270,$C468)</f>
        <v>0</v>
      </c>
      <c r="H468" s="15" t="n">
        <f aca="false">F468+G468</f>
        <v>1008.5</v>
      </c>
      <c r="I468" s="25" t="n">
        <v>1008.5</v>
      </c>
      <c r="J468" s="15" t="n">
        <f aca="false">ROUND(H468-I468,2)</f>
        <v>0</v>
      </c>
      <c r="K468" s="26" t="str">
        <f aca="false">IF(ABS(J468)&lt;0.05,"OK","Verificar")</f>
        <v>OK</v>
      </c>
    </row>
    <row r="469" customFormat="false" ht="15" hidden="false" customHeight="false" outlineLevel="0" collapsed="false">
      <c r="A469" s="3" t="n">
        <v>5</v>
      </c>
      <c r="B469" s="24" t="n">
        <v>46143</v>
      </c>
      <c r="C469" s="3" t="s">
        <v>698</v>
      </c>
      <c r="D469" s="3" t="s">
        <v>214</v>
      </c>
      <c r="E469" s="3" t="n">
        <f aca="false">COUNTIF('NF x Centro de Custo'!$C$5:$C$1270,$C469)</f>
        <v>1</v>
      </c>
      <c r="F469" s="15" t="n">
        <f aca="false">SUMIFS('NF x Centro de Custo'!$F$5:$F$1270,'NF x Centro de Custo'!$C$5:$C$1270,$C469)</f>
        <v>8305.83</v>
      </c>
      <c r="G469" s="15" t="n">
        <f aca="false">SUMIFS('NF x Centro de Custo'!$G$5:$G$1270,'NF x Centro de Custo'!$C$5:$C$1270,$C469)</f>
        <v>0</v>
      </c>
      <c r="H469" s="15" t="n">
        <f aca="false">F469+G469</f>
        <v>8305.83</v>
      </c>
      <c r="I469" s="25" t="n">
        <v>8305.83</v>
      </c>
      <c r="J469" s="15" t="n">
        <f aca="false">ROUND(H469-I469,2)</f>
        <v>0</v>
      </c>
      <c r="K469" s="26" t="str">
        <f aca="false">IF(ABS(J469)&lt;0.05,"OK","Verificar")</f>
        <v>OK</v>
      </c>
    </row>
    <row r="470" customFormat="false" ht="15" hidden="false" customHeight="false" outlineLevel="0" collapsed="false">
      <c r="A470" s="3" t="n">
        <v>5</v>
      </c>
      <c r="B470" s="24" t="n">
        <v>46143</v>
      </c>
      <c r="C470" s="3" t="s">
        <v>699</v>
      </c>
      <c r="D470" s="3" t="s">
        <v>217</v>
      </c>
      <c r="E470" s="3" t="n">
        <f aca="false">COUNTIF('NF x Centro de Custo'!$C$5:$C$1270,$C470)</f>
        <v>1</v>
      </c>
      <c r="F470" s="15" t="n">
        <f aca="false">SUMIFS('NF x Centro de Custo'!$F$5:$F$1270,'NF x Centro de Custo'!$C$5:$C$1270,$C470)</f>
        <v>6912.1</v>
      </c>
      <c r="G470" s="15" t="n">
        <f aca="false">SUMIFS('NF x Centro de Custo'!$G$5:$G$1270,'NF x Centro de Custo'!$C$5:$C$1270,$C470)</f>
        <v>0</v>
      </c>
      <c r="H470" s="15" t="n">
        <f aca="false">F470+G470</f>
        <v>6912.1</v>
      </c>
      <c r="I470" s="25" t="n">
        <v>6912.1</v>
      </c>
      <c r="J470" s="15" t="n">
        <f aca="false">ROUND(H470-I470,2)</f>
        <v>0</v>
      </c>
      <c r="K470" s="26" t="str">
        <f aca="false">IF(ABS(J470)&lt;0.05,"OK","Verificar")</f>
        <v>OK</v>
      </c>
    </row>
    <row r="471" customFormat="false" ht="15" hidden="false" customHeight="false" outlineLevel="0" collapsed="false">
      <c r="A471" s="3" t="n">
        <v>5</v>
      </c>
      <c r="B471" s="24" t="n">
        <v>46143</v>
      </c>
      <c r="C471" s="3" t="s">
        <v>700</v>
      </c>
      <c r="D471" s="3" t="s">
        <v>217</v>
      </c>
      <c r="E471" s="3" t="n">
        <f aca="false">COUNTIF('NF x Centro de Custo'!$C$5:$C$1270,$C471)</f>
        <v>1</v>
      </c>
      <c r="F471" s="15" t="n">
        <f aca="false">SUMIFS('NF x Centro de Custo'!$F$5:$F$1270,'NF x Centro de Custo'!$C$5:$C$1270,$C471)</f>
        <v>1232.7</v>
      </c>
      <c r="G471" s="15" t="n">
        <f aca="false">SUMIFS('NF x Centro de Custo'!$G$5:$G$1270,'NF x Centro de Custo'!$C$5:$C$1270,$C471)</f>
        <v>0</v>
      </c>
      <c r="H471" s="15" t="n">
        <f aca="false">F471+G471</f>
        <v>1232.7</v>
      </c>
      <c r="I471" s="25" t="n">
        <v>1232.7</v>
      </c>
      <c r="J471" s="15" t="n">
        <f aca="false">ROUND(H471-I471,2)</f>
        <v>0</v>
      </c>
      <c r="K471" s="26" t="str">
        <f aca="false">IF(ABS(J471)&lt;0.05,"OK","Verificar")</f>
        <v>OK</v>
      </c>
    </row>
    <row r="472" customFormat="false" ht="15" hidden="false" customHeight="false" outlineLevel="0" collapsed="false">
      <c r="A472" s="3" t="n">
        <v>5</v>
      </c>
      <c r="B472" s="24" t="n">
        <v>46143</v>
      </c>
      <c r="C472" s="3" t="s">
        <v>701</v>
      </c>
      <c r="D472" s="3" t="s">
        <v>217</v>
      </c>
      <c r="E472" s="3" t="n">
        <f aca="false">COUNTIF('NF x Centro de Custo'!$C$5:$C$1270,$C472)</f>
        <v>4</v>
      </c>
      <c r="F472" s="15" t="n">
        <f aca="false">SUMIFS('NF x Centro de Custo'!$F$5:$F$1270,'NF x Centro de Custo'!$C$5:$C$1270,$C472)</f>
        <v>3871.7</v>
      </c>
      <c r="G472" s="15" t="n">
        <f aca="false">SUMIFS('NF x Centro de Custo'!$G$5:$G$1270,'NF x Centro de Custo'!$C$5:$C$1270,$C472)</f>
        <v>0</v>
      </c>
      <c r="H472" s="15" t="n">
        <f aca="false">F472+G472</f>
        <v>3871.7</v>
      </c>
      <c r="I472" s="25" t="n">
        <v>3871.7</v>
      </c>
      <c r="J472" s="15" t="n">
        <f aca="false">ROUND(H472-I472,2)</f>
        <v>0</v>
      </c>
      <c r="K472" s="26" t="str">
        <f aca="false">IF(ABS(J472)&lt;0.05,"OK","Verificar")</f>
        <v>OK</v>
      </c>
    </row>
    <row r="473" customFormat="false" ht="15" hidden="false" customHeight="false" outlineLevel="0" collapsed="false">
      <c r="A473" s="3" t="n">
        <v>5</v>
      </c>
      <c r="B473" s="24" t="n">
        <v>46143</v>
      </c>
      <c r="C473" s="3" t="s">
        <v>702</v>
      </c>
      <c r="D473" s="3" t="s">
        <v>217</v>
      </c>
      <c r="E473" s="3" t="n">
        <f aca="false">COUNTIF('NF x Centro de Custo'!$C$5:$C$1270,$C473)</f>
        <v>1</v>
      </c>
      <c r="F473" s="15" t="n">
        <f aca="false">SUMIFS('NF x Centro de Custo'!$F$5:$F$1270,'NF x Centro de Custo'!$C$5:$C$1270,$C473)</f>
        <v>10880.89</v>
      </c>
      <c r="G473" s="15" t="n">
        <f aca="false">SUMIFS('NF x Centro de Custo'!$G$5:$G$1270,'NF x Centro de Custo'!$C$5:$C$1270,$C473)</f>
        <v>0</v>
      </c>
      <c r="H473" s="15" t="n">
        <f aca="false">F473+G473</f>
        <v>10880.89</v>
      </c>
      <c r="I473" s="25" t="n">
        <v>10880.89</v>
      </c>
      <c r="J473" s="15" t="n">
        <f aca="false">ROUND(H473-I473,2)</f>
        <v>0</v>
      </c>
      <c r="K473" s="26" t="str">
        <f aca="false">IF(ABS(J473)&lt;0.05,"OK","Verificar")</f>
        <v>OK</v>
      </c>
    </row>
    <row r="474" customFormat="false" ht="15" hidden="false" customHeight="false" outlineLevel="0" collapsed="false">
      <c r="A474" s="3" t="n">
        <v>5</v>
      </c>
      <c r="B474" s="24" t="n">
        <v>46143</v>
      </c>
      <c r="C474" s="3" t="s">
        <v>703</v>
      </c>
      <c r="D474" s="3" t="s">
        <v>226</v>
      </c>
      <c r="E474" s="3" t="n">
        <f aca="false">COUNTIF('NF x Centro de Custo'!$C$5:$C$1270,$C474)</f>
        <v>3</v>
      </c>
      <c r="F474" s="15" t="n">
        <f aca="false">SUMIFS('NF x Centro de Custo'!$F$5:$F$1270,'NF x Centro de Custo'!$C$5:$C$1270,$C474)</f>
        <v>14015.05</v>
      </c>
      <c r="G474" s="15" t="n">
        <f aca="false">SUMIFS('NF x Centro de Custo'!$G$5:$G$1270,'NF x Centro de Custo'!$C$5:$C$1270,$C474)</f>
        <v>7.92</v>
      </c>
      <c r="H474" s="15" t="n">
        <f aca="false">F474+G474</f>
        <v>14022.97</v>
      </c>
      <c r="I474" s="25" t="n">
        <v>14022.97</v>
      </c>
      <c r="J474" s="15" t="n">
        <f aca="false">ROUND(H474-I474,2)</f>
        <v>0</v>
      </c>
      <c r="K474" s="26" t="str">
        <f aca="false">IF(ABS(J474)&lt;0.05,"OK","Verificar")</f>
        <v>OK</v>
      </c>
    </row>
    <row r="475" customFormat="false" ht="15" hidden="false" customHeight="false" outlineLevel="0" collapsed="false">
      <c r="A475" s="3" t="n">
        <v>5</v>
      </c>
      <c r="B475" s="24" t="n">
        <v>46143</v>
      </c>
      <c r="C475" s="3" t="s">
        <v>704</v>
      </c>
      <c r="D475" s="3" t="s">
        <v>226</v>
      </c>
      <c r="E475" s="3" t="n">
        <f aca="false">COUNTIF('NF x Centro de Custo'!$C$5:$C$1270,$C475)</f>
        <v>3</v>
      </c>
      <c r="F475" s="15" t="n">
        <f aca="false">SUMIFS('NF x Centro de Custo'!$F$5:$F$1270,'NF x Centro de Custo'!$C$5:$C$1270,$C475)</f>
        <v>13639.8</v>
      </c>
      <c r="G475" s="15" t="n">
        <f aca="false">SUMIFS('NF x Centro de Custo'!$G$5:$G$1270,'NF x Centro de Custo'!$C$5:$C$1270,$C475)</f>
        <v>0</v>
      </c>
      <c r="H475" s="15" t="n">
        <f aca="false">F475+G475</f>
        <v>13639.8</v>
      </c>
      <c r="I475" s="25" t="n">
        <v>13639.8</v>
      </c>
      <c r="J475" s="15" t="n">
        <f aca="false">ROUND(H475-I475,2)</f>
        <v>0</v>
      </c>
      <c r="K475" s="26" t="str">
        <f aca="false">IF(ABS(J475)&lt;0.05,"OK","Verificar")</f>
        <v>OK</v>
      </c>
    </row>
    <row r="476" customFormat="false" ht="15" hidden="false" customHeight="false" outlineLevel="0" collapsed="false">
      <c r="A476" s="3" t="n">
        <v>5</v>
      </c>
      <c r="B476" s="24" t="n">
        <v>46143</v>
      </c>
      <c r="C476" s="3" t="s">
        <v>705</v>
      </c>
      <c r="D476" s="3" t="s">
        <v>219</v>
      </c>
      <c r="E476" s="3" t="n">
        <f aca="false">COUNTIF('NF x Centro de Custo'!$C$5:$C$1270,$C476)</f>
        <v>1</v>
      </c>
      <c r="F476" s="15" t="n">
        <f aca="false">SUMIFS('NF x Centro de Custo'!$F$5:$F$1270,'NF x Centro de Custo'!$C$5:$C$1270,$C476)</f>
        <v>5293.2</v>
      </c>
      <c r="G476" s="15" t="n">
        <f aca="false">SUMIFS('NF x Centro de Custo'!$G$5:$G$1270,'NF x Centro de Custo'!$C$5:$C$1270,$C476)</f>
        <v>0</v>
      </c>
      <c r="H476" s="15" t="n">
        <f aca="false">F476+G476</f>
        <v>5293.2</v>
      </c>
      <c r="I476" s="25" t="n">
        <v>5293.2</v>
      </c>
      <c r="J476" s="15" t="n">
        <f aca="false">ROUND(H476-I476,2)</f>
        <v>0</v>
      </c>
      <c r="K476" s="26" t="str">
        <f aca="false">IF(ABS(J476)&lt;0.05,"OK","Verificar")</f>
        <v>OK</v>
      </c>
    </row>
    <row r="477" customFormat="false" ht="15" hidden="false" customHeight="false" outlineLevel="0" collapsed="false">
      <c r="A477" s="3" t="n">
        <v>5</v>
      </c>
      <c r="B477" s="24" t="n">
        <v>46143</v>
      </c>
      <c r="C477" s="3" t="s">
        <v>706</v>
      </c>
      <c r="D477" s="3" t="s">
        <v>219</v>
      </c>
      <c r="E477" s="3" t="n">
        <f aca="false">COUNTIF('NF x Centro de Custo'!$C$5:$C$1270,$C477)</f>
        <v>1</v>
      </c>
      <c r="F477" s="15" t="n">
        <f aca="false">SUMIFS('NF x Centro de Custo'!$F$5:$F$1270,'NF x Centro de Custo'!$C$5:$C$1270,$C477)</f>
        <v>1258.5</v>
      </c>
      <c r="G477" s="15" t="n">
        <f aca="false">SUMIFS('NF x Centro de Custo'!$G$5:$G$1270,'NF x Centro de Custo'!$C$5:$C$1270,$C477)</f>
        <v>0</v>
      </c>
      <c r="H477" s="15" t="n">
        <f aca="false">F477+G477</f>
        <v>1258.5</v>
      </c>
      <c r="I477" s="25" t="n">
        <v>1258.5</v>
      </c>
      <c r="J477" s="15" t="n">
        <f aca="false">ROUND(H477-I477,2)</f>
        <v>0</v>
      </c>
      <c r="K477" s="26" t="str">
        <f aca="false">IF(ABS(J477)&lt;0.05,"OK","Verificar")</f>
        <v>OK</v>
      </c>
    </row>
    <row r="478" customFormat="false" ht="15" hidden="false" customHeight="false" outlineLevel="0" collapsed="false">
      <c r="A478" s="3" t="n">
        <v>5</v>
      </c>
      <c r="B478" s="24" t="n">
        <v>46143</v>
      </c>
      <c r="C478" s="3" t="s">
        <v>707</v>
      </c>
      <c r="D478" s="3" t="s">
        <v>219</v>
      </c>
      <c r="E478" s="3" t="n">
        <f aca="false">COUNTIF('NF x Centro de Custo'!$C$5:$C$1270,$C478)</f>
        <v>2</v>
      </c>
      <c r="F478" s="15" t="n">
        <f aca="false">SUMIFS('NF x Centro de Custo'!$F$5:$F$1270,'NF x Centro de Custo'!$C$5:$C$1270,$C478)</f>
        <v>28363.76</v>
      </c>
      <c r="G478" s="15" t="n">
        <f aca="false">SUMIFS('NF x Centro de Custo'!$G$5:$G$1270,'NF x Centro de Custo'!$C$5:$C$1270,$C478)</f>
        <v>0</v>
      </c>
      <c r="H478" s="15" t="n">
        <f aca="false">F478+G478</f>
        <v>28363.76</v>
      </c>
      <c r="I478" s="25" t="n">
        <v>28363.76</v>
      </c>
      <c r="J478" s="15" t="n">
        <f aca="false">ROUND(H478-I478,2)</f>
        <v>0</v>
      </c>
      <c r="K478" s="26" t="str">
        <f aca="false">IF(ABS(J478)&lt;0.05,"OK","Verificar")</f>
        <v>OK</v>
      </c>
    </row>
    <row r="479" customFormat="false" ht="15" hidden="false" customHeight="false" outlineLevel="0" collapsed="false">
      <c r="A479" s="3" t="n">
        <v>5</v>
      </c>
      <c r="B479" s="24" t="n">
        <v>46143</v>
      </c>
      <c r="C479" s="3" t="s">
        <v>708</v>
      </c>
      <c r="D479" s="3" t="s">
        <v>226</v>
      </c>
      <c r="E479" s="3" t="n">
        <f aca="false">COUNTIF('NF x Centro de Custo'!$C$5:$C$1270,$C479)</f>
        <v>1</v>
      </c>
      <c r="F479" s="15" t="n">
        <f aca="false">SUMIFS('NF x Centro de Custo'!$F$5:$F$1270,'NF x Centro de Custo'!$C$5:$C$1270,$C479)</f>
        <v>4877.05</v>
      </c>
      <c r="G479" s="15" t="n">
        <f aca="false">SUMIFS('NF x Centro de Custo'!$G$5:$G$1270,'NF x Centro de Custo'!$C$5:$C$1270,$C479)</f>
        <v>0</v>
      </c>
      <c r="H479" s="15" t="n">
        <f aca="false">F479+G479</f>
        <v>4877.05</v>
      </c>
      <c r="I479" s="25" t="n">
        <v>4877.05</v>
      </c>
      <c r="J479" s="15" t="n">
        <f aca="false">ROUND(H479-I479,2)</f>
        <v>0</v>
      </c>
      <c r="K479" s="26" t="str">
        <f aca="false">IF(ABS(J479)&lt;0.05,"OK","Verificar")</f>
        <v>OK</v>
      </c>
    </row>
    <row r="480" customFormat="false" ht="15" hidden="false" customHeight="false" outlineLevel="0" collapsed="false">
      <c r="A480" s="3" t="n">
        <v>5</v>
      </c>
      <c r="B480" s="24" t="n">
        <v>46143</v>
      </c>
      <c r="C480" s="3" t="s">
        <v>709</v>
      </c>
      <c r="D480" s="3" t="s">
        <v>226</v>
      </c>
      <c r="E480" s="3" t="n">
        <f aca="false">COUNTIF('NF x Centro de Custo'!$C$5:$C$1270,$C480)</f>
        <v>1</v>
      </c>
      <c r="F480" s="15" t="n">
        <f aca="false">SUMIFS('NF x Centro de Custo'!$F$5:$F$1270,'NF x Centro de Custo'!$C$5:$C$1270,$C480)</f>
        <v>156.6</v>
      </c>
      <c r="G480" s="15" t="n">
        <f aca="false">SUMIFS('NF x Centro de Custo'!$G$5:$G$1270,'NF x Centro de Custo'!$C$5:$C$1270,$C480)</f>
        <v>0</v>
      </c>
      <c r="H480" s="15" t="n">
        <f aca="false">F480+G480</f>
        <v>156.6</v>
      </c>
      <c r="I480" s="25" t="n">
        <v>156.6</v>
      </c>
      <c r="J480" s="15" t="n">
        <f aca="false">ROUND(H480-I480,2)</f>
        <v>0</v>
      </c>
      <c r="K480" s="26" t="str">
        <f aca="false">IF(ABS(J480)&lt;0.05,"OK","Verificar")</f>
        <v>OK</v>
      </c>
    </row>
    <row r="481" customFormat="false" ht="15" hidden="false" customHeight="false" outlineLevel="0" collapsed="false">
      <c r="A481" s="3" t="n">
        <v>5</v>
      </c>
      <c r="B481" s="24" t="n">
        <v>46143</v>
      </c>
      <c r="C481" s="3" t="s">
        <v>710</v>
      </c>
      <c r="D481" s="3" t="s">
        <v>228</v>
      </c>
      <c r="E481" s="3" t="n">
        <f aca="false">COUNTIF('NF x Centro de Custo'!$C$5:$C$1270,$C481)</f>
        <v>1</v>
      </c>
      <c r="F481" s="15" t="n">
        <f aca="false">SUMIFS('NF x Centro de Custo'!$F$5:$F$1270,'NF x Centro de Custo'!$C$5:$C$1270,$C481)</f>
        <v>1212.15</v>
      </c>
      <c r="G481" s="15" t="n">
        <f aca="false">SUMIFS('NF x Centro de Custo'!$G$5:$G$1270,'NF x Centro de Custo'!$C$5:$C$1270,$C481)</f>
        <v>0</v>
      </c>
      <c r="H481" s="15" t="n">
        <f aca="false">F481+G481</f>
        <v>1212.15</v>
      </c>
      <c r="I481" s="25" t="n">
        <v>1212.15</v>
      </c>
      <c r="J481" s="15" t="n">
        <f aca="false">ROUND(H481-I481,2)</f>
        <v>0</v>
      </c>
      <c r="K481" s="26" t="str">
        <f aca="false">IF(ABS(J481)&lt;0.05,"OK","Verificar")</f>
        <v>OK</v>
      </c>
    </row>
    <row r="482" customFormat="false" ht="15" hidden="false" customHeight="false" outlineLevel="0" collapsed="false">
      <c r="A482" s="3" t="n">
        <v>5</v>
      </c>
      <c r="B482" s="24" t="n">
        <v>46143</v>
      </c>
      <c r="C482" s="3" t="s">
        <v>711</v>
      </c>
      <c r="D482" s="3" t="s">
        <v>228</v>
      </c>
      <c r="E482" s="3" t="n">
        <f aca="false">COUNTIF('NF x Centro de Custo'!$C$5:$C$1270,$C482)</f>
        <v>1</v>
      </c>
      <c r="F482" s="15" t="n">
        <f aca="false">SUMIFS('NF x Centro de Custo'!$F$5:$F$1270,'NF x Centro de Custo'!$C$5:$C$1270,$C482)</f>
        <v>7622.35</v>
      </c>
      <c r="G482" s="15" t="n">
        <f aca="false">SUMIFS('NF x Centro de Custo'!$G$5:$G$1270,'NF x Centro de Custo'!$C$5:$C$1270,$C482)</f>
        <v>0</v>
      </c>
      <c r="H482" s="15" t="n">
        <f aca="false">F482+G482</f>
        <v>7622.35</v>
      </c>
      <c r="I482" s="25" t="n">
        <v>7622.35</v>
      </c>
      <c r="J482" s="15" t="n">
        <f aca="false">ROUND(H482-I482,2)</f>
        <v>0</v>
      </c>
      <c r="K482" s="26" t="str">
        <f aca="false">IF(ABS(J482)&lt;0.05,"OK","Verificar")</f>
        <v>OK</v>
      </c>
    </row>
    <row r="483" customFormat="false" ht="15" hidden="false" customHeight="false" outlineLevel="0" collapsed="false">
      <c r="A483" s="3" t="n">
        <v>5</v>
      </c>
      <c r="B483" s="24" t="n">
        <v>46143</v>
      </c>
      <c r="C483" s="3" t="s">
        <v>712</v>
      </c>
      <c r="D483" s="3" t="s">
        <v>228</v>
      </c>
      <c r="E483" s="3" t="n">
        <f aca="false">COUNTIF('NF x Centro de Custo'!$C$5:$C$1270,$C483)</f>
        <v>1</v>
      </c>
      <c r="F483" s="15" t="n">
        <f aca="false">SUMIFS('NF x Centro de Custo'!$F$5:$F$1270,'NF x Centro de Custo'!$C$5:$C$1270,$C483)</f>
        <v>13316.21</v>
      </c>
      <c r="G483" s="15" t="n">
        <f aca="false">SUMIFS('NF x Centro de Custo'!$G$5:$G$1270,'NF x Centro de Custo'!$C$5:$C$1270,$C483)</f>
        <v>0</v>
      </c>
      <c r="H483" s="15" t="n">
        <f aca="false">F483+G483</f>
        <v>13316.21</v>
      </c>
      <c r="I483" s="25" t="n">
        <v>13316.21</v>
      </c>
      <c r="J483" s="15" t="n">
        <f aca="false">ROUND(H483-I483,2)</f>
        <v>0</v>
      </c>
      <c r="K483" s="26" t="str">
        <f aca="false">IF(ABS(J483)&lt;0.05,"OK","Verificar")</f>
        <v>OK</v>
      </c>
    </row>
    <row r="484" customFormat="false" ht="15" hidden="false" customHeight="false" outlineLevel="0" collapsed="false">
      <c r="A484" s="3" t="n">
        <v>5</v>
      </c>
      <c r="B484" s="24" t="n">
        <v>46143</v>
      </c>
      <c r="C484" s="3" t="s">
        <v>713</v>
      </c>
      <c r="D484" s="3" t="s">
        <v>228</v>
      </c>
      <c r="E484" s="3" t="n">
        <f aca="false">COUNTIF('NF x Centro de Custo'!$C$5:$C$1270,$C484)</f>
        <v>1</v>
      </c>
      <c r="F484" s="15" t="n">
        <f aca="false">SUMIFS('NF x Centro de Custo'!$F$5:$F$1270,'NF x Centro de Custo'!$C$5:$C$1270,$C484)</f>
        <v>1810.7</v>
      </c>
      <c r="G484" s="15" t="n">
        <f aca="false">SUMIFS('NF x Centro de Custo'!$G$5:$G$1270,'NF x Centro de Custo'!$C$5:$C$1270,$C484)</f>
        <v>0</v>
      </c>
      <c r="H484" s="15" t="n">
        <f aca="false">F484+G484</f>
        <v>1810.7</v>
      </c>
      <c r="I484" s="25" t="n">
        <v>1810.7</v>
      </c>
      <c r="J484" s="15" t="n">
        <f aca="false">ROUND(H484-I484,2)</f>
        <v>0</v>
      </c>
      <c r="K484" s="26" t="str">
        <f aca="false">IF(ABS(J484)&lt;0.05,"OK","Verificar")</f>
        <v>OK</v>
      </c>
    </row>
    <row r="485" customFormat="false" ht="15" hidden="false" customHeight="false" outlineLevel="0" collapsed="false">
      <c r="A485" s="3" t="n">
        <v>5</v>
      </c>
      <c r="B485" s="24" t="n">
        <v>46143</v>
      </c>
      <c r="C485" s="3" t="s">
        <v>714</v>
      </c>
      <c r="D485" s="3" t="s">
        <v>231</v>
      </c>
      <c r="E485" s="3" t="n">
        <f aca="false">COUNTIF('NF x Centro de Custo'!$C$5:$C$1270,$C485)</f>
        <v>1</v>
      </c>
      <c r="F485" s="15" t="n">
        <f aca="false">SUMIFS('NF x Centro de Custo'!$F$5:$F$1270,'NF x Centro de Custo'!$C$5:$C$1270,$C485)</f>
        <v>4423.52</v>
      </c>
      <c r="G485" s="15" t="n">
        <f aca="false">SUMIFS('NF x Centro de Custo'!$G$5:$G$1270,'NF x Centro de Custo'!$C$5:$C$1270,$C485)</f>
        <v>0</v>
      </c>
      <c r="H485" s="15" t="n">
        <f aca="false">F485+G485</f>
        <v>4423.52</v>
      </c>
      <c r="I485" s="25" t="n">
        <v>4423.52</v>
      </c>
      <c r="J485" s="15" t="n">
        <f aca="false">ROUND(H485-I485,2)</f>
        <v>0</v>
      </c>
      <c r="K485" s="26" t="str">
        <f aca="false">IF(ABS(J485)&lt;0.05,"OK","Verificar")</f>
        <v>OK</v>
      </c>
    </row>
    <row r="486" customFormat="false" ht="15" hidden="false" customHeight="false" outlineLevel="0" collapsed="false">
      <c r="A486" s="3" t="n">
        <v>5</v>
      </c>
      <c r="B486" s="24" t="n">
        <v>46143</v>
      </c>
      <c r="C486" s="3" t="s">
        <v>715</v>
      </c>
      <c r="D486" s="3" t="s">
        <v>231</v>
      </c>
      <c r="E486" s="3" t="n">
        <f aca="false">COUNTIF('NF x Centro de Custo'!$C$5:$C$1270,$C486)</f>
        <v>1</v>
      </c>
      <c r="F486" s="15" t="n">
        <f aca="false">SUMIFS('NF x Centro de Custo'!$F$5:$F$1270,'NF x Centro de Custo'!$C$5:$C$1270,$C486)</f>
        <v>4891.24</v>
      </c>
      <c r="G486" s="15" t="n">
        <f aca="false">SUMIFS('NF x Centro de Custo'!$G$5:$G$1270,'NF x Centro de Custo'!$C$5:$C$1270,$C486)</f>
        <v>0</v>
      </c>
      <c r="H486" s="15" t="n">
        <f aca="false">F486+G486</f>
        <v>4891.24</v>
      </c>
      <c r="I486" s="25" t="n">
        <v>4891.24</v>
      </c>
      <c r="J486" s="15" t="n">
        <f aca="false">ROUND(H486-I486,2)</f>
        <v>0</v>
      </c>
      <c r="K486" s="26" t="str">
        <f aca="false">IF(ABS(J486)&lt;0.05,"OK","Verificar")</f>
        <v>OK</v>
      </c>
    </row>
    <row r="487" customFormat="false" ht="15" hidden="false" customHeight="false" outlineLevel="0" collapsed="false">
      <c r="A487" s="3" t="n">
        <v>5</v>
      </c>
      <c r="B487" s="24" t="n">
        <v>46143</v>
      </c>
      <c r="C487" s="3" t="s">
        <v>716</v>
      </c>
      <c r="D487" s="3" t="s">
        <v>234</v>
      </c>
      <c r="E487" s="3" t="n">
        <f aca="false">COUNTIF('NF x Centro de Custo'!$C$5:$C$1270,$C487)</f>
        <v>1</v>
      </c>
      <c r="F487" s="15" t="n">
        <f aca="false">SUMIFS('NF x Centro de Custo'!$F$5:$F$1270,'NF x Centro de Custo'!$C$5:$C$1270,$C487)</f>
        <v>1010.5</v>
      </c>
      <c r="G487" s="15" t="n">
        <f aca="false">SUMIFS('NF x Centro de Custo'!$G$5:$G$1270,'NF x Centro de Custo'!$C$5:$C$1270,$C487)</f>
        <v>0</v>
      </c>
      <c r="H487" s="15" t="n">
        <f aca="false">F487+G487</f>
        <v>1010.5</v>
      </c>
      <c r="I487" s="25" t="n">
        <v>1010.5</v>
      </c>
      <c r="J487" s="15" t="n">
        <f aca="false">ROUND(H487-I487,2)</f>
        <v>0</v>
      </c>
      <c r="K487" s="26" t="str">
        <f aca="false">IF(ABS(J487)&lt;0.05,"OK","Verificar")</f>
        <v>OK</v>
      </c>
    </row>
    <row r="488" customFormat="false" ht="15" hidden="false" customHeight="false" outlineLevel="0" collapsed="false">
      <c r="A488" s="3" t="n">
        <v>5</v>
      </c>
      <c r="B488" s="24" t="n">
        <v>46143</v>
      </c>
      <c r="C488" s="3" t="s">
        <v>717</v>
      </c>
      <c r="D488" s="3" t="s">
        <v>234</v>
      </c>
      <c r="E488" s="3" t="n">
        <f aca="false">COUNTIF('NF x Centro de Custo'!$C$5:$C$1270,$C488)</f>
        <v>1</v>
      </c>
      <c r="F488" s="15" t="n">
        <f aca="false">SUMIFS('NF x Centro de Custo'!$F$5:$F$1270,'NF x Centro de Custo'!$C$5:$C$1270,$C488)</f>
        <v>2491.5</v>
      </c>
      <c r="G488" s="15" t="n">
        <f aca="false">SUMIFS('NF x Centro de Custo'!$G$5:$G$1270,'NF x Centro de Custo'!$C$5:$C$1270,$C488)</f>
        <v>0</v>
      </c>
      <c r="H488" s="15" t="n">
        <f aca="false">F488+G488</f>
        <v>2491.5</v>
      </c>
      <c r="I488" s="25" t="n">
        <v>2491.5</v>
      </c>
      <c r="J488" s="15" t="n">
        <f aca="false">ROUND(H488-I488,2)</f>
        <v>0</v>
      </c>
      <c r="K488" s="26" t="str">
        <f aca="false">IF(ABS(J488)&lt;0.05,"OK","Verificar")</f>
        <v>OK</v>
      </c>
    </row>
    <row r="489" customFormat="false" ht="15" hidden="false" customHeight="false" outlineLevel="0" collapsed="false">
      <c r="A489" s="3" t="n">
        <v>5</v>
      </c>
      <c r="B489" s="24" t="n">
        <v>46143</v>
      </c>
      <c r="C489" s="3" t="s">
        <v>718</v>
      </c>
      <c r="D489" s="3" t="s">
        <v>237</v>
      </c>
      <c r="E489" s="3" t="n">
        <f aca="false">COUNTIF('NF x Centro de Custo'!$C$5:$C$1270,$C489)</f>
        <v>1</v>
      </c>
      <c r="F489" s="15" t="n">
        <f aca="false">SUMIFS('NF x Centro de Custo'!$F$5:$F$1270,'NF x Centro de Custo'!$C$5:$C$1270,$C489)</f>
        <v>3646.6</v>
      </c>
      <c r="G489" s="15" t="n">
        <f aca="false">SUMIFS('NF x Centro de Custo'!$G$5:$G$1270,'NF x Centro de Custo'!$C$5:$C$1270,$C489)</f>
        <v>0</v>
      </c>
      <c r="H489" s="15" t="n">
        <f aca="false">F489+G489</f>
        <v>3646.6</v>
      </c>
      <c r="I489" s="25" t="n">
        <v>3646.6</v>
      </c>
      <c r="J489" s="15" t="n">
        <f aca="false">ROUND(H489-I489,2)</f>
        <v>0</v>
      </c>
      <c r="K489" s="26" t="str">
        <f aca="false">IF(ABS(J489)&lt;0.05,"OK","Verificar")</f>
        <v>OK</v>
      </c>
    </row>
    <row r="490" customFormat="false" ht="15" hidden="false" customHeight="false" outlineLevel="0" collapsed="false">
      <c r="A490" s="3" t="n">
        <v>5</v>
      </c>
      <c r="B490" s="24" t="n">
        <v>46143</v>
      </c>
      <c r="C490" s="3" t="s">
        <v>719</v>
      </c>
      <c r="D490" s="3" t="s">
        <v>237</v>
      </c>
      <c r="E490" s="3" t="n">
        <f aca="false">COUNTIF('NF x Centro de Custo'!$C$5:$C$1270,$C490)</f>
        <v>1</v>
      </c>
      <c r="F490" s="15" t="n">
        <f aca="false">SUMIFS('NF x Centro de Custo'!$F$5:$F$1270,'NF x Centro de Custo'!$C$5:$C$1270,$C490)</f>
        <v>388.17</v>
      </c>
      <c r="G490" s="15" t="n">
        <f aca="false">SUMIFS('NF x Centro de Custo'!$G$5:$G$1270,'NF x Centro de Custo'!$C$5:$C$1270,$C490)</f>
        <v>0</v>
      </c>
      <c r="H490" s="15" t="n">
        <f aca="false">F490+G490</f>
        <v>388.17</v>
      </c>
      <c r="I490" s="25" t="n">
        <v>388.17</v>
      </c>
      <c r="J490" s="15" t="n">
        <f aca="false">ROUND(H490-I490,2)</f>
        <v>0</v>
      </c>
      <c r="K490" s="26" t="str">
        <f aca="false">IF(ABS(J490)&lt;0.05,"OK","Verificar")</f>
        <v>OK</v>
      </c>
    </row>
    <row r="491" customFormat="false" ht="15" hidden="false" customHeight="false" outlineLevel="0" collapsed="false">
      <c r="A491" s="3" t="n">
        <v>5</v>
      </c>
      <c r="B491" s="24" t="n">
        <v>46143</v>
      </c>
      <c r="C491" s="3" t="s">
        <v>720</v>
      </c>
      <c r="D491" s="3" t="s">
        <v>237</v>
      </c>
      <c r="E491" s="3" t="n">
        <f aca="false">COUNTIF('NF x Centro de Custo'!$C$5:$C$1270,$C491)</f>
        <v>1</v>
      </c>
      <c r="F491" s="15" t="n">
        <f aca="false">SUMIFS('NF x Centro de Custo'!$F$5:$F$1270,'NF x Centro de Custo'!$C$5:$C$1270,$C491)</f>
        <v>2125.07</v>
      </c>
      <c r="G491" s="15" t="n">
        <f aca="false">SUMIFS('NF x Centro de Custo'!$G$5:$G$1270,'NF x Centro de Custo'!$C$5:$C$1270,$C491)</f>
        <v>0</v>
      </c>
      <c r="H491" s="15" t="n">
        <f aca="false">F491+G491</f>
        <v>2125.07</v>
      </c>
      <c r="I491" s="25" t="n">
        <v>2125.07</v>
      </c>
      <c r="J491" s="15" t="n">
        <f aca="false">ROUND(H491-I491,2)</f>
        <v>0</v>
      </c>
      <c r="K491" s="26" t="str">
        <f aca="false">IF(ABS(J491)&lt;0.05,"OK","Verificar")</f>
        <v>OK</v>
      </c>
    </row>
    <row r="492" customFormat="false" ht="15" hidden="false" customHeight="false" outlineLevel="0" collapsed="false">
      <c r="A492" s="3" t="n">
        <v>5</v>
      </c>
      <c r="B492" s="24" t="n">
        <v>46143</v>
      </c>
      <c r="C492" s="3" t="s">
        <v>721</v>
      </c>
      <c r="D492" s="3" t="s">
        <v>237</v>
      </c>
      <c r="E492" s="3" t="n">
        <f aca="false">COUNTIF('NF x Centro de Custo'!$C$5:$C$1270,$C492)</f>
        <v>2</v>
      </c>
      <c r="F492" s="15" t="n">
        <f aca="false">SUMIFS('NF x Centro de Custo'!$F$5:$F$1270,'NF x Centro de Custo'!$C$5:$C$1270,$C492)</f>
        <v>41690.17</v>
      </c>
      <c r="G492" s="15" t="n">
        <f aca="false">SUMIFS('NF x Centro de Custo'!$G$5:$G$1270,'NF x Centro de Custo'!$C$5:$C$1270,$C492)</f>
        <v>0</v>
      </c>
      <c r="H492" s="15" t="n">
        <f aca="false">F492+G492</f>
        <v>41690.17</v>
      </c>
      <c r="I492" s="25" t="n">
        <v>41690.17</v>
      </c>
      <c r="J492" s="15" t="n">
        <f aca="false">ROUND(H492-I492,2)</f>
        <v>0</v>
      </c>
      <c r="K492" s="26" t="str">
        <f aca="false">IF(ABS(J492)&lt;0.05,"OK","Verificar")</f>
        <v>OK</v>
      </c>
    </row>
    <row r="493" customFormat="false" ht="15" hidden="false" customHeight="false" outlineLevel="0" collapsed="false">
      <c r="A493" s="3" t="n">
        <v>5</v>
      </c>
      <c r="B493" s="24" t="n">
        <v>46143</v>
      </c>
      <c r="C493" s="3" t="s">
        <v>722</v>
      </c>
      <c r="D493" s="3" t="s">
        <v>269</v>
      </c>
      <c r="E493" s="3" t="n">
        <f aca="false">COUNTIF('NF x Centro de Custo'!$C$5:$C$1270,$C493)</f>
        <v>1</v>
      </c>
      <c r="F493" s="15" t="n">
        <f aca="false">SUMIFS('NF x Centro de Custo'!$F$5:$F$1270,'NF x Centro de Custo'!$C$5:$C$1270,$C493)</f>
        <v>10641.58</v>
      </c>
      <c r="G493" s="15" t="n">
        <f aca="false">SUMIFS('NF x Centro de Custo'!$G$5:$G$1270,'NF x Centro de Custo'!$C$5:$C$1270,$C493)</f>
        <v>0</v>
      </c>
      <c r="H493" s="15" t="n">
        <f aca="false">F493+G493</f>
        <v>10641.58</v>
      </c>
      <c r="I493" s="25" t="n">
        <v>10641.58</v>
      </c>
      <c r="J493" s="15" t="n">
        <f aca="false">ROUND(H493-I493,2)</f>
        <v>0</v>
      </c>
      <c r="K493" s="26" t="str">
        <f aca="false">IF(ABS(J493)&lt;0.05,"OK","Verificar")</f>
        <v>OK</v>
      </c>
    </row>
    <row r="494" customFormat="false" ht="15" hidden="false" customHeight="false" outlineLevel="0" collapsed="false">
      <c r="A494" s="3" t="n">
        <v>5</v>
      </c>
      <c r="B494" s="24" t="n">
        <v>46143</v>
      </c>
      <c r="C494" s="3" t="s">
        <v>723</v>
      </c>
      <c r="D494" s="3" t="s">
        <v>269</v>
      </c>
      <c r="E494" s="3" t="n">
        <f aca="false">COUNTIF('NF x Centro de Custo'!$C$5:$C$1270,$C494)</f>
        <v>1</v>
      </c>
      <c r="F494" s="15" t="n">
        <f aca="false">SUMIFS('NF x Centro de Custo'!$F$5:$F$1270,'NF x Centro de Custo'!$C$5:$C$1270,$C494)</f>
        <v>2757.91</v>
      </c>
      <c r="G494" s="15" t="n">
        <f aca="false">SUMIFS('NF x Centro de Custo'!$G$5:$G$1270,'NF x Centro de Custo'!$C$5:$C$1270,$C494)</f>
        <v>0</v>
      </c>
      <c r="H494" s="15" t="n">
        <f aca="false">F494+G494</f>
        <v>2757.91</v>
      </c>
      <c r="I494" s="25" t="n">
        <v>2757.91</v>
      </c>
      <c r="J494" s="15" t="n">
        <f aca="false">ROUND(H494-I494,2)</f>
        <v>0</v>
      </c>
      <c r="K494" s="26" t="str">
        <f aca="false">IF(ABS(J494)&lt;0.05,"OK","Verificar")</f>
        <v>OK</v>
      </c>
    </row>
    <row r="495" customFormat="false" ht="15" hidden="false" customHeight="false" outlineLevel="0" collapsed="false">
      <c r="A495" s="3" t="n">
        <v>5</v>
      </c>
      <c r="B495" s="24" t="n">
        <v>46143</v>
      </c>
      <c r="C495" s="3" t="s">
        <v>724</v>
      </c>
      <c r="D495" s="3" t="s">
        <v>269</v>
      </c>
      <c r="E495" s="3" t="n">
        <f aca="false">COUNTIF('NF x Centro de Custo'!$C$5:$C$1270,$C495)</f>
        <v>1</v>
      </c>
      <c r="F495" s="15" t="n">
        <f aca="false">SUMIFS('NF x Centro de Custo'!$F$5:$F$1270,'NF x Centro de Custo'!$C$5:$C$1270,$C495)</f>
        <v>265.98</v>
      </c>
      <c r="G495" s="15" t="n">
        <f aca="false">SUMIFS('NF x Centro de Custo'!$G$5:$G$1270,'NF x Centro de Custo'!$C$5:$C$1270,$C495)</f>
        <v>0</v>
      </c>
      <c r="H495" s="15" t="n">
        <f aca="false">F495+G495</f>
        <v>265.98</v>
      </c>
      <c r="I495" s="25" t="n">
        <v>265.98</v>
      </c>
      <c r="J495" s="15" t="n">
        <f aca="false">ROUND(H495-I495,2)</f>
        <v>0</v>
      </c>
      <c r="K495" s="26" t="str">
        <f aca="false">IF(ABS(J495)&lt;0.05,"OK","Verificar")</f>
        <v>OK</v>
      </c>
    </row>
    <row r="496" customFormat="false" ht="15" hidden="false" customHeight="false" outlineLevel="0" collapsed="false">
      <c r="A496" s="3" t="n">
        <v>5</v>
      </c>
      <c r="B496" s="24" t="n">
        <v>46143</v>
      </c>
      <c r="C496" s="3" t="s">
        <v>725</v>
      </c>
      <c r="D496" s="3" t="s">
        <v>269</v>
      </c>
      <c r="E496" s="3" t="n">
        <f aca="false">COUNTIF('NF x Centro de Custo'!$C$5:$C$1270,$C496)</f>
        <v>1</v>
      </c>
      <c r="F496" s="15" t="n">
        <f aca="false">SUMIFS('NF x Centro de Custo'!$F$5:$F$1270,'NF x Centro de Custo'!$C$5:$C$1270,$C496)</f>
        <v>848.5</v>
      </c>
      <c r="G496" s="15" t="n">
        <f aca="false">SUMIFS('NF x Centro de Custo'!$G$5:$G$1270,'NF x Centro de Custo'!$C$5:$C$1270,$C496)</f>
        <v>0</v>
      </c>
      <c r="H496" s="15" t="n">
        <f aca="false">F496+G496</f>
        <v>848.5</v>
      </c>
      <c r="I496" s="25" t="n">
        <v>848.5</v>
      </c>
      <c r="J496" s="15" t="n">
        <f aca="false">ROUND(H496-I496,2)</f>
        <v>0</v>
      </c>
      <c r="K496" s="26" t="str">
        <f aca="false">IF(ABS(J496)&lt;0.05,"OK","Verificar")</f>
        <v>OK</v>
      </c>
    </row>
    <row r="497" customFormat="false" ht="15" hidden="false" customHeight="false" outlineLevel="0" collapsed="false">
      <c r="A497" s="3" t="n">
        <v>5</v>
      </c>
      <c r="B497" s="24" t="n">
        <v>46143</v>
      </c>
      <c r="C497" s="3" t="s">
        <v>726</v>
      </c>
      <c r="D497" s="3" t="s">
        <v>269</v>
      </c>
      <c r="E497" s="3" t="n">
        <f aca="false">COUNTIF('NF x Centro de Custo'!$C$5:$C$1270,$C497)</f>
        <v>1</v>
      </c>
      <c r="F497" s="15" t="n">
        <f aca="false">SUMIFS('NF x Centro de Custo'!$F$5:$F$1270,'NF x Centro de Custo'!$C$5:$C$1270,$C497)</f>
        <v>1541</v>
      </c>
      <c r="G497" s="15" t="n">
        <f aca="false">SUMIFS('NF x Centro de Custo'!$G$5:$G$1270,'NF x Centro de Custo'!$C$5:$C$1270,$C497)</f>
        <v>0</v>
      </c>
      <c r="H497" s="15" t="n">
        <f aca="false">F497+G497</f>
        <v>1541</v>
      </c>
      <c r="I497" s="25" t="n">
        <v>1541</v>
      </c>
      <c r="J497" s="15" t="n">
        <f aca="false">ROUND(H497-I497,2)</f>
        <v>0</v>
      </c>
      <c r="K497" s="26" t="str">
        <f aca="false">IF(ABS(J497)&lt;0.05,"OK","Verificar")</f>
        <v>OK</v>
      </c>
    </row>
    <row r="498" customFormat="false" ht="15" hidden="false" customHeight="false" outlineLevel="0" collapsed="false">
      <c r="A498" s="3" t="n">
        <v>5</v>
      </c>
      <c r="B498" s="24" t="n">
        <v>46143</v>
      </c>
      <c r="C498" s="3" t="s">
        <v>727</v>
      </c>
      <c r="D498" s="3" t="s">
        <v>212</v>
      </c>
      <c r="E498" s="3" t="n">
        <f aca="false">COUNTIF('NF x Centro de Custo'!$C$5:$C$1270,$C498)</f>
        <v>10</v>
      </c>
      <c r="F498" s="15" t="n">
        <f aca="false">SUMIFS('NF x Centro de Custo'!$F$5:$F$1270,'NF x Centro de Custo'!$C$5:$C$1270,$C498)</f>
        <v>44359.44</v>
      </c>
      <c r="G498" s="15" t="n">
        <f aca="false">SUMIFS('NF x Centro de Custo'!$G$5:$G$1270,'NF x Centro de Custo'!$C$5:$C$1270,$C498)</f>
        <v>0</v>
      </c>
      <c r="H498" s="15" t="n">
        <f aca="false">F498+G498</f>
        <v>44359.44</v>
      </c>
      <c r="I498" s="25" t="n">
        <v>44359.44</v>
      </c>
      <c r="J498" s="15" t="n">
        <f aca="false">ROUND(H498-I498,2)</f>
        <v>0</v>
      </c>
      <c r="K498" s="26" t="str">
        <f aca="false">IF(ABS(J498)&lt;0.05,"OK","Verificar")</f>
        <v>OK</v>
      </c>
    </row>
    <row r="499" customFormat="false" ht="15" hidden="false" customHeight="false" outlineLevel="0" collapsed="false">
      <c r="A499" s="3" t="n">
        <v>6</v>
      </c>
      <c r="B499" s="24" t="n">
        <v>46174</v>
      </c>
      <c r="C499" s="3" t="s">
        <v>728</v>
      </c>
      <c r="D499" s="3" t="s">
        <v>212</v>
      </c>
      <c r="E499" s="3" t="n">
        <f aca="false">COUNTIF('NF x Centro de Custo'!$C$5:$C$1270,$C499)</f>
        <v>10</v>
      </c>
      <c r="F499" s="15" t="n">
        <f aca="false">SUMIFS('NF x Centro de Custo'!$F$5:$F$1270,'NF x Centro de Custo'!$C$5:$C$1270,$C499)</f>
        <v>225600.91</v>
      </c>
      <c r="G499" s="15" t="n">
        <f aca="false">SUMIFS('NF x Centro de Custo'!$G$5:$G$1270,'NF x Centro de Custo'!$C$5:$C$1270,$C499)</f>
        <v>68526.34</v>
      </c>
      <c r="H499" s="15" t="n">
        <f aca="false">F499+G499</f>
        <v>294127.25</v>
      </c>
      <c r="I499" s="25" t="n">
        <v>294127.25</v>
      </c>
      <c r="J499" s="15" t="n">
        <f aca="false">ROUND(H499-I499,2)</f>
        <v>0</v>
      </c>
      <c r="K499" s="26" t="str">
        <f aca="false">IF(ABS(J499)&lt;0.05,"OK","Verificar")</f>
        <v>OK</v>
      </c>
    </row>
    <row r="500" customFormat="false" ht="15" hidden="false" customHeight="false" outlineLevel="0" collapsed="false">
      <c r="A500" s="3" t="n">
        <v>6</v>
      </c>
      <c r="B500" s="24" t="n">
        <v>46174</v>
      </c>
      <c r="C500" s="3" t="s">
        <v>729</v>
      </c>
      <c r="D500" s="3" t="s">
        <v>214</v>
      </c>
      <c r="E500" s="3" t="n">
        <f aca="false">COUNTIF('NF x Centro de Custo'!$C$5:$C$1270,$C500)</f>
        <v>1</v>
      </c>
      <c r="F500" s="15" t="n">
        <f aca="false">SUMIFS('NF x Centro de Custo'!$F$5:$F$1270,'NF x Centro de Custo'!$C$5:$C$1270,$C500)</f>
        <v>2544.27</v>
      </c>
      <c r="G500" s="15" t="n">
        <f aca="false">SUMIFS('NF x Centro de Custo'!$G$5:$G$1270,'NF x Centro de Custo'!$C$5:$C$1270,$C500)</f>
        <v>907.95</v>
      </c>
      <c r="H500" s="15" t="n">
        <f aca="false">F500+G500</f>
        <v>3452.22</v>
      </c>
      <c r="I500" s="25" t="n">
        <v>3452.22</v>
      </c>
      <c r="J500" s="15" t="n">
        <f aca="false">ROUND(H500-I500,2)</f>
        <v>0</v>
      </c>
      <c r="K500" s="26" t="str">
        <f aca="false">IF(ABS(J500)&lt;0.05,"OK","Verificar")</f>
        <v>OK</v>
      </c>
    </row>
    <row r="501" customFormat="false" ht="15" hidden="false" customHeight="false" outlineLevel="0" collapsed="false">
      <c r="A501" s="3" t="n">
        <v>6</v>
      </c>
      <c r="B501" s="24" t="n">
        <v>46174</v>
      </c>
      <c r="C501" s="3" t="s">
        <v>730</v>
      </c>
      <c r="D501" s="3" t="s">
        <v>214</v>
      </c>
      <c r="E501" s="3" t="n">
        <f aca="false">COUNTIF('NF x Centro de Custo'!$C$5:$C$1270,$C501)</f>
        <v>1</v>
      </c>
      <c r="F501" s="15" t="n">
        <f aca="false">SUMIFS('NF x Centro de Custo'!$F$5:$F$1270,'NF x Centro de Custo'!$C$5:$C$1270,$C501)</f>
        <v>19641.48</v>
      </c>
      <c r="G501" s="15" t="n">
        <f aca="false">SUMIFS('NF x Centro de Custo'!$G$5:$G$1270,'NF x Centro de Custo'!$C$5:$C$1270,$C501)</f>
        <v>7018.27</v>
      </c>
      <c r="H501" s="15" t="n">
        <f aca="false">F501+G501</f>
        <v>26659.75</v>
      </c>
      <c r="I501" s="25" t="n">
        <v>26659.75</v>
      </c>
      <c r="J501" s="15" t="n">
        <f aca="false">ROUND(H501-I501,2)</f>
        <v>0</v>
      </c>
      <c r="K501" s="26" t="str">
        <f aca="false">IF(ABS(J501)&lt;0.05,"OK","Verificar")</f>
        <v>OK</v>
      </c>
    </row>
    <row r="502" customFormat="false" ht="15" hidden="false" customHeight="false" outlineLevel="0" collapsed="false">
      <c r="A502" s="3" t="n">
        <v>6</v>
      </c>
      <c r="B502" s="24" t="n">
        <v>46174</v>
      </c>
      <c r="C502" s="3" t="s">
        <v>731</v>
      </c>
      <c r="D502" s="3" t="s">
        <v>732</v>
      </c>
      <c r="E502" s="3" t="n">
        <f aca="false">COUNTIF('NF x Centro de Custo'!$C$5:$C$1270,$C502)</f>
        <v>1</v>
      </c>
      <c r="F502" s="15" t="n">
        <f aca="false">SUMIFS('NF x Centro de Custo'!$F$5:$F$1270,'NF x Centro de Custo'!$C$5:$C$1270,$C502)</f>
        <v>2474.66</v>
      </c>
      <c r="G502" s="15" t="n">
        <f aca="false">SUMIFS('NF x Centro de Custo'!$G$5:$G$1270,'NF x Centro de Custo'!$C$5:$C$1270,$C502)</f>
        <v>886.76</v>
      </c>
      <c r="H502" s="15" t="n">
        <f aca="false">F502+G502</f>
        <v>3361.42</v>
      </c>
      <c r="I502" s="25" t="n">
        <v>3361.42</v>
      </c>
      <c r="J502" s="15" t="n">
        <f aca="false">ROUND(H502-I502,2)</f>
        <v>0</v>
      </c>
      <c r="K502" s="26" t="str">
        <f aca="false">IF(ABS(J502)&lt;0.05,"OK","Verificar")</f>
        <v>OK</v>
      </c>
    </row>
    <row r="503" customFormat="false" ht="15" hidden="false" customHeight="false" outlineLevel="0" collapsed="false">
      <c r="A503" s="3" t="n">
        <v>6</v>
      </c>
      <c r="B503" s="24" t="n">
        <v>46174</v>
      </c>
      <c r="C503" s="3" t="s">
        <v>733</v>
      </c>
      <c r="D503" s="3" t="s">
        <v>217</v>
      </c>
      <c r="E503" s="3" t="n">
        <f aca="false">COUNTIF('NF x Centro de Custo'!$C$5:$C$1270,$C503)</f>
        <v>1</v>
      </c>
      <c r="F503" s="15" t="n">
        <f aca="false">SUMIFS('NF x Centro de Custo'!$F$5:$F$1270,'NF x Centro de Custo'!$C$5:$C$1270,$C503)</f>
        <v>12762.15</v>
      </c>
      <c r="G503" s="15" t="n">
        <f aca="false">SUMIFS('NF x Centro de Custo'!$G$5:$G$1270,'NF x Centro de Custo'!$C$5:$C$1270,$C503)</f>
        <v>4616.66</v>
      </c>
      <c r="H503" s="15" t="n">
        <f aca="false">F503+G503</f>
        <v>17378.81</v>
      </c>
      <c r="I503" s="25" t="n">
        <v>17378.81</v>
      </c>
      <c r="J503" s="15" t="n">
        <f aca="false">ROUND(H503-I503,2)</f>
        <v>0</v>
      </c>
      <c r="K503" s="26" t="str">
        <f aca="false">IF(ABS(J503)&lt;0.05,"OK","Verificar")</f>
        <v>OK</v>
      </c>
    </row>
    <row r="504" customFormat="false" ht="15" hidden="false" customHeight="false" outlineLevel="0" collapsed="false">
      <c r="A504" s="3" t="n">
        <v>6</v>
      </c>
      <c r="B504" s="24" t="n">
        <v>46174</v>
      </c>
      <c r="C504" s="3" t="s">
        <v>734</v>
      </c>
      <c r="D504" s="3" t="s">
        <v>217</v>
      </c>
      <c r="E504" s="3" t="n">
        <f aca="false">COUNTIF('NF x Centro de Custo'!$C$5:$C$1270,$C504)</f>
        <v>1</v>
      </c>
      <c r="F504" s="15" t="n">
        <f aca="false">SUMIFS('NF x Centro de Custo'!$F$5:$F$1270,'NF x Centro de Custo'!$C$5:$C$1270,$C504)</f>
        <v>4949.32</v>
      </c>
      <c r="G504" s="15" t="n">
        <f aca="false">SUMIFS('NF x Centro de Custo'!$G$5:$G$1270,'NF x Centro de Custo'!$C$5:$C$1270,$C504)</f>
        <v>1773.52</v>
      </c>
      <c r="H504" s="15" t="n">
        <f aca="false">F504+G504</f>
        <v>6722.84</v>
      </c>
      <c r="I504" s="25" t="n">
        <v>6722.84</v>
      </c>
      <c r="J504" s="15" t="n">
        <f aca="false">ROUND(H504-I504,2)</f>
        <v>0</v>
      </c>
      <c r="K504" s="26" t="str">
        <f aca="false">IF(ABS(J504)&lt;0.05,"OK","Verificar")</f>
        <v>OK</v>
      </c>
    </row>
    <row r="505" customFormat="false" ht="15" hidden="false" customHeight="false" outlineLevel="0" collapsed="false">
      <c r="A505" s="3" t="n">
        <v>6</v>
      </c>
      <c r="B505" s="24" t="n">
        <v>46174</v>
      </c>
      <c r="C505" s="3" t="s">
        <v>735</v>
      </c>
      <c r="D505" s="3" t="s">
        <v>217</v>
      </c>
      <c r="E505" s="3" t="n">
        <f aca="false">COUNTIF('NF x Centro de Custo'!$C$5:$C$1270,$C505)</f>
        <v>1</v>
      </c>
      <c r="F505" s="15" t="n">
        <f aca="false">SUMIFS('NF x Centro de Custo'!$F$5:$F$1270,'NF x Centro de Custo'!$C$5:$C$1270,$C505)</f>
        <v>46621.9</v>
      </c>
      <c r="G505" s="15" t="n">
        <f aca="false">SUMIFS('NF x Centro de Custo'!$G$5:$G$1270,'NF x Centro de Custo'!$C$5:$C$1270,$C505)</f>
        <v>16269.38</v>
      </c>
      <c r="H505" s="15" t="n">
        <f aca="false">F505+G505</f>
        <v>62891.28</v>
      </c>
      <c r="I505" s="25" t="n">
        <v>62891.28</v>
      </c>
      <c r="J505" s="15" t="n">
        <f aca="false">ROUND(H505-I505,2)</f>
        <v>0</v>
      </c>
      <c r="K505" s="26" t="str">
        <f aca="false">IF(ABS(J505)&lt;0.05,"OK","Verificar")</f>
        <v>OK</v>
      </c>
    </row>
    <row r="506" customFormat="false" ht="15" hidden="false" customHeight="false" outlineLevel="0" collapsed="false">
      <c r="A506" s="3" t="n">
        <v>6</v>
      </c>
      <c r="B506" s="24" t="n">
        <v>46174</v>
      </c>
      <c r="C506" s="3" t="s">
        <v>736</v>
      </c>
      <c r="D506" s="3" t="s">
        <v>219</v>
      </c>
      <c r="E506" s="3" t="n">
        <f aca="false">COUNTIF('NF x Centro de Custo'!$C$5:$C$1270,$C506)</f>
        <v>1</v>
      </c>
      <c r="F506" s="15" t="n">
        <f aca="false">SUMIFS('NF x Centro de Custo'!$F$5:$F$1270,'NF x Centro de Custo'!$C$5:$C$1270,$C506)</f>
        <v>2352.64</v>
      </c>
      <c r="G506" s="15" t="n">
        <f aca="false">SUMIFS('NF x Centro de Custo'!$G$5:$G$1270,'NF x Centro de Custo'!$C$5:$C$1270,$C506)</f>
        <v>840.76</v>
      </c>
      <c r="H506" s="15" t="n">
        <f aca="false">F506+G506</f>
        <v>3193.4</v>
      </c>
      <c r="I506" s="25" t="n">
        <v>3193.4</v>
      </c>
      <c r="J506" s="15" t="n">
        <f aca="false">ROUND(H506-I506,2)</f>
        <v>0</v>
      </c>
      <c r="K506" s="26" t="str">
        <f aca="false">IF(ABS(J506)&lt;0.05,"OK","Verificar")</f>
        <v>OK</v>
      </c>
    </row>
    <row r="507" customFormat="false" ht="15" hidden="false" customHeight="false" outlineLevel="0" collapsed="false">
      <c r="A507" s="3" t="n">
        <v>6</v>
      </c>
      <c r="B507" s="24" t="n">
        <v>46174</v>
      </c>
      <c r="C507" s="3" t="s">
        <v>737</v>
      </c>
      <c r="D507" s="3" t="s">
        <v>219</v>
      </c>
      <c r="E507" s="3" t="n">
        <f aca="false">COUNTIF('NF x Centro de Custo'!$C$5:$C$1270,$C507)</f>
        <v>1</v>
      </c>
      <c r="F507" s="15" t="n">
        <f aca="false">SUMIFS('NF x Centro de Custo'!$F$5:$F$1270,'NF x Centro de Custo'!$C$5:$C$1270,$C507)</f>
        <v>22339.5</v>
      </c>
      <c r="G507" s="15" t="n">
        <f aca="false">SUMIFS('NF x Centro de Custo'!$G$5:$G$1270,'NF x Centro de Custo'!$C$5:$C$1270,$C507)</f>
        <v>7763.94</v>
      </c>
      <c r="H507" s="15" t="n">
        <f aca="false">F507+G507</f>
        <v>30103.44</v>
      </c>
      <c r="I507" s="25" t="n">
        <v>30103.44</v>
      </c>
      <c r="J507" s="15" t="n">
        <f aca="false">ROUND(H507-I507,2)</f>
        <v>0</v>
      </c>
      <c r="K507" s="26" t="str">
        <f aca="false">IF(ABS(J507)&lt;0.05,"OK","Verificar")</f>
        <v>OK</v>
      </c>
    </row>
    <row r="508" customFormat="false" ht="15" hidden="false" customHeight="false" outlineLevel="0" collapsed="false">
      <c r="A508" s="3" t="n">
        <v>6</v>
      </c>
      <c r="B508" s="24" t="n">
        <v>46174</v>
      </c>
      <c r="C508" s="3" t="s">
        <v>738</v>
      </c>
      <c r="D508" s="3" t="s">
        <v>739</v>
      </c>
      <c r="E508" s="3" t="n">
        <f aca="false">COUNTIF('NF x Centro de Custo'!$C$5:$C$1270,$C508)</f>
        <v>2</v>
      </c>
      <c r="F508" s="15" t="n">
        <f aca="false">SUMIFS('NF x Centro de Custo'!$F$5:$F$1270,'NF x Centro de Custo'!$C$5:$C$1270,$C508)</f>
        <v>36267.77</v>
      </c>
      <c r="G508" s="15" t="n">
        <f aca="false">SUMIFS('NF x Centro de Custo'!$G$5:$G$1270,'NF x Centro de Custo'!$C$5:$C$1270,$C508)</f>
        <v>12644.8</v>
      </c>
      <c r="H508" s="15" t="n">
        <f aca="false">F508+G508</f>
        <v>48912.57</v>
      </c>
      <c r="I508" s="25" t="n">
        <v>48912.57</v>
      </c>
      <c r="J508" s="15" t="n">
        <f aca="false">ROUND(H508-I508,2)</f>
        <v>0</v>
      </c>
      <c r="K508" s="26" t="str">
        <f aca="false">IF(ABS(J508)&lt;0.05,"OK","Verificar")</f>
        <v>OK</v>
      </c>
    </row>
    <row r="509" customFormat="false" ht="15" hidden="false" customHeight="false" outlineLevel="0" collapsed="false">
      <c r="A509" s="3" t="n">
        <v>6</v>
      </c>
      <c r="B509" s="24" t="n">
        <v>46174</v>
      </c>
      <c r="C509" s="3" t="s">
        <v>740</v>
      </c>
      <c r="D509" s="3" t="s">
        <v>228</v>
      </c>
      <c r="E509" s="3" t="n">
        <f aca="false">COUNTIF('NF x Centro de Custo'!$C$5:$C$1270,$C509)</f>
        <v>1</v>
      </c>
      <c r="F509" s="15" t="n">
        <f aca="false">SUMIFS('NF x Centro de Custo'!$F$5:$F$1270,'NF x Centro de Custo'!$C$5:$C$1270,$C509)</f>
        <v>4759.48</v>
      </c>
      <c r="G509" s="15" t="n">
        <f aca="false">SUMIFS('NF x Centro de Custo'!$G$5:$G$1270,'NF x Centro de Custo'!$C$5:$C$1270,$C509)</f>
        <v>1699.42</v>
      </c>
      <c r="H509" s="15" t="n">
        <f aca="false">F509+G509</f>
        <v>6458.9</v>
      </c>
      <c r="I509" s="25" t="n">
        <v>6458.9</v>
      </c>
      <c r="J509" s="15" t="n">
        <f aca="false">ROUND(H509-I509,2)</f>
        <v>0</v>
      </c>
      <c r="K509" s="26" t="str">
        <f aca="false">IF(ABS(J509)&lt;0.05,"OK","Verificar")</f>
        <v>OK</v>
      </c>
    </row>
    <row r="510" customFormat="false" ht="15" hidden="false" customHeight="false" outlineLevel="0" collapsed="false">
      <c r="A510" s="3" t="n">
        <v>6</v>
      </c>
      <c r="B510" s="24" t="n">
        <v>46174</v>
      </c>
      <c r="C510" s="3" t="s">
        <v>741</v>
      </c>
      <c r="D510" s="3" t="s">
        <v>228</v>
      </c>
      <c r="E510" s="3" t="n">
        <f aca="false">COUNTIF('NF x Centro de Custo'!$C$5:$C$1270,$C510)</f>
        <v>3</v>
      </c>
      <c r="F510" s="15" t="n">
        <f aca="false">SUMIFS('NF x Centro de Custo'!$F$5:$F$1270,'NF x Centro de Custo'!$C$5:$C$1270,$C510)</f>
        <v>50316.87</v>
      </c>
      <c r="G510" s="15" t="n">
        <f aca="false">SUMIFS('NF x Centro de Custo'!$G$5:$G$1270,'NF x Centro de Custo'!$C$5:$C$1270,$C510)</f>
        <v>17511.85</v>
      </c>
      <c r="H510" s="15" t="n">
        <f aca="false">F510+G510</f>
        <v>67828.72</v>
      </c>
      <c r="I510" s="25" t="n">
        <v>67828.72</v>
      </c>
      <c r="J510" s="15" t="n">
        <f aca="false">ROUND(H510-I510,2)</f>
        <v>0</v>
      </c>
      <c r="K510" s="26" t="str">
        <f aca="false">IF(ABS(J510)&lt;0.05,"OK","Verificar")</f>
        <v>OK</v>
      </c>
    </row>
    <row r="511" customFormat="false" ht="15" hidden="false" customHeight="false" outlineLevel="0" collapsed="false">
      <c r="A511" s="3" t="n">
        <v>6</v>
      </c>
      <c r="B511" s="24" t="n">
        <v>46174</v>
      </c>
      <c r="C511" s="3" t="s">
        <v>742</v>
      </c>
      <c r="D511" s="3" t="s">
        <v>231</v>
      </c>
      <c r="E511" s="3" t="n">
        <f aca="false">COUNTIF('NF x Centro de Custo'!$C$5:$C$1270,$C511)</f>
        <v>1</v>
      </c>
      <c r="F511" s="15" t="n">
        <f aca="false">SUMIFS('NF x Centro de Custo'!$F$5:$F$1270,'NF x Centro de Custo'!$C$5:$C$1270,$C511)</f>
        <v>9438.3</v>
      </c>
      <c r="G511" s="15" t="n">
        <f aca="false">SUMIFS('NF x Centro de Custo'!$G$5:$G$1270,'NF x Centro de Custo'!$C$5:$C$1270,$C511)</f>
        <v>3372.65</v>
      </c>
      <c r="H511" s="15" t="n">
        <f aca="false">F511+G511</f>
        <v>12810.95</v>
      </c>
      <c r="I511" s="25" t="n">
        <v>12810.95</v>
      </c>
      <c r="J511" s="15" t="n">
        <f aca="false">ROUND(H511-I511,2)</f>
        <v>0</v>
      </c>
      <c r="K511" s="26" t="str">
        <f aca="false">IF(ABS(J511)&lt;0.05,"OK","Verificar")</f>
        <v>OK</v>
      </c>
    </row>
    <row r="512" customFormat="false" ht="15" hidden="false" customHeight="false" outlineLevel="0" collapsed="false">
      <c r="A512" s="3" t="n">
        <v>6</v>
      </c>
      <c r="B512" s="24" t="n">
        <v>46174</v>
      </c>
      <c r="C512" s="3" t="s">
        <v>743</v>
      </c>
      <c r="D512" s="3" t="s">
        <v>231</v>
      </c>
      <c r="E512" s="3" t="n">
        <f aca="false">COUNTIF('NF x Centro de Custo'!$C$5:$C$1270,$C512)</f>
        <v>1</v>
      </c>
      <c r="F512" s="15" t="n">
        <f aca="false">SUMIFS('NF x Centro de Custo'!$F$5:$F$1270,'NF x Centro de Custo'!$C$5:$C$1270,$C512)</f>
        <v>4066.04</v>
      </c>
      <c r="G512" s="15" t="n">
        <f aca="false">SUMIFS('NF x Centro de Custo'!$G$5:$G$1270,'NF x Centro de Custo'!$C$5:$C$1270,$C512)</f>
        <v>1520.01</v>
      </c>
      <c r="H512" s="15" t="n">
        <f aca="false">F512+G512</f>
        <v>5586.05</v>
      </c>
      <c r="I512" s="25" t="n">
        <v>5586.05</v>
      </c>
      <c r="J512" s="15" t="n">
        <f aca="false">ROUND(H512-I512,2)</f>
        <v>0</v>
      </c>
      <c r="K512" s="26" t="str">
        <f aca="false">IF(ABS(J512)&lt;0.05,"OK","Verificar")</f>
        <v>OK</v>
      </c>
    </row>
    <row r="513" customFormat="false" ht="15" hidden="false" customHeight="false" outlineLevel="0" collapsed="false">
      <c r="A513" s="3" t="n">
        <v>6</v>
      </c>
      <c r="B513" s="24" t="n">
        <v>46174</v>
      </c>
      <c r="C513" s="3" t="s">
        <v>744</v>
      </c>
      <c r="D513" s="3" t="s">
        <v>237</v>
      </c>
      <c r="E513" s="3" t="n">
        <f aca="false">COUNTIF('NF x Centro de Custo'!$C$5:$C$1270,$C513)</f>
        <v>1</v>
      </c>
      <c r="F513" s="15" t="n">
        <f aca="false">SUMIFS('NF x Centro de Custo'!$F$5:$F$1270,'NF x Centro de Custo'!$C$5:$C$1270,$C513)</f>
        <v>4753.83</v>
      </c>
      <c r="G513" s="15" t="n">
        <f aca="false">SUMIFS('NF x Centro de Custo'!$G$5:$G$1270,'NF x Centro de Custo'!$C$5:$C$1270,$C513)</f>
        <v>1698.36</v>
      </c>
      <c r="H513" s="15" t="n">
        <f aca="false">F513+G513</f>
        <v>6452.19</v>
      </c>
      <c r="I513" s="25" t="n">
        <v>6452.19</v>
      </c>
      <c r="J513" s="15" t="n">
        <f aca="false">ROUND(H513-I513,2)</f>
        <v>0</v>
      </c>
      <c r="K513" s="26" t="str">
        <f aca="false">IF(ABS(J513)&lt;0.05,"OK","Verificar")</f>
        <v>OK</v>
      </c>
    </row>
    <row r="514" customFormat="false" ht="15" hidden="false" customHeight="false" outlineLevel="0" collapsed="false">
      <c r="A514" s="3" t="n">
        <v>6</v>
      </c>
      <c r="B514" s="24" t="n">
        <v>46174</v>
      </c>
      <c r="C514" s="3" t="s">
        <v>745</v>
      </c>
      <c r="D514" s="3" t="s">
        <v>237</v>
      </c>
      <c r="E514" s="3" t="n">
        <f aca="false">COUNTIF('NF x Centro de Custo'!$C$5:$C$1270,$C514)</f>
        <v>2</v>
      </c>
      <c r="F514" s="15" t="n">
        <f aca="false">SUMIFS('NF x Centro de Custo'!$F$5:$F$1270,'NF x Centro de Custo'!$C$5:$C$1270,$C514)</f>
        <v>80531.95</v>
      </c>
      <c r="G514" s="15" t="n">
        <f aca="false">SUMIFS('NF x Centro de Custo'!$G$5:$G$1270,'NF x Centro de Custo'!$C$5:$C$1270,$C514)</f>
        <v>28050.32</v>
      </c>
      <c r="H514" s="15" t="n">
        <f aca="false">F514+G514</f>
        <v>108582.27</v>
      </c>
      <c r="I514" s="25" t="n">
        <v>108582.27</v>
      </c>
      <c r="J514" s="15" t="n">
        <f aca="false">ROUND(H514-I514,2)</f>
        <v>0</v>
      </c>
      <c r="K514" s="26" t="str">
        <f aca="false">IF(ABS(J514)&lt;0.05,"OK","Verificar")</f>
        <v>OK</v>
      </c>
    </row>
    <row r="515" customFormat="false" ht="15" hidden="false" customHeight="false" outlineLevel="0" collapsed="false">
      <c r="A515" s="3" t="n">
        <v>6</v>
      </c>
      <c r="B515" s="24" t="n">
        <v>46174</v>
      </c>
      <c r="C515" s="3" t="s">
        <v>746</v>
      </c>
      <c r="D515" s="3" t="s">
        <v>237</v>
      </c>
      <c r="E515" s="3" t="n">
        <f aca="false">COUNTIF('NF x Centro de Custo'!$C$5:$C$1270,$C515)</f>
        <v>1</v>
      </c>
      <c r="F515" s="15" t="n">
        <f aca="false">SUMIFS('NF x Centro de Custo'!$F$5:$F$1270,'NF x Centro de Custo'!$C$5:$C$1270,$C515)</f>
        <v>8625.52</v>
      </c>
      <c r="G515" s="15" t="n">
        <f aca="false">SUMIFS('NF x Centro de Custo'!$G$5:$G$1270,'NF x Centro de Custo'!$C$5:$C$1270,$C515)</f>
        <v>3000.18</v>
      </c>
      <c r="H515" s="15" t="n">
        <f aca="false">F515+G515</f>
        <v>11625.7</v>
      </c>
      <c r="I515" s="25" t="n">
        <v>11625.7</v>
      </c>
      <c r="J515" s="15" t="n">
        <f aca="false">ROUND(H515-I515,2)</f>
        <v>0</v>
      </c>
      <c r="K515" s="26" t="str">
        <f aca="false">IF(ABS(J515)&lt;0.05,"OK","Verificar")</f>
        <v>OK</v>
      </c>
    </row>
    <row r="516" customFormat="false" ht="15" hidden="false" customHeight="false" outlineLevel="0" collapsed="false">
      <c r="A516" s="3" t="n">
        <v>6</v>
      </c>
      <c r="B516" s="24" t="n">
        <v>46174</v>
      </c>
      <c r="C516" s="3" t="s">
        <v>747</v>
      </c>
      <c r="D516" s="3" t="s">
        <v>269</v>
      </c>
      <c r="E516" s="3" t="n">
        <f aca="false">COUNTIF('NF x Centro de Custo'!$C$5:$C$1270,$C516)</f>
        <v>5</v>
      </c>
      <c r="F516" s="15" t="n">
        <f aca="false">SUMIFS('NF x Centro de Custo'!$F$5:$F$1270,'NF x Centro de Custo'!$C$5:$C$1270,$C516)</f>
        <v>47165.93</v>
      </c>
      <c r="G516" s="15" t="n">
        <f aca="false">SUMIFS('NF x Centro de Custo'!$G$5:$G$1270,'NF x Centro de Custo'!$C$5:$C$1270,$C516)</f>
        <v>16856.600418</v>
      </c>
      <c r="H516" s="15" t="n">
        <f aca="false">F516+G516</f>
        <v>64022.530418</v>
      </c>
      <c r="I516" s="25" t="n">
        <v>64022.530418</v>
      </c>
      <c r="J516" s="15" t="n">
        <f aca="false">ROUND(H516-I516,2)</f>
        <v>0</v>
      </c>
      <c r="K516" s="26" t="str">
        <f aca="false">IF(ABS(J516)&lt;0.05,"OK","Verificar")</f>
        <v>OK</v>
      </c>
    </row>
    <row r="517" customFormat="false" ht="15" hidden="false" customHeight="false" outlineLevel="0" collapsed="false">
      <c r="A517" s="3" t="n">
        <v>6</v>
      </c>
      <c r="B517" s="24" t="n">
        <v>46174</v>
      </c>
      <c r="C517" s="3" t="s">
        <v>748</v>
      </c>
      <c r="D517" s="3" t="s">
        <v>269</v>
      </c>
      <c r="E517" s="3" t="n">
        <f aca="false">COUNTIF('NF x Centro de Custo'!$C$5:$C$1270,$C517)</f>
        <v>1</v>
      </c>
      <c r="F517" s="15" t="n">
        <f aca="false">SUMIFS('NF x Centro de Custo'!$F$5:$F$1270,'NF x Centro de Custo'!$C$5:$C$1270,$C517)</f>
        <v>115841.56</v>
      </c>
      <c r="G517" s="15" t="n">
        <f aca="false">SUMIFS('NF x Centro de Custo'!$G$5:$G$1270,'NF x Centro de Custo'!$C$5:$C$1270,$C517)</f>
        <v>40320.2</v>
      </c>
      <c r="H517" s="15" t="n">
        <f aca="false">F517+G517</f>
        <v>156161.76</v>
      </c>
      <c r="I517" s="25" t="n">
        <v>156161.76</v>
      </c>
      <c r="J517" s="15" t="n">
        <f aca="false">ROUND(H517-I517,2)</f>
        <v>0</v>
      </c>
      <c r="K517" s="26" t="str">
        <f aca="false">IF(ABS(J517)&lt;0.05,"OK","Verificar")</f>
        <v>OK</v>
      </c>
    </row>
    <row r="518" customFormat="false" ht="15" hidden="false" customHeight="false" outlineLevel="0" collapsed="false">
      <c r="A518" s="3" t="n">
        <v>6</v>
      </c>
      <c r="B518" s="24" t="n">
        <v>46174</v>
      </c>
      <c r="C518" s="3" t="s">
        <v>749</v>
      </c>
      <c r="D518" s="3" t="s">
        <v>269</v>
      </c>
      <c r="E518" s="3" t="n">
        <f aca="false">COUNTIF('NF x Centro de Custo'!$C$5:$C$1270,$C518)</f>
        <v>2</v>
      </c>
      <c r="F518" s="15" t="n">
        <f aca="false">SUMIFS('NF x Centro de Custo'!$F$5:$F$1270,'NF x Centro de Custo'!$C$5:$C$1270,$C518)</f>
        <v>8483.38</v>
      </c>
      <c r="G518" s="15" t="n">
        <f aca="false">SUMIFS('NF x Centro de Custo'!$G$5:$G$1270,'NF x Centro de Custo'!$C$5:$C$1270,$C518)</f>
        <v>3018.64</v>
      </c>
      <c r="H518" s="15" t="n">
        <f aca="false">F518+G518</f>
        <v>11502.02</v>
      </c>
      <c r="I518" s="25" t="n">
        <v>11502.02</v>
      </c>
      <c r="J518" s="15" t="n">
        <f aca="false">ROUND(H518-I518,2)</f>
        <v>0</v>
      </c>
      <c r="K518" s="26" t="str">
        <f aca="false">IF(ABS(J518)&lt;0.05,"OK","Verificar")</f>
        <v>OK</v>
      </c>
    </row>
    <row r="519" customFormat="false" ht="15" hidden="false" customHeight="false" outlineLevel="0" collapsed="false">
      <c r="A519" s="3" t="n">
        <v>6</v>
      </c>
      <c r="B519" s="24" t="n">
        <v>46174</v>
      </c>
      <c r="C519" s="3" t="s">
        <v>750</v>
      </c>
      <c r="D519" s="3" t="s">
        <v>226</v>
      </c>
      <c r="E519" s="3" t="n">
        <f aca="false">COUNTIF('NF x Centro de Custo'!$C$5:$C$1270,$C519)</f>
        <v>1</v>
      </c>
      <c r="F519" s="15" t="n">
        <f aca="false">SUMIFS('NF x Centro de Custo'!$F$5:$F$1270,'NF x Centro de Custo'!$C$5:$C$1270,$C519)</f>
        <v>13385.45</v>
      </c>
      <c r="G519" s="15" t="n">
        <f aca="false">SUMIFS('NF x Centro de Custo'!$G$5:$G$1270,'NF x Centro de Custo'!$C$5:$C$1270,$C519)</f>
        <v>4148.66</v>
      </c>
      <c r="H519" s="15" t="n">
        <f aca="false">F519+G519</f>
        <v>17534.11</v>
      </c>
      <c r="I519" s="25" t="n">
        <v>17534.11</v>
      </c>
      <c r="J519" s="15" t="n">
        <f aca="false">ROUND(H519-I519,2)</f>
        <v>0</v>
      </c>
      <c r="K519" s="26" t="str">
        <f aca="false">IF(ABS(J519)&lt;0.05,"OK","Verificar")</f>
        <v>OK</v>
      </c>
    </row>
    <row r="520" customFormat="false" ht="15" hidden="false" customHeight="false" outlineLevel="0" collapsed="false">
      <c r="A520" s="3" t="n">
        <v>6</v>
      </c>
      <c r="B520" s="24" t="n">
        <v>46174</v>
      </c>
      <c r="C520" s="3" t="s">
        <v>751</v>
      </c>
      <c r="D520" s="3" t="s">
        <v>226</v>
      </c>
      <c r="E520" s="3" t="n">
        <f aca="false">COUNTIF('NF x Centro de Custo'!$C$5:$C$1270,$C520)</f>
        <v>3</v>
      </c>
      <c r="F520" s="15" t="n">
        <f aca="false">SUMIFS('NF x Centro de Custo'!$F$5:$F$1270,'NF x Centro de Custo'!$C$5:$C$1270,$C520)</f>
        <v>118187.65</v>
      </c>
      <c r="G520" s="15" t="n">
        <f aca="false">SUMIFS('NF x Centro de Custo'!$G$5:$G$1270,'NF x Centro de Custo'!$C$5:$C$1270,$C520)</f>
        <v>35728.73288</v>
      </c>
      <c r="H520" s="15" t="n">
        <f aca="false">F520+G520</f>
        <v>153916.38288</v>
      </c>
      <c r="I520" s="25" t="n">
        <v>153916.38288</v>
      </c>
      <c r="J520" s="15" t="n">
        <f aca="false">ROUND(H520-I520,2)</f>
        <v>0</v>
      </c>
      <c r="K520" s="26" t="str">
        <f aca="false">IF(ABS(J520)&lt;0.05,"OK","Verificar")</f>
        <v>OK</v>
      </c>
    </row>
    <row r="521" customFormat="false" ht="15" hidden="false" customHeight="false" outlineLevel="0" collapsed="false">
      <c r="A521" s="3" t="n">
        <v>6</v>
      </c>
      <c r="B521" s="24" t="n">
        <v>46174</v>
      </c>
      <c r="C521" s="3" t="s">
        <v>752</v>
      </c>
      <c r="D521" s="3" t="s">
        <v>224</v>
      </c>
      <c r="E521" s="3" t="n">
        <f aca="false">COUNTIF('NF x Centro de Custo'!$C$5:$C$1270,$C521)</f>
        <v>1</v>
      </c>
      <c r="F521" s="15" t="n">
        <f aca="false">SUMIFS('NF x Centro de Custo'!$F$5:$F$1270,'NF x Centro de Custo'!$C$5:$C$1270,$C521)</f>
        <v>2689.86</v>
      </c>
      <c r="G521" s="15" t="n">
        <f aca="false">SUMIFS('NF x Centro de Custo'!$G$5:$G$1270,'NF x Centro de Custo'!$C$5:$C$1270,$C521)</f>
        <v>958.41</v>
      </c>
      <c r="H521" s="15" t="n">
        <f aca="false">F521+G521</f>
        <v>3648.27</v>
      </c>
      <c r="I521" s="25" t="n">
        <v>3648.27</v>
      </c>
      <c r="J521" s="15" t="n">
        <f aca="false">ROUND(H521-I521,2)</f>
        <v>0</v>
      </c>
      <c r="K521" s="26" t="str">
        <f aca="false">IF(ABS(J521)&lt;0.05,"OK","Verificar")</f>
        <v>OK</v>
      </c>
    </row>
    <row r="522" customFormat="false" ht="15" hidden="false" customHeight="false" outlineLevel="0" collapsed="false">
      <c r="A522" s="3" t="n">
        <v>6</v>
      </c>
      <c r="B522" s="24" t="n">
        <v>46174</v>
      </c>
      <c r="C522" s="3" t="s">
        <v>753</v>
      </c>
      <c r="D522" s="3" t="s">
        <v>224</v>
      </c>
      <c r="E522" s="3" t="n">
        <f aca="false">COUNTIF('NF x Centro de Custo'!$C$5:$C$1270,$C522)</f>
        <v>1</v>
      </c>
      <c r="F522" s="15" t="n">
        <f aca="false">SUMIFS('NF x Centro de Custo'!$F$5:$F$1270,'NF x Centro de Custo'!$C$5:$C$1270,$C522)</f>
        <v>26833.2</v>
      </c>
      <c r="G522" s="15" t="n">
        <f aca="false">SUMIFS('NF x Centro de Custo'!$G$5:$G$1270,'NF x Centro de Custo'!$C$5:$C$1270,$C522)</f>
        <v>9342.8</v>
      </c>
      <c r="H522" s="15" t="n">
        <f aca="false">F522+G522</f>
        <v>36176</v>
      </c>
      <c r="I522" s="25" t="n">
        <v>36176</v>
      </c>
      <c r="J522" s="15" t="n">
        <f aca="false">ROUND(H522-I522,2)</f>
        <v>0</v>
      </c>
      <c r="K522" s="26" t="str">
        <f aca="false">IF(ABS(J522)&lt;0.05,"OK","Verificar")</f>
        <v>OK</v>
      </c>
    </row>
    <row r="523" customFormat="false" ht="15" hidden="false" customHeight="false" outlineLevel="0" collapsed="false">
      <c r="A523" s="3" t="n">
        <v>6</v>
      </c>
      <c r="B523" s="24" t="n">
        <v>46174</v>
      </c>
      <c r="C523" s="3" t="s">
        <v>754</v>
      </c>
      <c r="D523" s="3" t="s">
        <v>243</v>
      </c>
      <c r="E523" s="3" t="n">
        <f aca="false">COUNTIF('NF x Centro de Custo'!$C$5:$C$1270,$C523)</f>
        <v>1</v>
      </c>
      <c r="F523" s="15" t="n">
        <f aca="false">SUMIFS('NF x Centro de Custo'!$F$5:$F$1270,'NF x Centro de Custo'!$C$5:$C$1270,$C523)</f>
        <v>209.1</v>
      </c>
      <c r="G523" s="15" t="n">
        <f aca="false">SUMIFS('NF x Centro de Custo'!$G$5:$G$1270,'NF x Centro de Custo'!$C$5:$C$1270,$C523)</f>
        <v>72.47</v>
      </c>
      <c r="H523" s="15" t="n">
        <f aca="false">F523+G523</f>
        <v>281.57</v>
      </c>
      <c r="I523" s="25" t="n">
        <v>281.57</v>
      </c>
      <c r="J523" s="15" t="n">
        <f aca="false">ROUND(H523-I523,2)</f>
        <v>0</v>
      </c>
      <c r="K523" s="26" t="str">
        <f aca="false">IF(ABS(J523)&lt;0.05,"OK","Verificar")</f>
        <v>OK</v>
      </c>
    </row>
    <row r="524" customFormat="false" ht="15" hidden="false" customHeight="false" outlineLevel="0" collapsed="false">
      <c r="A524" s="3" t="n">
        <v>6</v>
      </c>
      <c r="B524" s="24" t="n">
        <v>46174</v>
      </c>
      <c r="C524" s="3" t="s">
        <v>755</v>
      </c>
      <c r="D524" s="3" t="s">
        <v>243</v>
      </c>
      <c r="E524" s="3" t="n">
        <f aca="false">COUNTIF('NF x Centro de Custo'!$C$5:$C$1270,$C524)</f>
        <v>1</v>
      </c>
      <c r="F524" s="15" t="n">
        <f aca="false">SUMIFS('NF x Centro de Custo'!$F$5:$F$1270,'NF x Centro de Custo'!$C$5:$C$1270,$C524)</f>
        <v>2869.52</v>
      </c>
      <c r="G524" s="15" t="n">
        <f aca="false">SUMIFS('NF x Centro de Custo'!$G$5:$G$1270,'NF x Centro de Custo'!$C$5:$C$1270,$C524)</f>
        <v>1019.92</v>
      </c>
      <c r="H524" s="15" t="n">
        <f aca="false">F524+G524</f>
        <v>3889.44</v>
      </c>
      <c r="I524" s="25" t="n">
        <v>3889.44</v>
      </c>
      <c r="J524" s="15" t="n">
        <f aca="false">ROUND(H524-I524,2)</f>
        <v>0</v>
      </c>
      <c r="K524" s="26" t="str">
        <f aca="false">IF(ABS(J524)&lt;0.05,"OK","Verificar")</f>
        <v>OK</v>
      </c>
    </row>
    <row r="525" customFormat="false" ht="15" hidden="false" customHeight="false" outlineLevel="0" collapsed="false">
      <c r="A525" s="3" t="n">
        <v>6</v>
      </c>
      <c r="B525" s="24" t="n">
        <v>46174</v>
      </c>
      <c r="C525" s="3" t="s">
        <v>756</v>
      </c>
      <c r="D525" s="3" t="s">
        <v>246</v>
      </c>
      <c r="E525" s="3" t="n">
        <f aca="false">COUNTIF('NF x Centro de Custo'!$C$5:$C$1270,$C525)</f>
        <v>1</v>
      </c>
      <c r="F525" s="15" t="n">
        <f aca="false">SUMIFS('NF x Centro de Custo'!$F$5:$F$1270,'NF x Centro de Custo'!$C$5:$C$1270,$C525)</f>
        <v>2388.47</v>
      </c>
      <c r="G525" s="15" t="n">
        <f aca="false">SUMIFS('NF x Centro de Custo'!$G$5:$G$1270,'NF x Centro de Custo'!$C$5:$C$1270,$C525)</f>
        <v>853.17</v>
      </c>
      <c r="H525" s="15" t="n">
        <f aca="false">F525+G525</f>
        <v>3241.64</v>
      </c>
      <c r="I525" s="25" t="n">
        <v>3241.64</v>
      </c>
      <c r="J525" s="15" t="n">
        <f aca="false">ROUND(H525-I525,2)</f>
        <v>0</v>
      </c>
      <c r="K525" s="26" t="str">
        <f aca="false">IF(ABS(J525)&lt;0.05,"OK","Verificar")</f>
        <v>OK</v>
      </c>
    </row>
    <row r="526" customFormat="false" ht="15" hidden="false" customHeight="false" outlineLevel="0" collapsed="false">
      <c r="A526" s="3" t="n">
        <v>6</v>
      </c>
      <c r="B526" s="24" t="n">
        <v>46174</v>
      </c>
      <c r="C526" s="3" t="s">
        <v>757</v>
      </c>
      <c r="D526" s="3" t="s">
        <v>252</v>
      </c>
      <c r="E526" s="3" t="n">
        <f aca="false">COUNTIF('NF x Centro de Custo'!$C$5:$C$1270,$C526)</f>
        <v>1</v>
      </c>
      <c r="F526" s="15" t="n">
        <f aca="false">SUMIFS('NF x Centro de Custo'!$F$5:$F$1270,'NF x Centro de Custo'!$C$5:$C$1270,$C526)</f>
        <v>2318.99</v>
      </c>
      <c r="G526" s="15" t="n">
        <f aca="false">SUMIFS('NF x Centro de Custo'!$G$5:$G$1270,'NF x Centro de Custo'!$C$5:$C$1270,$C526)</f>
        <v>829.1</v>
      </c>
      <c r="H526" s="15" t="n">
        <f aca="false">F526+G526</f>
        <v>3148.09</v>
      </c>
      <c r="I526" s="25" t="n">
        <v>3148.09</v>
      </c>
      <c r="J526" s="15" t="n">
        <f aca="false">ROUND(H526-I526,2)</f>
        <v>0</v>
      </c>
      <c r="K526" s="26" t="str">
        <f aca="false">IF(ABS(J526)&lt;0.05,"OK","Verificar")</f>
        <v>OK</v>
      </c>
    </row>
    <row r="527" customFormat="false" ht="15" hidden="false" customHeight="false" outlineLevel="0" collapsed="false">
      <c r="A527" s="3" t="n">
        <v>6</v>
      </c>
      <c r="B527" s="24" t="n">
        <v>46174</v>
      </c>
      <c r="C527" s="3" t="s">
        <v>758</v>
      </c>
      <c r="D527" s="3" t="s">
        <v>252</v>
      </c>
      <c r="E527" s="3" t="n">
        <f aca="false">COUNTIF('NF x Centro de Custo'!$C$5:$C$1270,$C527)</f>
        <v>1</v>
      </c>
      <c r="F527" s="15" t="n">
        <f aca="false">SUMIFS('NF x Centro de Custo'!$F$5:$F$1270,'NF x Centro de Custo'!$C$5:$C$1270,$C527)</f>
        <v>2473.21</v>
      </c>
      <c r="G527" s="15" t="n">
        <f aca="false">SUMIFS('NF x Centro de Custo'!$G$5:$G$1270,'NF x Centro de Custo'!$C$5:$C$1270,$C527)</f>
        <v>883.33</v>
      </c>
      <c r="H527" s="15" t="n">
        <f aca="false">F527+G527</f>
        <v>3356.54</v>
      </c>
      <c r="I527" s="25" t="n">
        <v>3356.54</v>
      </c>
      <c r="J527" s="15" t="n">
        <f aca="false">ROUND(H527-I527,2)</f>
        <v>0</v>
      </c>
      <c r="K527" s="26" t="str">
        <f aca="false">IF(ABS(J527)&lt;0.05,"OK","Verificar")</f>
        <v>OK</v>
      </c>
    </row>
    <row r="528" customFormat="false" ht="15" hidden="false" customHeight="false" outlineLevel="0" collapsed="false">
      <c r="A528" s="3" t="n">
        <v>6</v>
      </c>
      <c r="B528" s="24" t="n">
        <v>46174</v>
      </c>
      <c r="C528" s="3" t="s">
        <v>759</v>
      </c>
      <c r="D528" s="3" t="s">
        <v>255</v>
      </c>
      <c r="E528" s="3" t="n">
        <f aca="false">COUNTIF('NF x Centro de Custo'!$C$5:$C$1270,$C528)</f>
        <v>1</v>
      </c>
      <c r="F528" s="15" t="n">
        <f aca="false">SUMIFS('NF x Centro de Custo'!$F$5:$F$1270,'NF x Centro de Custo'!$C$5:$C$1270,$C528)</f>
        <v>2384.12</v>
      </c>
      <c r="G528" s="15" t="n">
        <f aca="false">SUMIFS('NF x Centro de Custo'!$G$5:$G$1270,'NF x Centro de Custo'!$C$5:$C$1270,$C528)</f>
        <v>851.69</v>
      </c>
      <c r="H528" s="15" t="n">
        <f aca="false">F528+G528</f>
        <v>3235.81</v>
      </c>
      <c r="I528" s="25" t="n">
        <v>3235.81</v>
      </c>
      <c r="J528" s="15" t="n">
        <f aca="false">ROUND(H528-I528,2)</f>
        <v>0</v>
      </c>
      <c r="K528" s="26" t="str">
        <f aca="false">IF(ABS(J528)&lt;0.05,"OK","Verificar")</f>
        <v>OK</v>
      </c>
    </row>
    <row r="529" customFormat="false" ht="15" hidden="false" customHeight="false" outlineLevel="0" collapsed="false">
      <c r="A529" s="3" t="n">
        <v>6</v>
      </c>
      <c r="B529" s="24" t="n">
        <v>46174</v>
      </c>
      <c r="C529" s="3" t="s">
        <v>760</v>
      </c>
      <c r="D529" s="3" t="s">
        <v>258</v>
      </c>
      <c r="E529" s="3" t="n">
        <f aca="false">COUNTIF('NF x Centro de Custo'!$C$5:$C$1270,$C529)</f>
        <v>1</v>
      </c>
      <c r="F529" s="15" t="n">
        <f aca="false">SUMIFS('NF x Centro de Custo'!$F$5:$F$1270,'NF x Centro de Custo'!$C$5:$C$1270,$C529)</f>
        <v>7081.47</v>
      </c>
      <c r="G529" s="15" t="n">
        <f aca="false">SUMIFS('NF x Centro de Custo'!$G$5:$G$1270,'NF x Centro de Custo'!$C$5:$C$1270,$C529)</f>
        <v>2465.04</v>
      </c>
      <c r="H529" s="15" t="n">
        <f aca="false">F529+G529</f>
        <v>9546.51</v>
      </c>
      <c r="I529" s="25" t="n">
        <v>9546.51</v>
      </c>
      <c r="J529" s="15" t="n">
        <f aca="false">ROUND(H529-I529,2)</f>
        <v>0</v>
      </c>
      <c r="K529" s="26" t="str">
        <f aca="false">IF(ABS(J529)&lt;0.05,"OK","Verificar")</f>
        <v>OK</v>
      </c>
    </row>
    <row r="530" customFormat="false" ht="15" hidden="false" customHeight="false" outlineLevel="0" collapsed="false">
      <c r="A530" s="3" t="n">
        <v>6</v>
      </c>
      <c r="B530" s="24" t="n">
        <v>46174</v>
      </c>
      <c r="C530" s="3" t="s">
        <v>761</v>
      </c>
      <c r="D530" s="3" t="s">
        <v>261</v>
      </c>
      <c r="E530" s="3" t="n">
        <f aca="false">COUNTIF('NF x Centro de Custo'!$C$5:$C$1270,$C530)</f>
        <v>1</v>
      </c>
      <c r="F530" s="15" t="n">
        <f aca="false">SUMIFS('NF x Centro de Custo'!$F$5:$F$1270,'NF x Centro de Custo'!$C$5:$C$1270,$C530)</f>
        <v>2375.99</v>
      </c>
      <c r="G530" s="15" t="n">
        <f aca="false">SUMIFS('NF x Centro de Custo'!$G$5:$G$1270,'NF x Centro de Custo'!$C$5:$C$1270,$C530)</f>
        <v>848.85</v>
      </c>
      <c r="H530" s="15" t="n">
        <f aca="false">F530+G530</f>
        <v>3224.84</v>
      </c>
      <c r="I530" s="25" t="n">
        <v>3224.84</v>
      </c>
      <c r="J530" s="15" t="n">
        <f aca="false">ROUND(H530-I530,2)</f>
        <v>0</v>
      </c>
      <c r="K530" s="26" t="str">
        <f aca="false">IF(ABS(J530)&lt;0.05,"OK","Verificar")</f>
        <v>OK</v>
      </c>
    </row>
    <row r="531" customFormat="false" ht="15" hidden="false" customHeight="false" outlineLevel="0" collapsed="false">
      <c r="A531" s="3" t="n">
        <v>6</v>
      </c>
      <c r="B531" s="24" t="n">
        <v>46174</v>
      </c>
      <c r="C531" s="3" t="s">
        <v>762</v>
      </c>
      <c r="D531" s="3" t="s">
        <v>222</v>
      </c>
      <c r="E531" s="3" t="n">
        <f aca="false">COUNTIF('NF x Centro de Custo'!$C$5:$C$1270,$C531)</f>
        <v>2</v>
      </c>
      <c r="F531" s="15" t="n">
        <f aca="false">SUMIFS('NF x Centro de Custo'!$F$5:$F$1270,'NF x Centro de Custo'!$C$5:$C$1270,$C531)</f>
        <v>4951.48</v>
      </c>
      <c r="G531" s="15" t="n">
        <f aca="false">SUMIFS('NF x Centro de Custo'!$G$5:$G$1270,'NF x Centro de Custo'!$C$5:$C$1270,$C531)</f>
        <v>1771.13</v>
      </c>
      <c r="H531" s="15" t="n">
        <f aca="false">F531+G531</f>
        <v>6722.61</v>
      </c>
      <c r="I531" s="25" t="n">
        <v>6722.61</v>
      </c>
      <c r="J531" s="15" t="n">
        <f aca="false">ROUND(H531-I531,2)</f>
        <v>0</v>
      </c>
      <c r="K531" s="26" t="str">
        <f aca="false">IF(ABS(J531)&lt;0.05,"OK","Verificar")</f>
        <v>OK</v>
      </c>
    </row>
    <row r="532" customFormat="false" ht="15" hidden="false" customHeight="false" outlineLevel="0" collapsed="false">
      <c r="A532" s="3" t="n">
        <v>6</v>
      </c>
      <c r="B532" s="24" t="n">
        <v>46174</v>
      </c>
      <c r="C532" s="3" t="s">
        <v>763</v>
      </c>
      <c r="D532" s="3" t="s">
        <v>222</v>
      </c>
      <c r="E532" s="3" t="n">
        <f aca="false">COUNTIF('NF x Centro de Custo'!$C$5:$C$1270,$C532)</f>
        <v>2</v>
      </c>
      <c r="F532" s="15" t="n">
        <f aca="false">SUMIFS('NF x Centro de Custo'!$F$5:$F$1270,'NF x Centro de Custo'!$C$5:$C$1270,$C532)</f>
        <v>4951.48</v>
      </c>
      <c r="G532" s="15" t="n">
        <f aca="false">SUMIFS('NF x Centro de Custo'!$G$5:$G$1270,'NF x Centro de Custo'!$C$5:$C$1270,$C532)</f>
        <v>1771.13</v>
      </c>
      <c r="H532" s="15" t="n">
        <f aca="false">F532+G532</f>
        <v>6722.61</v>
      </c>
      <c r="I532" s="25" t="n">
        <v>6722.61</v>
      </c>
      <c r="J532" s="15" t="n">
        <f aca="false">ROUND(H532-I532,2)</f>
        <v>0</v>
      </c>
      <c r="K532" s="26" t="str">
        <f aca="false">IF(ABS(J532)&lt;0.05,"OK","Verificar")</f>
        <v>OK</v>
      </c>
    </row>
    <row r="533" customFormat="false" ht="15" hidden="false" customHeight="false" outlineLevel="0" collapsed="false">
      <c r="A533" s="3" t="n">
        <v>6</v>
      </c>
      <c r="B533" s="24" t="n">
        <v>46174</v>
      </c>
      <c r="C533" s="3" t="s">
        <v>764</v>
      </c>
      <c r="D533" s="3" t="s">
        <v>212</v>
      </c>
      <c r="E533" s="3" t="n">
        <f aca="false">COUNTIF('NF x Centro de Custo'!$C$5:$C$1270,$C533)</f>
        <v>10</v>
      </c>
      <c r="F533" s="15" t="n">
        <f aca="false">SUMIFS('NF x Centro de Custo'!$F$5:$F$1270,'NF x Centro de Custo'!$C$5:$C$1270,$C533)</f>
        <v>25338.17</v>
      </c>
      <c r="G533" s="15" t="n">
        <f aca="false">SUMIFS('NF x Centro de Custo'!$G$5:$G$1270,'NF x Centro de Custo'!$C$5:$C$1270,$C533)</f>
        <v>21.42</v>
      </c>
      <c r="H533" s="15" t="n">
        <f aca="false">F533+G533</f>
        <v>25359.59</v>
      </c>
      <c r="I533" s="25" t="n">
        <v>25359.59</v>
      </c>
      <c r="J533" s="15" t="n">
        <f aca="false">ROUND(H533-I533,2)</f>
        <v>0</v>
      </c>
      <c r="K533" s="26" t="str">
        <f aca="false">IF(ABS(J533)&lt;0.05,"OK","Verificar")</f>
        <v>OK</v>
      </c>
    </row>
    <row r="534" customFormat="false" ht="15" hidden="false" customHeight="false" outlineLevel="0" collapsed="false">
      <c r="A534" s="3" t="n">
        <v>6</v>
      </c>
      <c r="B534" s="24" t="n">
        <v>46174</v>
      </c>
      <c r="C534" s="3" t="s">
        <v>765</v>
      </c>
      <c r="D534" s="3" t="s">
        <v>222</v>
      </c>
      <c r="E534" s="3" t="n">
        <f aca="false">COUNTIF('NF x Centro de Custo'!$C$5:$C$1270,$C534)</f>
        <v>5</v>
      </c>
      <c r="F534" s="15" t="n">
        <f aca="false">SUMIFS('NF x Centro de Custo'!$F$5:$F$1270,'NF x Centro de Custo'!$C$5:$C$1270,$C534)</f>
        <v>13937.45</v>
      </c>
      <c r="G534" s="15" t="n">
        <f aca="false">SUMIFS('NF x Centro de Custo'!$G$5:$G$1270,'NF x Centro de Custo'!$C$5:$C$1270,$C534)</f>
        <v>0</v>
      </c>
      <c r="H534" s="15" t="n">
        <f aca="false">F534+G534</f>
        <v>13937.45</v>
      </c>
      <c r="I534" s="25" t="n">
        <v>13937.45</v>
      </c>
      <c r="J534" s="15" t="n">
        <f aca="false">ROUND(H534-I534,2)</f>
        <v>0</v>
      </c>
      <c r="K534" s="26" t="str">
        <f aca="false">IF(ABS(J534)&lt;0.05,"OK","Verificar")</f>
        <v>OK</v>
      </c>
    </row>
    <row r="535" customFormat="false" ht="15" hidden="false" customHeight="false" outlineLevel="0" collapsed="false">
      <c r="A535" s="3" t="n">
        <v>6</v>
      </c>
      <c r="B535" s="24" t="n">
        <v>46174</v>
      </c>
      <c r="C535" s="3" t="s">
        <v>766</v>
      </c>
      <c r="D535" s="3" t="s">
        <v>214</v>
      </c>
      <c r="E535" s="3" t="n">
        <f aca="false">COUNTIF('NF x Centro de Custo'!$C$5:$C$1270,$C535)</f>
        <v>1</v>
      </c>
      <c r="F535" s="15" t="n">
        <f aca="false">SUMIFS('NF x Centro de Custo'!$F$5:$F$1270,'NF x Centro de Custo'!$C$5:$C$1270,$C535)</f>
        <v>1108.96</v>
      </c>
      <c r="G535" s="15" t="n">
        <f aca="false">SUMIFS('NF x Centro de Custo'!$G$5:$G$1270,'NF x Centro de Custo'!$C$5:$C$1270,$C535)</f>
        <v>0</v>
      </c>
      <c r="H535" s="15" t="n">
        <f aca="false">F535+G535</f>
        <v>1108.96</v>
      </c>
      <c r="I535" s="25" t="n">
        <v>1108.96</v>
      </c>
      <c r="J535" s="15" t="n">
        <f aca="false">ROUND(H535-I535,2)</f>
        <v>0</v>
      </c>
      <c r="K535" s="26" t="str">
        <f aca="false">IF(ABS(J535)&lt;0.05,"OK","Verificar")</f>
        <v>OK</v>
      </c>
    </row>
    <row r="536" customFormat="false" ht="15" hidden="false" customHeight="false" outlineLevel="0" collapsed="false">
      <c r="A536" s="3" t="n">
        <v>6</v>
      </c>
      <c r="B536" s="24" t="n">
        <v>46174</v>
      </c>
      <c r="C536" s="3" t="s">
        <v>767</v>
      </c>
      <c r="D536" s="3" t="s">
        <v>214</v>
      </c>
      <c r="E536" s="3" t="n">
        <f aca="false">COUNTIF('NF x Centro de Custo'!$C$5:$C$1270,$C536)</f>
        <v>1</v>
      </c>
      <c r="F536" s="15" t="n">
        <f aca="false">SUMIFS('NF x Centro de Custo'!$F$5:$F$1270,'NF x Centro de Custo'!$C$5:$C$1270,$C536)</f>
        <v>9325.36</v>
      </c>
      <c r="G536" s="15" t="n">
        <f aca="false">SUMIFS('NF x Centro de Custo'!$G$5:$G$1270,'NF x Centro de Custo'!$C$5:$C$1270,$C536)</f>
        <v>0</v>
      </c>
      <c r="H536" s="15" t="n">
        <f aca="false">F536+G536</f>
        <v>9325.36</v>
      </c>
      <c r="I536" s="25" t="n">
        <v>9325.36</v>
      </c>
      <c r="J536" s="15" t="n">
        <f aca="false">ROUND(H536-I536,2)</f>
        <v>0</v>
      </c>
      <c r="K536" s="26" t="str">
        <f aca="false">IF(ABS(J536)&lt;0.05,"OK","Verificar")</f>
        <v>OK</v>
      </c>
    </row>
    <row r="537" customFormat="false" ht="15" hidden="false" customHeight="false" outlineLevel="0" collapsed="false">
      <c r="A537" s="3" t="n">
        <v>6</v>
      </c>
      <c r="B537" s="24" t="n">
        <v>46174</v>
      </c>
      <c r="C537" s="3" t="s">
        <v>768</v>
      </c>
      <c r="D537" s="3" t="s">
        <v>217</v>
      </c>
      <c r="E537" s="3" t="n">
        <f aca="false">COUNTIF('NF x Centro de Custo'!$C$5:$C$1270,$C537)</f>
        <v>1</v>
      </c>
      <c r="F537" s="15" t="n">
        <f aca="false">SUMIFS('NF x Centro de Custo'!$F$5:$F$1270,'NF x Centro de Custo'!$C$5:$C$1270,$C537)</f>
        <v>1451.85</v>
      </c>
      <c r="G537" s="15" t="n">
        <f aca="false">SUMIFS('NF x Centro de Custo'!$G$5:$G$1270,'NF x Centro de Custo'!$C$5:$C$1270,$C537)</f>
        <v>0</v>
      </c>
      <c r="H537" s="15" t="n">
        <f aca="false">F537+G537</f>
        <v>1451.85</v>
      </c>
      <c r="I537" s="25" t="n">
        <v>1451.85</v>
      </c>
      <c r="J537" s="15" t="n">
        <f aca="false">ROUND(H537-I537,2)</f>
        <v>0</v>
      </c>
      <c r="K537" s="26" t="str">
        <f aca="false">IF(ABS(J537)&lt;0.05,"OK","Verificar")</f>
        <v>OK</v>
      </c>
    </row>
    <row r="538" customFormat="false" ht="15" hidden="false" customHeight="false" outlineLevel="0" collapsed="false">
      <c r="A538" s="3" t="n">
        <v>6</v>
      </c>
      <c r="B538" s="24" t="n">
        <v>46174</v>
      </c>
      <c r="C538" s="3" t="s">
        <v>769</v>
      </c>
      <c r="D538" s="3" t="s">
        <v>217</v>
      </c>
      <c r="E538" s="3" t="n">
        <f aca="false">COUNTIF('NF x Centro de Custo'!$C$5:$C$1270,$C538)</f>
        <v>1</v>
      </c>
      <c r="F538" s="15" t="n">
        <f aca="false">SUMIFS('NF x Centro de Custo'!$F$5:$F$1270,'NF x Centro de Custo'!$C$5:$C$1270,$C538)</f>
        <v>4214.45</v>
      </c>
      <c r="G538" s="15" t="n">
        <f aca="false">SUMIFS('NF x Centro de Custo'!$G$5:$G$1270,'NF x Centro de Custo'!$C$5:$C$1270,$C538)</f>
        <v>0</v>
      </c>
      <c r="H538" s="15" t="n">
        <f aca="false">F538+G538</f>
        <v>4214.45</v>
      </c>
      <c r="I538" s="25" t="n">
        <v>4214.45</v>
      </c>
      <c r="J538" s="15" t="n">
        <f aca="false">ROUND(H538-I538,2)</f>
        <v>0</v>
      </c>
      <c r="K538" s="26" t="str">
        <f aca="false">IF(ABS(J538)&lt;0.05,"OK","Verificar")</f>
        <v>OK</v>
      </c>
    </row>
    <row r="539" customFormat="false" ht="15" hidden="false" customHeight="false" outlineLevel="0" collapsed="false">
      <c r="A539" s="3" t="n">
        <v>6</v>
      </c>
      <c r="B539" s="24" t="n">
        <v>46174</v>
      </c>
      <c r="C539" s="3" t="s">
        <v>770</v>
      </c>
      <c r="D539" s="3" t="s">
        <v>217</v>
      </c>
      <c r="E539" s="3" t="n">
        <f aca="false">COUNTIF('NF x Centro de Custo'!$C$5:$C$1270,$C539)</f>
        <v>1</v>
      </c>
      <c r="F539" s="15" t="n">
        <f aca="false">SUMIFS('NF x Centro de Custo'!$F$5:$F$1270,'NF x Centro de Custo'!$C$5:$C$1270,$C539)</f>
        <v>2693.7</v>
      </c>
      <c r="G539" s="15" t="n">
        <f aca="false">SUMIFS('NF x Centro de Custo'!$G$5:$G$1270,'NF x Centro de Custo'!$C$5:$C$1270,$C539)</f>
        <v>0</v>
      </c>
      <c r="H539" s="15" t="n">
        <f aca="false">F539+G539</f>
        <v>2693.7</v>
      </c>
      <c r="I539" s="25" t="n">
        <v>2693.7</v>
      </c>
      <c r="J539" s="15" t="n">
        <f aca="false">ROUND(H539-I539,2)</f>
        <v>0</v>
      </c>
      <c r="K539" s="26" t="str">
        <f aca="false">IF(ABS(J539)&lt;0.05,"OK","Verificar")</f>
        <v>OK</v>
      </c>
    </row>
    <row r="540" customFormat="false" ht="15" hidden="false" customHeight="false" outlineLevel="0" collapsed="false">
      <c r="A540" s="3" t="n">
        <v>6</v>
      </c>
      <c r="B540" s="24" t="n">
        <v>46174</v>
      </c>
      <c r="C540" s="3" t="s">
        <v>771</v>
      </c>
      <c r="D540" s="3" t="s">
        <v>217</v>
      </c>
      <c r="E540" s="3" t="n">
        <f aca="false">COUNTIF('NF x Centro de Custo'!$C$5:$C$1270,$C540)</f>
        <v>1</v>
      </c>
      <c r="F540" s="15" t="n">
        <f aca="false">SUMIFS('NF x Centro de Custo'!$F$5:$F$1270,'NF x Centro de Custo'!$C$5:$C$1270,$C540)</f>
        <v>12091.65</v>
      </c>
      <c r="G540" s="15" t="n">
        <f aca="false">SUMIFS('NF x Centro de Custo'!$G$5:$G$1270,'NF x Centro de Custo'!$C$5:$C$1270,$C540)</f>
        <v>0</v>
      </c>
      <c r="H540" s="15" t="n">
        <f aca="false">F540+G540</f>
        <v>12091.65</v>
      </c>
      <c r="I540" s="25" t="n">
        <v>12091.65</v>
      </c>
      <c r="J540" s="15" t="n">
        <f aca="false">ROUND(H540-I540,2)</f>
        <v>0</v>
      </c>
      <c r="K540" s="26" t="str">
        <f aca="false">IF(ABS(J540)&lt;0.05,"OK","Verificar")</f>
        <v>OK</v>
      </c>
    </row>
    <row r="541" customFormat="false" ht="15" hidden="false" customHeight="false" outlineLevel="0" collapsed="false">
      <c r="A541" s="3" t="n">
        <v>6</v>
      </c>
      <c r="B541" s="24" t="n">
        <v>46174</v>
      </c>
      <c r="C541" s="3" t="s">
        <v>772</v>
      </c>
      <c r="D541" s="3" t="s">
        <v>219</v>
      </c>
      <c r="E541" s="3" t="n">
        <f aca="false">COUNTIF('NF x Centro de Custo'!$C$5:$C$1270,$C541)</f>
        <v>1</v>
      </c>
      <c r="F541" s="15" t="n">
        <f aca="false">SUMIFS('NF x Centro de Custo'!$F$5:$F$1270,'NF x Centro de Custo'!$C$5:$C$1270,$C541)</f>
        <v>1166.16</v>
      </c>
      <c r="G541" s="15" t="n">
        <f aca="false">SUMIFS('NF x Centro de Custo'!$G$5:$G$1270,'NF x Centro de Custo'!$C$5:$C$1270,$C541)</f>
        <v>0</v>
      </c>
      <c r="H541" s="15" t="n">
        <f aca="false">F541+G541</f>
        <v>1166.16</v>
      </c>
      <c r="I541" s="25" t="n">
        <v>1166.16</v>
      </c>
      <c r="J541" s="15" t="n">
        <f aca="false">ROUND(H541-I541,2)</f>
        <v>0</v>
      </c>
      <c r="K541" s="26" t="str">
        <f aca="false">IF(ABS(J541)&lt;0.05,"OK","Verificar")</f>
        <v>OK</v>
      </c>
    </row>
    <row r="542" customFormat="false" ht="15" hidden="false" customHeight="false" outlineLevel="0" collapsed="false">
      <c r="A542" s="3" t="n">
        <v>6</v>
      </c>
      <c r="B542" s="24" t="n">
        <v>46174</v>
      </c>
      <c r="C542" s="3" t="s">
        <v>773</v>
      </c>
      <c r="D542" s="3" t="s">
        <v>219</v>
      </c>
      <c r="E542" s="3" t="n">
        <f aca="false">COUNTIF('NF x Centro de Custo'!$C$5:$C$1270,$C542)</f>
        <v>1</v>
      </c>
      <c r="F542" s="15" t="n">
        <f aca="false">SUMIFS('NF x Centro de Custo'!$F$5:$F$1270,'NF x Centro de Custo'!$C$5:$C$1270,$C542)</f>
        <v>2422.52</v>
      </c>
      <c r="G542" s="15" t="n">
        <f aca="false">SUMIFS('NF x Centro de Custo'!$G$5:$G$1270,'NF x Centro de Custo'!$C$5:$C$1270,$C542)</f>
        <v>0</v>
      </c>
      <c r="H542" s="15" t="n">
        <f aca="false">F542+G542</f>
        <v>2422.52</v>
      </c>
      <c r="I542" s="25" t="n">
        <v>2422.52</v>
      </c>
      <c r="J542" s="15" t="n">
        <f aca="false">ROUND(H542-I542,2)</f>
        <v>0</v>
      </c>
      <c r="K542" s="26" t="str">
        <f aca="false">IF(ABS(J542)&lt;0.05,"OK","Verificar")</f>
        <v>OK</v>
      </c>
    </row>
    <row r="543" customFormat="false" ht="15" hidden="false" customHeight="false" outlineLevel="0" collapsed="false">
      <c r="A543" s="3" t="n">
        <v>6</v>
      </c>
      <c r="B543" s="24" t="n">
        <v>46174</v>
      </c>
      <c r="C543" s="3" t="s">
        <v>774</v>
      </c>
      <c r="D543" s="3" t="s">
        <v>219</v>
      </c>
      <c r="E543" s="3" t="n">
        <f aca="false">COUNTIF('NF x Centro de Custo'!$C$5:$C$1270,$C543)</f>
        <v>1</v>
      </c>
      <c r="F543" s="15" t="n">
        <f aca="false">SUMIFS('NF x Centro de Custo'!$F$5:$F$1270,'NF x Centro de Custo'!$C$5:$C$1270,$C543)</f>
        <v>14978.82</v>
      </c>
      <c r="G543" s="15" t="n">
        <f aca="false">SUMIFS('NF x Centro de Custo'!$G$5:$G$1270,'NF x Centro de Custo'!$C$5:$C$1270,$C543)</f>
        <v>0</v>
      </c>
      <c r="H543" s="15" t="n">
        <f aca="false">F543+G543</f>
        <v>14978.82</v>
      </c>
      <c r="I543" s="25" t="n">
        <v>14978.82</v>
      </c>
      <c r="J543" s="15" t="n">
        <f aca="false">ROUND(H543-I543,2)</f>
        <v>0</v>
      </c>
      <c r="K543" s="26" t="str">
        <f aca="false">IF(ABS(J543)&lt;0.05,"OK","Verificar")</f>
        <v>OK</v>
      </c>
    </row>
    <row r="544" customFormat="false" ht="15" hidden="false" customHeight="false" outlineLevel="0" collapsed="false">
      <c r="A544" s="3" t="n">
        <v>6</v>
      </c>
      <c r="B544" s="24" t="n">
        <v>46174</v>
      </c>
      <c r="C544" s="3" t="s">
        <v>775</v>
      </c>
      <c r="D544" s="3" t="s">
        <v>228</v>
      </c>
      <c r="E544" s="3" t="n">
        <f aca="false">COUNTIF('NF x Centro de Custo'!$C$5:$C$1270,$C544)</f>
        <v>1</v>
      </c>
      <c r="F544" s="15" t="n">
        <f aca="false">SUMIFS('NF x Centro de Custo'!$F$5:$F$1270,'NF x Centro de Custo'!$C$5:$C$1270,$C544)</f>
        <v>1886.7</v>
      </c>
      <c r="G544" s="15" t="n">
        <f aca="false">SUMIFS('NF x Centro de Custo'!$G$5:$G$1270,'NF x Centro de Custo'!$C$5:$C$1270,$C544)</f>
        <v>0</v>
      </c>
      <c r="H544" s="15" t="n">
        <f aca="false">F544+G544</f>
        <v>1886.7</v>
      </c>
      <c r="I544" s="25" t="n">
        <v>1886.7</v>
      </c>
      <c r="J544" s="15" t="n">
        <f aca="false">ROUND(H544-I544,2)</f>
        <v>0</v>
      </c>
      <c r="K544" s="26" t="str">
        <f aca="false">IF(ABS(J544)&lt;0.05,"OK","Verificar")</f>
        <v>OK</v>
      </c>
    </row>
    <row r="545" customFormat="false" ht="15" hidden="false" customHeight="false" outlineLevel="0" collapsed="false">
      <c r="A545" s="3" t="n">
        <v>6</v>
      </c>
      <c r="B545" s="24" t="n">
        <v>46174</v>
      </c>
      <c r="C545" s="3" t="s">
        <v>776</v>
      </c>
      <c r="D545" s="3" t="s">
        <v>228</v>
      </c>
      <c r="E545" s="3" t="n">
        <f aca="false">COUNTIF('NF x Centro de Custo'!$C$5:$C$1270,$C545)</f>
        <v>3</v>
      </c>
      <c r="F545" s="15" t="n">
        <f aca="false">SUMIFS('NF x Centro de Custo'!$F$5:$F$1270,'NF x Centro de Custo'!$C$5:$C$1270,$C545)</f>
        <v>15542.31</v>
      </c>
      <c r="G545" s="15" t="n">
        <f aca="false">SUMIFS('NF x Centro de Custo'!$G$5:$G$1270,'NF x Centro de Custo'!$C$5:$C$1270,$C545)</f>
        <v>0</v>
      </c>
      <c r="H545" s="15" t="n">
        <f aca="false">F545+G545</f>
        <v>15542.31</v>
      </c>
      <c r="I545" s="25" t="n">
        <v>15542.31</v>
      </c>
      <c r="J545" s="15" t="n">
        <f aca="false">ROUND(H545-I545,2)</f>
        <v>0</v>
      </c>
      <c r="K545" s="26" t="str">
        <f aca="false">IF(ABS(J545)&lt;0.05,"OK","Verificar")</f>
        <v>OK</v>
      </c>
    </row>
    <row r="546" customFormat="false" ht="15" hidden="false" customHeight="false" outlineLevel="0" collapsed="false">
      <c r="A546" s="3" t="n">
        <v>6</v>
      </c>
      <c r="B546" s="24" t="n">
        <v>46174</v>
      </c>
      <c r="C546" s="3" t="s">
        <v>777</v>
      </c>
      <c r="D546" s="3" t="s">
        <v>231</v>
      </c>
      <c r="E546" s="3" t="n">
        <f aca="false">COUNTIF('NF x Centro de Custo'!$C$5:$C$1270,$C546)</f>
        <v>1</v>
      </c>
      <c r="F546" s="15" t="n">
        <f aca="false">SUMIFS('NF x Centro de Custo'!$F$5:$F$1270,'NF x Centro de Custo'!$C$5:$C$1270,$C546)</f>
        <v>4560.64</v>
      </c>
      <c r="G546" s="15" t="n">
        <f aca="false">SUMIFS('NF x Centro de Custo'!$G$5:$G$1270,'NF x Centro de Custo'!$C$5:$C$1270,$C546)</f>
        <v>0</v>
      </c>
      <c r="H546" s="15" t="n">
        <f aca="false">F546+G546</f>
        <v>4560.64</v>
      </c>
      <c r="I546" s="25" t="n">
        <v>4560.64</v>
      </c>
      <c r="J546" s="15" t="n">
        <f aca="false">ROUND(H546-I546,2)</f>
        <v>0</v>
      </c>
      <c r="K546" s="26" t="str">
        <f aca="false">IF(ABS(J546)&lt;0.05,"OK","Verificar")</f>
        <v>OK</v>
      </c>
    </row>
    <row r="547" customFormat="false" ht="15" hidden="false" customHeight="false" outlineLevel="0" collapsed="false">
      <c r="A547" s="3" t="n">
        <v>6</v>
      </c>
      <c r="B547" s="24" t="n">
        <v>46174</v>
      </c>
      <c r="C547" s="3" t="s">
        <v>778</v>
      </c>
      <c r="D547" s="3" t="s">
        <v>231</v>
      </c>
      <c r="E547" s="3" t="n">
        <f aca="false">COUNTIF('NF x Centro de Custo'!$C$5:$C$1270,$C547)</f>
        <v>1</v>
      </c>
      <c r="F547" s="15" t="n">
        <f aca="false">SUMIFS('NF x Centro de Custo'!$F$5:$F$1270,'NF x Centro de Custo'!$C$5:$C$1270,$C547)</f>
        <v>2483.67</v>
      </c>
      <c r="G547" s="15" t="n">
        <f aca="false">SUMIFS('NF x Centro de Custo'!$G$5:$G$1270,'NF x Centro de Custo'!$C$5:$C$1270,$C547)</f>
        <v>0</v>
      </c>
      <c r="H547" s="15" t="n">
        <f aca="false">F547+G547</f>
        <v>2483.67</v>
      </c>
      <c r="I547" s="25" t="n">
        <v>2483.67</v>
      </c>
      <c r="J547" s="15" t="n">
        <f aca="false">ROUND(H547-I547,2)</f>
        <v>0</v>
      </c>
      <c r="K547" s="26" t="str">
        <f aca="false">IF(ABS(J547)&lt;0.05,"OK","Verificar")</f>
        <v>OK</v>
      </c>
    </row>
    <row r="548" customFormat="false" ht="15" hidden="false" customHeight="false" outlineLevel="0" collapsed="false">
      <c r="A548" s="3" t="n">
        <v>6</v>
      </c>
      <c r="B548" s="24" t="n">
        <v>46174</v>
      </c>
      <c r="C548" s="3" t="s">
        <v>779</v>
      </c>
      <c r="D548" s="3" t="s">
        <v>237</v>
      </c>
      <c r="E548" s="3" t="n">
        <f aca="false">COUNTIF('NF x Centro de Custo'!$C$5:$C$1270,$C548)</f>
        <v>1</v>
      </c>
      <c r="F548" s="15" t="n">
        <f aca="false">SUMIFS('NF x Centro de Custo'!$F$5:$F$1270,'NF x Centro de Custo'!$C$5:$C$1270,$C548)</f>
        <v>1905.52</v>
      </c>
      <c r="G548" s="15" t="n">
        <f aca="false">SUMIFS('NF x Centro de Custo'!$G$5:$G$1270,'NF x Centro de Custo'!$C$5:$C$1270,$C548)</f>
        <v>0</v>
      </c>
      <c r="H548" s="15" t="n">
        <f aca="false">F548+G548</f>
        <v>1905.52</v>
      </c>
      <c r="I548" s="25" t="n">
        <v>1905.52</v>
      </c>
      <c r="J548" s="15" t="n">
        <f aca="false">ROUND(H548-I548,2)</f>
        <v>0</v>
      </c>
      <c r="K548" s="26" t="str">
        <f aca="false">IF(ABS(J548)&lt;0.05,"OK","Verificar")</f>
        <v>OK</v>
      </c>
    </row>
    <row r="549" customFormat="false" ht="15" hidden="false" customHeight="false" outlineLevel="0" collapsed="false">
      <c r="A549" s="3" t="n">
        <v>6</v>
      </c>
      <c r="B549" s="24" t="n">
        <v>46174</v>
      </c>
      <c r="C549" s="3" t="s">
        <v>780</v>
      </c>
      <c r="D549" s="3" t="s">
        <v>237</v>
      </c>
      <c r="E549" s="3" t="n">
        <f aca="false">COUNTIF('NF x Centro de Custo'!$C$5:$C$1270,$C549)</f>
        <v>2</v>
      </c>
      <c r="F549" s="15" t="n">
        <f aca="false">SUMIFS('NF x Centro de Custo'!$F$5:$F$1270,'NF x Centro de Custo'!$C$5:$C$1270,$C549)</f>
        <v>40957.8</v>
      </c>
      <c r="G549" s="15" t="n">
        <f aca="false">SUMIFS('NF x Centro de Custo'!$G$5:$G$1270,'NF x Centro de Custo'!$C$5:$C$1270,$C549)</f>
        <v>0</v>
      </c>
      <c r="H549" s="15" t="n">
        <f aca="false">F549+G549</f>
        <v>40957.8</v>
      </c>
      <c r="I549" s="25" t="n">
        <v>40957.8</v>
      </c>
      <c r="J549" s="15" t="n">
        <f aca="false">ROUND(H549-I549,2)</f>
        <v>0</v>
      </c>
      <c r="K549" s="26" t="str">
        <f aca="false">IF(ABS(J549)&lt;0.05,"OK","Verificar")</f>
        <v>OK</v>
      </c>
    </row>
    <row r="550" customFormat="false" ht="15" hidden="false" customHeight="false" outlineLevel="0" collapsed="false">
      <c r="A550" s="3" t="n">
        <v>6</v>
      </c>
      <c r="B550" s="24" t="n">
        <v>46174</v>
      </c>
      <c r="C550" s="3" t="s">
        <v>781</v>
      </c>
      <c r="D550" s="3" t="s">
        <v>237</v>
      </c>
      <c r="E550" s="3" t="n">
        <f aca="false">COUNTIF('NF x Centro de Custo'!$C$5:$C$1270,$C550)</f>
        <v>1</v>
      </c>
      <c r="F550" s="15" t="n">
        <f aca="false">SUMIFS('NF x Centro de Custo'!$F$5:$F$1270,'NF x Centro de Custo'!$C$5:$C$1270,$C550)</f>
        <v>3346.97</v>
      </c>
      <c r="G550" s="15" t="n">
        <f aca="false">SUMIFS('NF x Centro de Custo'!$G$5:$G$1270,'NF x Centro de Custo'!$C$5:$C$1270,$C550)</f>
        <v>0</v>
      </c>
      <c r="H550" s="15" t="n">
        <f aca="false">F550+G550</f>
        <v>3346.97</v>
      </c>
      <c r="I550" s="25" t="n">
        <v>3346.97</v>
      </c>
      <c r="J550" s="15" t="n">
        <f aca="false">ROUND(H550-I550,2)</f>
        <v>0</v>
      </c>
      <c r="K550" s="26" t="str">
        <f aca="false">IF(ABS(J550)&lt;0.05,"OK","Verificar")</f>
        <v>OK</v>
      </c>
    </row>
    <row r="551" customFormat="false" ht="15" hidden="false" customHeight="false" outlineLevel="0" collapsed="false">
      <c r="A551" s="3" t="n">
        <v>6</v>
      </c>
      <c r="B551" s="24" t="n">
        <v>46174</v>
      </c>
      <c r="C551" s="3" t="s">
        <v>782</v>
      </c>
      <c r="D551" s="3" t="s">
        <v>269</v>
      </c>
      <c r="E551" s="3" t="n">
        <f aca="false">COUNTIF('NF x Centro de Custo'!$C$5:$C$1270,$C551)</f>
        <v>4</v>
      </c>
      <c r="F551" s="15" t="n">
        <f aca="false">SUMIFS('NF x Centro de Custo'!$F$5:$F$1270,'NF x Centro de Custo'!$C$5:$C$1270,$C551)</f>
        <v>16247.21</v>
      </c>
      <c r="G551" s="15" t="n">
        <f aca="false">SUMIFS('NF x Centro de Custo'!$G$5:$G$1270,'NF x Centro de Custo'!$C$5:$C$1270,$C551)</f>
        <v>0</v>
      </c>
      <c r="H551" s="15" t="n">
        <f aca="false">F551+G551</f>
        <v>16247.21</v>
      </c>
      <c r="I551" s="25" t="n">
        <v>16247.21</v>
      </c>
      <c r="J551" s="15" t="n">
        <f aca="false">ROUND(H551-I551,2)</f>
        <v>0</v>
      </c>
      <c r="K551" s="26" t="str">
        <f aca="false">IF(ABS(J551)&lt;0.05,"OK","Verificar")</f>
        <v>OK</v>
      </c>
    </row>
    <row r="552" customFormat="false" ht="15" hidden="false" customHeight="false" outlineLevel="0" collapsed="false">
      <c r="A552" s="3" t="n">
        <v>6</v>
      </c>
      <c r="B552" s="24" t="n">
        <v>46174</v>
      </c>
      <c r="C552" s="3" t="s">
        <v>783</v>
      </c>
      <c r="D552" s="3" t="s">
        <v>269</v>
      </c>
      <c r="E552" s="3" t="n">
        <f aca="false">COUNTIF('NF x Centro de Custo'!$C$5:$C$1270,$C552)</f>
        <v>1</v>
      </c>
      <c r="F552" s="15" t="n">
        <f aca="false">SUMIFS('NF x Centro de Custo'!$F$5:$F$1270,'NF x Centro de Custo'!$C$5:$C$1270,$C552)</f>
        <v>2713.08</v>
      </c>
      <c r="G552" s="15" t="n">
        <f aca="false">SUMIFS('NF x Centro de Custo'!$G$5:$G$1270,'NF x Centro de Custo'!$C$5:$C$1270,$C552)</f>
        <v>0</v>
      </c>
      <c r="H552" s="15" t="n">
        <f aca="false">F552+G552</f>
        <v>2713.08</v>
      </c>
      <c r="I552" s="25" t="n">
        <v>2713.08</v>
      </c>
      <c r="J552" s="15" t="n">
        <f aca="false">ROUND(H552-I552,2)</f>
        <v>0</v>
      </c>
      <c r="K552" s="26" t="str">
        <f aca="false">IF(ABS(J552)&lt;0.05,"OK","Verificar")</f>
        <v>OK</v>
      </c>
    </row>
    <row r="553" customFormat="false" ht="15" hidden="false" customHeight="false" outlineLevel="0" collapsed="false">
      <c r="A553" s="3" t="n">
        <v>6</v>
      </c>
      <c r="B553" s="24" t="n">
        <v>46174</v>
      </c>
      <c r="C553" s="3" t="s">
        <v>784</v>
      </c>
      <c r="D553" s="3" t="s">
        <v>269</v>
      </c>
      <c r="E553" s="3" t="n">
        <f aca="false">COUNTIF('NF x Centro de Custo'!$C$5:$C$1270,$C553)</f>
        <v>2</v>
      </c>
      <c r="F553" s="15" t="n">
        <f aca="false">SUMIFS('NF x Centro de Custo'!$F$5:$F$1270,'NF x Centro de Custo'!$C$5:$C$1270,$C553)</f>
        <v>81244.06</v>
      </c>
      <c r="G553" s="15" t="n">
        <f aca="false">SUMIFS('NF x Centro de Custo'!$G$5:$G$1270,'NF x Centro de Custo'!$C$5:$C$1270,$C553)</f>
        <v>0</v>
      </c>
      <c r="H553" s="15" t="n">
        <f aca="false">F553+G553</f>
        <v>81244.06</v>
      </c>
      <c r="I553" s="25" t="n">
        <v>81244.06</v>
      </c>
      <c r="J553" s="15" t="n">
        <f aca="false">ROUND(H553-I553,2)</f>
        <v>0</v>
      </c>
      <c r="K553" s="26" t="str">
        <f aca="false">IF(ABS(J553)&lt;0.05,"OK","Verificar")</f>
        <v>OK</v>
      </c>
    </row>
    <row r="554" customFormat="false" ht="15" hidden="false" customHeight="false" outlineLevel="0" collapsed="false">
      <c r="A554" s="3" t="n">
        <v>6</v>
      </c>
      <c r="B554" s="24" t="n">
        <v>46174</v>
      </c>
      <c r="C554" s="3" t="s">
        <v>785</v>
      </c>
      <c r="D554" s="3" t="s">
        <v>226</v>
      </c>
      <c r="E554" s="3" t="n">
        <f aca="false">COUNTIF('NF x Centro de Custo'!$C$5:$C$1270,$C554)</f>
        <v>1</v>
      </c>
      <c r="F554" s="15" t="n">
        <f aca="false">SUMIFS('NF x Centro de Custo'!$F$5:$F$1270,'NF x Centro de Custo'!$C$5:$C$1270,$C554)</f>
        <v>6238.42</v>
      </c>
      <c r="G554" s="15" t="n">
        <f aca="false">SUMIFS('NF x Centro de Custo'!$G$5:$G$1270,'NF x Centro de Custo'!$C$5:$C$1270,$C554)</f>
        <v>0</v>
      </c>
      <c r="H554" s="15" t="n">
        <f aca="false">F554+G554</f>
        <v>6238.42</v>
      </c>
      <c r="I554" s="25" t="n">
        <v>6238.42</v>
      </c>
      <c r="J554" s="15" t="n">
        <f aca="false">ROUND(H554-I554,2)</f>
        <v>0</v>
      </c>
      <c r="K554" s="26" t="str">
        <f aca="false">IF(ABS(J554)&lt;0.05,"OK","Verificar")</f>
        <v>OK</v>
      </c>
    </row>
    <row r="555" customFormat="false" ht="15" hidden="false" customHeight="false" outlineLevel="0" collapsed="false">
      <c r="A555" s="3" t="n">
        <v>6</v>
      </c>
      <c r="B555" s="24" t="n">
        <v>46174</v>
      </c>
      <c r="C555" s="3" t="s">
        <v>786</v>
      </c>
      <c r="D555" s="3" t="s">
        <v>226</v>
      </c>
      <c r="E555" s="3" t="n">
        <f aca="false">COUNTIF('NF x Centro de Custo'!$C$5:$C$1270,$C555)</f>
        <v>3</v>
      </c>
      <c r="F555" s="15" t="n">
        <f aca="false">SUMIFS('NF x Centro de Custo'!$F$5:$F$1270,'NF x Centro de Custo'!$C$5:$C$1270,$C555)</f>
        <v>28946.61</v>
      </c>
      <c r="G555" s="15" t="n">
        <f aca="false">SUMIFS('NF x Centro de Custo'!$G$5:$G$1270,'NF x Centro de Custo'!$C$5:$C$1270,$C555)</f>
        <v>0</v>
      </c>
      <c r="H555" s="15" t="n">
        <f aca="false">F555+G555</f>
        <v>28946.61</v>
      </c>
      <c r="I555" s="25" t="n">
        <v>28946.61</v>
      </c>
      <c r="J555" s="15" t="n">
        <f aca="false">ROUND(H555-I555,2)</f>
        <v>0</v>
      </c>
      <c r="K555" s="26" t="str">
        <f aca="false">IF(ABS(J555)&lt;0.05,"OK","Verificar")</f>
        <v>OK</v>
      </c>
    </row>
    <row r="556" customFormat="false" ht="15" hidden="false" customHeight="false" outlineLevel="0" collapsed="false">
      <c r="A556" s="3" t="n">
        <v>6</v>
      </c>
      <c r="B556" s="24" t="n">
        <v>46174</v>
      </c>
      <c r="C556" s="3" t="s">
        <v>787</v>
      </c>
      <c r="D556" s="3" t="s">
        <v>224</v>
      </c>
      <c r="E556" s="3" t="n">
        <f aca="false">COUNTIF('NF x Centro de Custo'!$C$5:$C$1270,$C556)</f>
        <v>1</v>
      </c>
      <c r="F556" s="15" t="n">
        <f aca="false">SUMIFS('NF x Centro de Custo'!$F$5:$F$1270,'NF x Centro de Custo'!$C$5:$C$1270,$C556)</f>
        <v>1218.96</v>
      </c>
      <c r="G556" s="15" t="n">
        <f aca="false">SUMIFS('NF x Centro de Custo'!$G$5:$G$1270,'NF x Centro de Custo'!$C$5:$C$1270,$C556)</f>
        <v>0</v>
      </c>
      <c r="H556" s="15" t="n">
        <f aca="false">F556+G556</f>
        <v>1218.96</v>
      </c>
      <c r="I556" s="25" t="n">
        <v>1218.96</v>
      </c>
      <c r="J556" s="15" t="n">
        <f aca="false">ROUND(H556-I556,2)</f>
        <v>0</v>
      </c>
      <c r="K556" s="26" t="str">
        <f aca="false">IF(ABS(J556)&lt;0.05,"OK","Verificar")</f>
        <v>OK</v>
      </c>
    </row>
    <row r="557" customFormat="false" ht="15" hidden="false" customHeight="false" outlineLevel="0" collapsed="false">
      <c r="A557" s="3" t="n">
        <v>6</v>
      </c>
      <c r="B557" s="24" t="n">
        <v>46174</v>
      </c>
      <c r="C557" s="3" t="s">
        <v>788</v>
      </c>
      <c r="D557" s="3" t="s">
        <v>224</v>
      </c>
      <c r="E557" s="3" t="n">
        <f aca="false">COUNTIF('NF x Centro de Custo'!$C$5:$C$1270,$C557)</f>
        <v>1</v>
      </c>
      <c r="F557" s="15" t="n">
        <f aca="false">SUMIFS('NF x Centro de Custo'!$F$5:$F$1270,'NF x Centro de Custo'!$C$5:$C$1270,$C557)</f>
        <v>4035.64</v>
      </c>
      <c r="G557" s="15" t="n">
        <f aca="false">SUMIFS('NF x Centro de Custo'!$G$5:$G$1270,'NF x Centro de Custo'!$C$5:$C$1270,$C557)</f>
        <v>0</v>
      </c>
      <c r="H557" s="15" t="n">
        <f aca="false">F557+G557</f>
        <v>4035.64</v>
      </c>
      <c r="I557" s="25" t="n">
        <v>4035.64</v>
      </c>
      <c r="J557" s="15" t="n">
        <f aca="false">ROUND(H557-I557,2)</f>
        <v>0</v>
      </c>
      <c r="K557" s="26" t="str">
        <f aca="false">IF(ABS(J557)&lt;0.05,"OK","Verificar")</f>
        <v>OK</v>
      </c>
    </row>
    <row r="558" customFormat="false" ht="15" hidden="false" customHeight="false" outlineLevel="0" collapsed="false">
      <c r="A558" s="3" t="n">
        <v>6</v>
      </c>
      <c r="B558" s="24" t="n">
        <v>46174</v>
      </c>
      <c r="C558" s="3" t="s">
        <v>789</v>
      </c>
      <c r="D558" s="3" t="s">
        <v>224</v>
      </c>
      <c r="E558" s="3" t="n">
        <f aca="false">COUNTIF('NF x Centro de Custo'!$C$5:$C$1270,$C558)</f>
        <v>1</v>
      </c>
      <c r="F558" s="15" t="n">
        <f aca="false">SUMIFS('NF x Centro de Custo'!$F$5:$F$1270,'NF x Centro de Custo'!$C$5:$C$1270,$C558)</f>
        <v>5276.7</v>
      </c>
      <c r="G558" s="15" t="n">
        <f aca="false">SUMIFS('NF x Centro de Custo'!$G$5:$G$1270,'NF x Centro de Custo'!$C$5:$C$1270,$C558)</f>
        <v>0</v>
      </c>
      <c r="H558" s="15" t="n">
        <f aca="false">F558+G558</f>
        <v>5276.7</v>
      </c>
      <c r="I558" s="25" t="n">
        <v>5276.7</v>
      </c>
      <c r="J558" s="15" t="n">
        <f aca="false">ROUND(H558-I558,2)</f>
        <v>0</v>
      </c>
      <c r="K558" s="26" t="str">
        <f aca="false">IF(ABS(J558)&lt;0.05,"OK","Verificar")</f>
        <v>OK</v>
      </c>
    </row>
    <row r="559" customFormat="false" ht="15" hidden="false" customHeight="false" outlineLevel="0" collapsed="false">
      <c r="A559" s="3" t="n">
        <v>6</v>
      </c>
      <c r="B559" s="24" t="n">
        <v>46174</v>
      </c>
      <c r="C559" s="3" t="s">
        <v>790</v>
      </c>
      <c r="D559" s="3" t="s">
        <v>243</v>
      </c>
      <c r="E559" s="3" t="n">
        <f aca="false">COUNTIF('NF x Centro de Custo'!$C$5:$C$1270,$C559)</f>
        <v>1</v>
      </c>
      <c r="F559" s="15" t="n">
        <f aca="false">SUMIFS('NF x Centro de Custo'!$F$5:$F$1270,'NF x Centro de Custo'!$C$5:$C$1270,$C559)</f>
        <v>1172.76</v>
      </c>
      <c r="G559" s="15" t="n">
        <f aca="false">SUMIFS('NF x Centro de Custo'!$G$5:$G$1270,'NF x Centro de Custo'!$C$5:$C$1270,$C559)</f>
        <v>0</v>
      </c>
      <c r="H559" s="15" t="n">
        <f aca="false">F559+G559</f>
        <v>1172.76</v>
      </c>
      <c r="I559" s="25" t="n">
        <v>1172.76</v>
      </c>
      <c r="J559" s="15" t="n">
        <f aca="false">ROUND(H559-I559,2)</f>
        <v>0</v>
      </c>
      <c r="K559" s="26" t="str">
        <f aca="false">IF(ABS(J559)&lt;0.05,"OK","Verificar")</f>
        <v>OK</v>
      </c>
    </row>
    <row r="560" customFormat="false" ht="15" hidden="false" customHeight="false" outlineLevel="0" collapsed="false">
      <c r="A560" s="3" t="n">
        <v>6</v>
      </c>
      <c r="B560" s="24" t="n">
        <v>46174</v>
      </c>
      <c r="C560" s="3" t="s">
        <v>791</v>
      </c>
      <c r="D560" s="3" t="s">
        <v>246</v>
      </c>
      <c r="E560" s="3" t="n">
        <f aca="false">COUNTIF('NF x Centro de Custo'!$C$5:$C$1270,$C560)</f>
        <v>1</v>
      </c>
      <c r="F560" s="15" t="n">
        <f aca="false">SUMIFS('NF x Centro de Custo'!$F$5:$F$1270,'NF x Centro de Custo'!$C$5:$C$1270,$C560)</f>
        <v>991.16</v>
      </c>
      <c r="G560" s="15" t="n">
        <f aca="false">SUMIFS('NF x Centro de Custo'!$G$5:$G$1270,'NF x Centro de Custo'!$C$5:$C$1270,$C560)</f>
        <v>0</v>
      </c>
      <c r="H560" s="15" t="n">
        <f aca="false">F560+G560</f>
        <v>991.16</v>
      </c>
      <c r="I560" s="25" t="n">
        <v>991.16</v>
      </c>
      <c r="J560" s="15" t="n">
        <f aca="false">ROUND(H560-I560,2)</f>
        <v>0</v>
      </c>
      <c r="K560" s="26" t="str">
        <f aca="false">IF(ABS(J560)&lt;0.05,"OK","Verificar")</f>
        <v>OK</v>
      </c>
    </row>
    <row r="561" customFormat="false" ht="15" hidden="false" customHeight="false" outlineLevel="0" collapsed="false">
      <c r="A561" s="3" t="n">
        <v>6</v>
      </c>
      <c r="B561" s="24" t="n">
        <v>46174</v>
      </c>
      <c r="C561" s="3" t="s">
        <v>792</v>
      </c>
      <c r="D561" s="3" t="s">
        <v>252</v>
      </c>
      <c r="E561" s="3" t="n">
        <f aca="false">COUNTIF('NF x Centro de Custo'!$C$5:$C$1270,$C561)</f>
        <v>1</v>
      </c>
      <c r="F561" s="15" t="n">
        <f aca="false">SUMIFS('NF x Centro de Custo'!$F$5:$F$1270,'NF x Centro de Custo'!$C$5:$C$1270,$C561)</f>
        <v>1067.16</v>
      </c>
      <c r="G561" s="15" t="n">
        <f aca="false">SUMIFS('NF x Centro de Custo'!$G$5:$G$1270,'NF x Centro de Custo'!$C$5:$C$1270,$C561)</f>
        <v>0</v>
      </c>
      <c r="H561" s="15" t="n">
        <f aca="false">F561+G561</f>
        <v>1067.16</v>
      </c>
      <c r="I561" s="25" t="n">
        <v>1067.16</v>
      </c>
      <c r="J561" s="15" t="n">
        <f aca="false">ROUND(H561-I561,2)</f>
        <v>0</v>
      </c>
      <c r="K561" s="26" t="str">
        <f aca="false">IF(ABS(J561)&lt;0.05,"OK","Verificar")</f>
        <v>OK</v>
      </c>
    </row>
    <row r="562" customFormat="false" ht="15" hidden="false" customHeight="false" outlineLevel="0" collapsed="false">
      <c r="A562" s="3" t="n">
        <v>6</v>
      </c>
      <c r="B562" s="24" t="n">
        <v>46174</v>
      </c>
      <c r="C562" s="3" t="s">
        <v>793</v>
      </c>
      <c r="D562" s="3" t="s">
        <v>252</v>
      </c>
      <c r="E562" s="3" t="n">
        <f aca="false">COUNTIF('NF x Centro de Custo'!$C$5:$C$1270,$C562)</f>
        <v>1</v>
      </c>
      <c r="F562" s="15" t="n">
        <f aca="false">SUMIFS('NF x Centro de Custo'!$F$5:$F$1270,'NF x Centro de Custo'!$C$5:$C$1270,$C562)</f>
        <v>891.16</v>
      </c>
      <c r="G562" s="15" t="n">
        <f aca="false">SUMIFS('NF x Centro de Custo'!$G$5:$G$1270,'NF x Centro de Custo'!$C$5:$C$1270,$C562)</f>
        <v>0</v>
      </c>
      <c r="H562" s="15" t="n">
        <f aca="false">F562+G562</f>
        <v>891.16</v>
      </c>
      <c r="I562" s="25" t="n">
        <v>891.16</v>
      </c>
      <c r="J562" s="15" t="n">
        <f aca="false">ROUND(H562-I562,2)</f>
        <v>0</v>
      </c>
      <c r="K562" s="26" t="str">
        <f aca="false">IF(ABS(J562)&lt;0.05,"OK","Verificar")</f>
        <v>OK</v>
      </c>
    </row>
    <row r="563" customFormat="false" ht="15" hidden="false" customHeight="false" outlineLevel="0" collapsed="false">
      <c r="A563" s="3" t="n">
        <v>6</v>
      </c>
      <c r="B563" s="24" t="n">
        <v>46174</v>
      </c>
      <c r="C563" s="3" t="s">
        <v>794</v>
      </c>
      <c r="D563" s="3" t="s">
        <v>255</v>
      </c>
      <c r="E563" s="3" t="n">
        <f aca="false">COUNTIF('NF x Centro de Custo'!$C$5:$C$1270,$C563)</f>
        <v>2</v>
      </c>
      <c r="F563" s="15" t="n">
        <f aca="false">SUMIFS('NF x Centro de Custo'!$F$5:$F$1270,'NF x Centro de Custo'!$C$5:$C$1270,$C563)</f>
        <v>1002.76</v>
      </c>
      <c r="G563" s="15" t="n">
        <f aca="false">SUMIFS('NF x Centro de Custo'!$G$5:$G$1270,'NF x Centro de Custo'!$C$5:$C$1270,$C563)</f>
        <v>0</v>
      </c>
      <c r="H563" s="15" t="n">
        <f aca="false">F563+G563</f>
        <v>1002.76</v>
      </c>
      <c r="I563" s="25" t="n">
        <v>1002.76</v>
      </c>
      <c r="J563" s="15" t="n">
        <f aca="false">ROUND(H563-I563,2)</f>
        <v>0</v>
      </c>
      <c r="K563" s="26" t="str">
        <f aca="false">IF(ABS(J563)&lt;0.05,"OK","Verificar")</f>
        <v>OK</v>
      </c>
    </row>
    <row r="564" customFormat="false" ht="15" hidden="false" customHeight="false" outlineLevel="0" collapsed="false">
      <c r="A564" s="3" t="n">
        <v>6</v>
      </c>
      <c r="B564" s="24" t="n">
        <v>46174</v>
      </c>
      <c r="C564" s="3" t="s">
        <v>795</v>
      </c>
      <c r="D564" s="3" t="s">
        <v>258</v>
      </c>
      <c r="E564" s="3" t="n">
        <f aca="false">COUNTIF('NF x Centro de Custo'!$C$5:$C$1270,$C564)</f>
        <v>2</v>
      </c>
      <c r="F564" s="15" t="n">
        <f aca="false">SUMIFS('NF x Centro de Custo'!$F$5:$F$1270,'NF x Centro de Custo'!$C$5:$C$1270,$C564)</f>
        <v>743.26</v>
      </c>
      <c r="G564" s="15" t="n">
        <f aca="false">SUMIFS('NF x Centro de Custo'!$G$5:$G$1270,'NF x Centro de Custo'!$C$5:$C$1270,$C564)</f>
        <v>0</v>
      </c>
      <c r="H564" s="15" t="n">
        <f aca="false">F564+G564</f>
        <v>743.26</v>
      </c>
      <c r="I564" s="25" t="n">
        <v>743.26</v>
      </c>
      <c r="J564" s="15" t="n">
        <f aca="false">ROUND(H564-I564,2)</f>
        <v>0</v>
      </c>
      <c r="K564" s="26" t="str">
        <f aca="false">IF(ABS(J564)&lt;0.05,"OK","Verificar")</f>
        <v>OK</v>
      </c>
    </row>
    <row r="565" customFormat="false" ht="15" hidden="false" customHeight="false" outlineLevel="0" collapsed="false">
      <c r="A565" s="3" t="n">
        <v>6</v>
      </c>
      <c r="B565" s="24" t="n">
        <v>46174</v>
      </c>
      <c r="C565" s="3" t="s">
        <v>796</v>
      </c>
      <c r="D565" s="3" t="s">
        <v>261</v>
      </c>
      <c r="E565" s="3" t="n">
        <f aca="false">COUNTIF('NF x Centro de Custo'!$C$5:$C$1270,$C565)</f>
        <v>1</v>
      </c>
      <c r="F565" s="15" t="n">
        <f aca="false">SUMIFS('NF x Centro de Custo'!$F$5:$F$1270,'NF x Centro de Custo'!$C$5:$C$1270,$C565)</f>
        <v>939.56</v>
      </c>
      <c r="G565" s="15" t="n">
        <f aca="false">SUMIFS('NF x Centro de Custo'!$G$5:$G$1270,'NF x Centro de Custo'!$C$5:$C$1270,$C565)</f>
        <v>0</v>
      </c>
      <c r="H565" s="15" t="n">
        <f aca="false">F565+G565</f>
        <v>939.56</v>
      </c>
      <c r="I565" s="25" t="n">
        <v>939.56</v>
      </c>
      <c r="J565" s="15" t="n">
        <f aca="false">ROUND(H565-I565,2)</f>
        <v>0</v>
      </c>
      <c r="K565" s="26" t="str">
        <f aca="false">IF(ABS(J565)&lt;0.05,"OK","Verificar")</f>
        <v>OK</v>
      </c>
    </row>
    <row r="566" customFormat="false" ht="15" hidden="false" customHeight="false" outlineLevel="0" collapsed="false">
      <c r="A566" s="3" t="n">
        <v>6</v>
      </c>
      <c r="B566" s="24" t="n">
        <v>46174</v>
      </c>
      <c r="C566" s="3" t="s">
        <v>797</v>
      </c>
      <c r="D566" s="3" t="s">
        <v>222</v>
      </c>
      <c r="E566" s="3" t="n">
        <f aca="false">COUNTIF('NF x Centro de Custo'!$C$5:$C$1270,$C566)</f>
        <v>4</v>
      </c>
      <c r="F566" s="15" t="n">
        <f aca="false">SUMIFS('NF x Centro de Custo'!$F$5:$F$1270,'NF x Centro de Custo'!$C$5:$C$1270,$C566)</f>
        <v>36658.7</v>
      </c>
      <c r="G566" s="15" t="n">
        <f aca="false">SUMIFS('NF x Centro de Custo'!$G$5:$G$1270,'NF x Centro de Custo'!$C$5:$C$1270,$C566)</f>
        <v>0</v>
      </c>
      <c r="H566" s="15" t="n">
        <f aca="false">F566+G566</f>
        <v>36658.7</v>
      </c>
      <c r="I566" s="25" t="n">
        <v>36658.7</v>
      </c>
      <c r="J566" s="15" t="n">
        <f aca="false">ROUND(H566-I566,2)</f>
        <v>0</v>
      </c>
      <c r="K566" s="26" t="str">
        <f aca="false">IF(ABS(J566)&lt;0.05,"OK","Verificar")</f>
        <v>OK</v>
      </c>
    </row>
    <row r="567" customFormat="false" ht="15" hidden="false" customHeight="false" outlineLevel="0" collapsed="false">
      <c r="A567" s="3" t="n">
        <v>6</v>
      </c>
      <c r="B567" s="24" t="n">
        <v>46174</v>
      </c>
      <c r="C567" s="3" t="s">
        <v>798</v>
      </c>
      <c r="D567" s="3" t="s">
        <v>222</v>
      </c>
      <c r="E567" s="3" t="n">
        <f aca="false">COUNTIF('NF x Centro de Custo'!$C$5:$C$1270,$C567)</f>
        <v>1</v>
      </c>
      <c r="F567" s="15" t="n">
        <f aca="false">SUMIFS('NF x Centro de Custo'!$F$5:$F$1270,'NF x Centro de Custo'!$C$5:$C$1270,$C567)</f>
        <v>579.36</v>
      </c>
      <c r="G567" s="15" t="n">
        <f aca="false">SUMIFS('NF x Centro de Custo'!$G$5:$G$1270,'NF x Centro de Custo'!$C$5:$C$1270,$C567)</f>
        <v>0</v>
      </c>
      <c r="H567" s="15" t="n">
        <f aca="false">F567+G567</f>
        <v>579.36</v>
      </c>
      <c r="I567" s="25" t="n">
        <v>579.36</v>
      </c>
      <c r="J567" s="15" t="n">
        <f aca="false">ROUND(H567-I567,2)</f>
        <v>0</v>
      </c>
      <c r="K567" s="26" t="str">
        <f aca="false">IF(ABS(J567)&lt;0.05,"OK","Verificar")</f>
        <v>OK</v>
      </c>
    </row>
    <row r="568" customFormat="false" ht="15" hidden="false" customHeight="false" outlineLevel="0" collapsed="false">
      <c r="A568" s="3" t="n">
        <v>6</v>
      </c>
      <c r="B568" s="24" t="n">
        <v>46174</v>
      </c>
      <c r="C568" s="3" t="s">
        <v>799</v>
      </c>
      <c r="D568" s="3" t="s">
        <v>222</v>
      </c>
      <c r="E568" s="3" t="n">
        <f aca="false">COUNTIF('NF x Centro de Custo'!$C$5:$C$1270,$C568)</f>
        <v>4</v>
      </c>
      <c r="F568" s="15" t="n">
        <f aca="false">SUMIFS('NF x Centro de Custo'!$F$5:$F$1270,'NF x Centro de Custo'!$C$5:$C$1270,$C568)</f>
        <v>4790.82</v>
      </c>
      <c r="G568" s="15" t="n">
        <f aca="false">SUMIFS('NF x Centro de Custo'!$G$5:$G$1270,'NF x Centro de Custo'!$C$5:$C$1270,$C568)</f>
        <v>0</v>
      </c>
      <c r="H568" s="15" t="n">
        <f aca="false">F568+G568</f>
        <v>4790.82</v>
      </c>
      <c r="I568" s="25" t="n">
        <v>4790.82</v>
      </c>
      <c r="J568" s="15" t="n">
        <f aca="false">ROUND(H568-I568,2)</f>
        <v>0</v>
      </c>
      <c r="K568" s="26" t="str">
        <f aca="false">IF(ABS(J568)&lt;0.05,"OK","Verificar")</f>
        <v>OK</v>
      </c>
    </row>
    <row r="569" customFormat="false" ht="15" hidden="false" customHeight="false" outlineLevel="0" collapsed="false">
      <c r="A569" s="3" t="n">
        <v>6</v>
      </c>
      <c r="B569" s="24" t="n">
        <v>46174</v>
      </c>
      <c r="C569" s="3" t="s">
        <v>800</v>
      </c>
      <c r="D569" s="3" t="s">
        <v>222</v>
      </c>
      <c r="E569" s="3" t="n">
        <f aca="false">COUNTIF('NF x Centro de Custo'!$C$5:$C$1270,$C569)</f>
        <v>8</v>
      </c>
      <c r="F569" s="15" t="n">
        <f aca="false">SUMIFS('NF x Centro de Custo'!$F$5:$F$1270,'NF x Centro de Custo'!$C$5:$C$1270,$C569)</f>
        <v>5915.72</v>
      </c>
      <c r="G569" s="15" t="n">
        <f aca="false">SUMIFS('NF x Centro de Custo'!$G$5:$G$1270,'NF x Centro de Custo'!$C$5:$C$1270,$C569)</f>
        <v>0</v>
      </c>
      <c r="H569" s="15" t="n">
        <f aca="false">F569+G569</f>
        <v>5915.72</v>
      </c>
      <c r="I569" s="25" t="n">
        <v>5915.72</v>
      </c>
      <c r="J569" s="15" t="n">
        <f aca="false">ROUND(H569-I569,2)</f>
        <v>0</v>
      </c>
      <c r="K569" s="26" t="str">
        <f aca="false">IF(ABS(J569)&lt;0.05,"OK","Verificar")</f>
        <v>OK</v>
      </c>
    </row>
    <row r="570" customFormat="false" ht="15" hidden="false" customHeight="false" outlineLevel="0" collapsed="false">
      <c r="A570" s="3" t="n">
        <v>6</v>
      </c>
      <c r="B570" s="24" t="n">
        <v>46174</v>
      </c>
      <c r="C570" s="3" t="s">
        <v>801</v>
      </c>
      <c r="D570" s="3" t="s">
        <v>224</v>
      </c>
      <c r="E570" s="3" t="n">
        <f aca="false">COUNTIF('NF x Centro de Custo'!$C$5:$C$1270,$C570)</f>
        <v>1</v>
      </c>
      <c r="F570" s="15" t="n">
        <f aca="false">SUMIFS('NF x Centro de Custo'!$F$5:$F$1270,'NF x Centro de Custo'!$C$5:$C$1270,$C570)</f>
        <v>9376.68</v>
      </c>
      <c r="G570" s="15" t="n">
        <f aca="false">SUMIFS('NF x Centro de Custo'!$G$5:$G$1270,'NF x Centro de Custo'!$C$5:$C$1270,$C570)</f>
        <v>3351.32</v>
      </c>
      <c r="H570" s="15" t="n">
        <f aca="false">F570+G570</f>
        <v>12728</v>
      </c>
      <c r="I570" s="25" t="n">
        <v>12728</v>
      </c>
      <c r="J570" s="15" t="n">
        <f aca="false">ROUND(H570-I570,2)</f>
        <v>0</v>
      </c>
      <c r="K570" s="26" t="str">
        <f aca="false">IF(ABS(J570)&lt;0.05,"OK","Verificar")</f>
        <v>OK</v>
      </c>
    </row>
    <row r="571" customFormat="false" ht="15" hidden="false" customHeight="false" outlineLevel="0" collapsed="false">
      <c r="A571" s="3" t="n">
        <v>6</v>
      </c>
      <c r="B571" s="24" t="n">
        <v>46174</v>
      </c>
      <c r="C571" s="3" t="s">
        <v>802</v>
      </c>
      <c r="D571" s="3" t="s">
        <v>222</v>
      </c>
      <c r="E571" s="3" t="n">
        <f aca="false">COUNTIF('NF x Centro de Custo'!$C$5:$C$1270,$C571)</f>
        <v>4</v>
      </c>
      <c r="F571" s="15" t="n">
        <f aca="false">SUMIFS('NF x Centro de Custo'!$F$5:$F$1270,'NF x Centro de Custo'!$C$5:$C$1270,$C571)</f>
        <v>465717.73</v>
      </c>
      <c r="G571" s="15" t="n">
        <f aca="false">SUMIFS('NF x Centro de Custo'!$G$5:$G$1270,'NF x Centro de Custo'!$C$5:$C$1270,$C571)</f>
        <v>164697.4</v>
      </c>
      <c r="H571" s="15" t="n">
        <f aca="false">F571+G571</f>
        <v>630415.13</v>
      </c>
      <c r="I571" s="25" t="n">
        <v>630415.13</v>
      </c>
      <c r="J571" s="15" t="n">
        <f aca="false">ROUND(H571-I571,2)</f>
        <v>0</v>
      </c>
      <c r="K571" s="26" t="str">
        <f aca="false">IF(ABS(J571)&lt;0.05,"OK","Verificar")</f>
        <v>OK</v>
      </c>
    </row>
    <row r="572" customFormat="false" ht="15" hidden="false" customHeight="false" outlineLevel="0" collapsed="false">
      <c r="A572" s="3" t="n">
        <v>6</v>
      </c>
      <c r="B572" s="24" t="n">
        <v>46174</v>
      </c>
      <c r="C572" s="3" t="s">
        <v>803</v>
      </c>
      <c r="D572" s="3" t="s">
        <v>222</v>
      </c>
      <c r="E572" s="3" t="n">
        <f aca="false">COUNTIF('NF x Centro de Custo'!$C$5:$C$1270,$C572)</f>
        <v>13</v>
      </c>
      <c r="F572" s="15" t="n">
        <f aca="false">SUMIFS('NF x Centro de Custo'!$F$5:$F$1270,'NF x Centro de Custo'!$C$5:$C$1270,$C572)</f>
        <v>433190.12</v>
      </c>
      <c r="G572" s="15" t="n">
        <f aca="false">SUMIFS('NF x Centro de Custo'!$G$5:$G$1270,'NF x Centro de Custo'!$C$5:$C$1270,$C572)</f>
        <v>155644.24</v>
      </c>
      <c r="H572" s="15" t="n">
        <f aca="false">F572+G572</f>
        <v>588834.36</v>
      </c>
      <c r="I572" s="25" t="n">
        <v>588834.36</v>
      </c>
      <c r="J572" s="15" t="n">
        <f aca="false">ROUND(H572-I572,2)</f>
        <v>0</v>
      </c>
      <c r="K572" s="26" t="str">
        <f aca="false">IF(ABS(J572)&lt;0.05,"OK","Verificar")</f>
        <v>OK</v>
      </c>
    </row>
    <row r="573" customFormat="false" ht="15" hidden="false" customHeight="false" outlineLevel="0" collapsed="false">
      <c r="A573" s="3" t="n">
        <v>6</v>
      </c>
      <c r="B573" s="24" t="n">
        <v>46174</v>
      </c>
      <c r="C573" s="3" t="s">
        <v>804</v>
      </c>
      <c r="D573" s="3" t="s">
        <v>222</v>
      </c>
      <c r="E573" s="3" t="n">
        <f aca="false">COUNTIF('NF x Centro de Custo'!$C$5:$C$1270,$C573)</f>
        <v>15</v>
      </c>
      <c r="F573" s="15" t="n">
        <f aca="false">SUMIFS('NF x Centro de Custo'!$F$5:$F$1270,'NF x Centro de Custo'!$C$5:$C$1270,$C573)</f>
        <v>66139.21</v>
      </c>
      <c r="G573" s="15" t="n">
        <f aca="false">SUMIFS('NF x Centro de Custo'!$G$5:$G$1270,'NF x Centro de Custo'!$C$5:$C$1270,$C573)</f>
        <v>0</v>
      </c>
      <c r="H573" s="15" t="n">
        <f aca="false">F573+G573</f>
        <v>66139.21</v>
      </c>
      <c r="I573" s="25" t="n">
        <v>66139.21</v>
      </c>
      <c r="J573" s="15" t="n">
        <f aca="false">ROUND(H573-I573,2)</f>
        <v>0</v>
      </c>
      <c r="K573" s="26" t="str">
        <f aca="false">IF(ABS(J573)&lt;0.05,"OK","Verificar")</f>
        <v>OK</v>
      </c>
    </row>
    <row r="574" customFormat="false" ht="15" hidden="false" customHeight="false" outlineLevel="0" collapsed="false">
      <c r="A574" s="3" t="n">
        <v>6</v>
      </c>
      <c r="B574" s="24" t="n">
        <v>46174</v>
      </c>
      <c r="C574" s="3" t="s">
        <v>805</v>
      </c>
      <c r="D574" s="3" t="s">
        <v>222</v>
      </c>
      <c r="E574" s="3" t="n">
        <f aca="false">COUNTIF('NF x Centro de Custo'!$C$5:$C$1270,$C574)</f>
        <v>4</v>
      </c>
      <c r="F574" s="15" t="n">
        <f aca="false">SUMIFS('NF x Centro de Custo'!$F$5:$F$1270,'NF x Centro de Custo'!$C$5:$C$1270,$C574)</f>
        <v>109602.44</v>
      </c>
      <c r="G574" s="15" t="n">
        <f aca="false">SUMIFS('NF x Centro de Custo'!$G$5:$G$1270,'NF x Centro de Custo'!$C$5:$C$1270,$C574)</f>
        <v>38670.264942</v>
      </c>
      <c r="H574" s="15" t="n">
        <f aca="false">F574+G574</f>
        <v>148272.704942</v>
      </c>
      <c r="I574" s="25" t="n">
        <v>148272.706945</v>
      </c>
      <c r="J574" s="15" t="n">
        <f aca="false">ROUND(H574-I574,2)</f>
        <v>-0</v>
      </c>
      <c r="K574" s="26" t="str">
        <f aca="false">IF(ABS(J574)&lt;0.05,"OK","Verificar")</f>
        <v>OK</v>
      </c>
    </row>
    <row r="575" customFormat="false" ht="15" hidden="false" customHeight="false" outlineLevel="0" collapsed="false">
      <c r="A575" s="3" t="n">
        <v>7</v>
      </c>
      <c r="B575" s="24" t="n">
        <v>46204</v>
      </c>
      <c r="C575" s="3" t="s">
        <v>806</v>
      </c>
      <c r="D575" s="3" t="s">
        <v>807</v>
      </c>
      <c r="E575" s="3" t="n">
        <f aca="false">COUNTIF('NF x Centro de Custo'!$C$5:$C$1270,$C575)</f>
        <v>1</v>
      </c>
      <c r="F575" s="15" t="n">
        <f aca="false">SUMIFS('NF x Centro de Custo'!$F$5:$F$1270,'NF x Centro de Custo'!$C$5:$C$1270,$C575)</f>
        <v>26081.09</v>
      </c>
      <c r="G575" s="15" t="n">
        <f aca="false">SUMIFS('NF x Centro de Custo'!$G$5:$G$1270,'NF x Centro de Custo'!$C$5:$C$1270,$C575)</f>
        <v>7872.36</v>
      </c>
      <c r="H575" s="15" t="n">
        <f aca="false">F575+G575</f>
        <v>33953.45</v>
      </c>
      <c r="I575" s="25" t="n">
        <v>33953.45</v>
      </c>
      <c r="J575" s="15" t="n">
        <f aca="false">ROUND(H575-I575,2)</f>
        <v>0</v>
      </c>
      <c r="K575" s="26" t="str">
        <f aca="false">IF(ABS(J575)&lt;0.05,"OK","Verificar")</f>
        <v>OK</v>
      </c>
    </row>
    <row r="576" customFormat="false" ht="15" hidden="false" customHeight="false" outlineLevel="0" collapsed="false">
      <c r="A576" s="3" t="n">
        <v>7</v>
      </c>
      <c r="B576" s="24" t="n">
        <v>46204</v>
      </c>
      <c r="C576" s="3" t="s">
        <v>808</v>
      </c>
      <c r="D576" s="3" t="s">
        <v>440</v>
      </c>
      <c r="E576" s="3" t="n">
        <f aca="false">COUNTIF('NF x Centro de Custo'!$C$5:$C$1270,$C576)</f>
        <v>8</v>
      </c>
      <c r="F576" s="15" t="n">
        <f aca="false">SUMIFS('NF x Centro de Custo'!$F$5:$F$1270,'NF x Centro de Custo'!$C$5:$C$1270,$C576)</f>
        <v>103337.26</v>
      </c>
      <c r="G576" s="15" t="n">
        <f aca="false">SUMIFS('NF x Centro de Custo'!$G$5:$G$1270,'NF x Centro de Custo'!$C$5:$C$1270,$C576)</f>
        <v>31202.830568</v>
      </c>
      <c r="H576" s="15" t="n">
        <f aca="false">F576+G576</f>
        <v>134540.090568</v>
      </c>
      <c r="I576" s="25" t="n">
        <v>134540.090568</v>
      </c>
      <c r="J576" s="15" t="n">
        <f aca="false">ROUND(H576-I576,2)</f>
        <v>0</v>
      </c>
      <c r="K576" s="26" t="str">
        <f aca="false">IF(ABS(J576)&lt;0.05,"OK","Verificar")</f>
        <v>OK</v>
      </c>
    </row>
    <row r="577" customFormat="false" ht="15" hidden="false" customHeight="false" outlineLevel="0" collapsed="false">
      <c r="A577" s="3" t="n">
        <v>7</v>
      </c>
      <c r="B577" s="24" t="n">
        <v>46204</v>
      </c>
      <c r="C577" s="3" t="s">
        <v>809</v>
      </c>
      <c r="D577" s="3" t="s">
        <v>440</v>
      </c>
      <c r="E577" s="3" t="n">
        <f aca="false">COUNTIF('NF x Centro de Custo'!$C$5:$C$1270,$C577)</f>
        <v>3</v>
      </c>
      <c r="F577" s="15" t="n">
        <f aca="false">SUMIFS('NF x Centro de Custo'!$F$5:$F$1270,'NF x Centro de Custo'!$C$5:$C$1270,$C577)</f>
        <v>87468.67</v>
      </c>
      <c r="G577" s="15" t="n">
        <f aca="false">SUMIFS('NF x Centro de Custo'!$G$5:$G$1270,'NF x Centro de Custo'!$C$5:$C$1270,$C577)</f>
        <v>30910.23</v>
      </c>
      <c r="H577" s="15" t="n">
        <f aca="false">F577+G577</f>
        <v>118378.9</v>
      </c>
      <c r="I577" s="25" t="n">
        <v>118378.9</v>
      </c>
      <c r="J577" s="15" t="n">
        <f aca="false">ROUND(H577-I577,2)</f>
        <v>0</v>
      </c>
      <c r="K577" s="26" t="str">
        <f aca="false">IF(ABS(J577)&lt;0.05,"OK","Verificar")</f>
        <v>OK</v>
      </c>
    </row>
    <row r="578" customFormat="false" ht="15" hidden="false" customHeight="false" outlineLevel="0" collapsed="false">
      <c r="A578" s="3" t="n">
        <v>7</v>
      </c>
      <c r="B578" s="24" t="n">
        <v>46204</v>
      </c>
      <c r="C578" s="3" t="s">
        <v>810</v>
      </c>
      <c r="D578" s="3" t="s">
        <v>214</v>
      </c>
      <c r="E578" s="3" t="n">
        <f aca="false">COUNTIF('NF x Centro de Custo'!$C$5:$C$1270,$C578)</f>
        <v>1</v>
      </c>
      <c r="F578" s="15" t="n">
        <f aca="false">SUMIFS('NF x Centro de Custo'!$F$5:$F$1270,'NF x Centro de Custo'!$C$5:$C$1270,$C578)</f>
        <v>2406.19</v>
      </c>
      <c r="G578" s="15" t="n">
        <f aca="false">SUMIFS('NF x Centro de Custo'!$G$5:$G$1270,'NF x Centro de Custo'!$C$5:$C$1270,$C578)</f>
        <v>867.67</v>
      </c>
      <c r="H578" s="15" t="n">
        <f aca="false">F578+G578</f>
        <v>3273.86</v>
      </c>
      <c r="I578" s="25" t="n">
        <v>3273.86</v>
      </c>
      <c r="J578" s="15" t="n">
        <f aca="false">ROUND(H578-I578,2)</f>
        <v>0</v>
      </c>
      <c r="K578" s="26" t="str">
        <f aca="false">IF(ABS(J578)&lt;0.05,"OK","Verificar")</f>
        <v>OK</v>
      </c>
    </row>
    <row r="579" customFormat="false" ht="15" hidden="false" customHeight="false" outlineLevel="0" collapsed="false">
      <c r="A579" s="3" t="n">
        <v>7</v>
      </c>
      <c r="B579" s="24" t="n">
        <v>46204</v>
      </c>
      <c r="C579" s="3" t="s">
        <v>811</v>
      </c>
      <c r="D579" s="3" t="s">
        <v>214</v>
      </c>
      <c r="E579" s="3" t="n">
        <f aca="false">COUNTIF('NF x Centro de Custo'!$C$5:$C$1270,$C579)</f>
        <v>1</v>
      </c>
      <c r="F579" s="15" t="n">
        <f aca="false">SUMIFS('NF x Centro de Custo'!$F$5:$F$1270,'NF x Centro de Custo'!$C$5:$C$1270,$C579)</f>
        <v>17696.75</v>
      </c>
      <c r="G579" s="15" t="n">
        <f aca="false">SUMIFS('NF x Centro de Custo'!$G$5:$G$1270,'NF x Centro de Custo'!$C$5:$C$1270,$C579)</f>
        <v>6395.65</v>
      </c>
      <c r="H579" s="15" t="n">
        <f aca="false">F579+G579</f>
        <v>24092.4</v>
      </c>
      <c r="I579" s="25" t="n">
        <v>24092.4</v>
      </c>
      <c r="J579" s="15" t="n">
        <f aca="false">ROUND(H579-I579,2)</f>
        <v>0</v>
      </c>
      <c r="K579" s="26" t="str">
        <f aca="false">IF(ABS(J579)&lt;0.05,"OK","Verificar")</f>
        <v>OK</v>
      </c>
    </row>
    <row r="580" customFormat="false" ht="15" hidden="false" customHeight="false" outlineLevel="0" collapsed="false">
      <c r="A580" s="3" t="n">
        <v>7</v>
      </c>
      <c r="B580" s="24" t="n">
        <v>46204</v>
      </c>
      <c r="C580" s="3" t="s">
        <v>812</v>
      </c>
      <c r="D580" s="3" t="s">
        <v>217</v>
      </c>
      <c r="E580" s="3" t="n">
        <f aca="false">COUNTIF('NF x Centro de Custo'!$C$5:$C$1270,$C580)</f>
        <v>1</v>
      </c>
      <c r="F580" s="15" t="n">
        <f aca="false">SUMIFS('NF x Centro de Custo'!$F$5:$F$1270,'NF x Centro de Custo'!$C$5:$C$1270,$C580)</f>
        <v>4932.06</v>
      </c>
      <c r="G580" s="15" t="n">
        <f aca="false">SUMIFS('NF x Centro de Custo'!$G$5:$G$1270,'NF x Centro de Custo'!$C$5:$C$1270,$C580)</f>
        <v>1770.14</v>
      </c>
      <c r="H580" s="15" t="n">
        <f aca="false">F580+G580</f>
        <v>6702.2</v>
      </c>
      <c r="I580" s="25" t="n">
        <v>6702.2</v>
      </c>
      <c r="J580" s="15" t="n">
        <f aca="false">ROUND(H580-I580,2)</f>
        <v>0</v>
      </c>
      <c r="K580" s="26" t="str">
        <f aca="false">IF(ABS(J580)&lt;0.05,"OK","Verificar")</f>
        <v>OK</v>
      </c>
    </row>
    <row r="581" customFormat="false" ht="15" hidden="false" customHeight="false" outlineLevel="0" collapsed="false">
      <c r="A581" s="3" t="n">
        <v>7</v>
      </c>
      <c r="B581" s="24" t="n">
        <v>46204</v>
      </c>
      <c r="C581" s="3" t="s">
        <v>813</v>
      </c>
      <c r="D581" s="3" t="s">
        <v>217</v>
      </c>
      <c r="E581" s="3" t="n">
        <f aca="false">COUNTIF('NF x Centro de Custo'!$C$5:$C$1270,$C581)</f>
        <v>1</v>
      </c>
      <c r="F581" s="15" t="n">
        <f aca="false">SUMIFS('NF x Centro de Custo'!$F$5:$F$1270,'NF x Centro de Custo'!$C$5:$C$1270,$C581)</f>
        <v>3382.78</v>
      </c>
      <c r="G581" s="15" t="n">
        <f aca="false">SUMIFS('NF x Centro de Custo'!$G$5:$G$1270,'NF x Centro de Custo'!$C$5:$C$1270,$C581)</f>
        <v>1218.73</v>
      </c>
      <c r="H581" s="15" t="n">
        <f aca="false">F581+G581</f>
        <v>4601.51</v>
      </c>
      <c r="I581" s="25" t="n">
        <v>4601.51</v>
      </c>
      <c r="J581" s="15" t="n">
        <f aca="false">ROUND(H581-I581,2)</f>
        <v>0</v>
      </c>
      <c r="K581" s="26" t="str">
        <f aca="false">IF(ABS(J581)&lt;0.05,"OK","Verificar")</f>
        <v>OK</v>
      </c>
    </row>
    <row r="582" customFormat="false" ht="15" hidden="false" customHeight="false" outlineLevel="0" collapsed="false">
      <c r="A582" s="3" t="n">
        <v>7</v>
      </c>
      <c r="B582" s="24" t="n">
        <v>46204</v>
      </c>
      <c r="C582" s="3" t="s">
        <v>814</v>
      </c>
      <c r="D582" s="3" t="s">
        <v>219</v>
      </c>
      <c r="E582" s="3" t="n">
        <f aca="false">COUNTIF('NF x Centro de Custo'!$C$5:$C$1270,$C582)</f>
        <v>1</v>
      </c>
      <c r="F582" s="15" t="n">
        <f aca="false">SUMIFS('NF x Centro de Custo'!$F$5:$F$1270,'NF x Centro de Custo'!$C$5:$C$1270,$C582)</f>
        <v>2326.79</v>
      </c>
      <c r="G582" s="15" t="n">
        <f aca="false">SUMIFS('NF x Centro de Custo'!$G$5:$G$1270,'NF x Centro de Custo'!$C$5:$C$1270,$C582)</f>
        <v>832.3</v>
      </c>
      <c r="H582" s="15" t="n">
        <f aca="false">F582+G582</f>
        <v>3159.09</v>
      </c>
      <c r="I582" s="25" t="n">
        <v>3159.09</v>
      </c>
      <c r="J582" s="15" t="n">
        <f aca="false">ROUND(H582-I582,2)</f>
        <v>0</v>
      </c>
      <c r="K582" s="26" t="str">
        <f aca="false">IF(ABS(J582)&lt;0.05,"OK","Verificar")</f>
        <v>OK</v>
      </c>
    </row>
    <row r="583" customFormat="false" ht="15" hidden="false" customHeight="false" outlineLevel="0" collapsed="false">
      <c r="A583" s="3" t="n">
        <v>7</v>
      </c>
      <c r="B583" s="24" t="n">
        <v>46204</v>
      </c>
      <c r="C583" s="3" t="s">
        <v>815</v>
      </c>
      <c r="D583" s="3" t="s">
        <v>219</v>
      </c>
      <c r="E583" s="3" t="n">
        <f aca="false">COUNTIF('NF x Centro de Custo'!$C$5:$C$1270,$C583)</f>
        <v>1</v>
      </c>
      <c r="F583" s="15" t="n">
        <f aca="false">SUMIFS('NF x Centro de Custo'!$F$5:$F$1270,'NF x Centro de Custo'!$C$5:$C$1270,$C583)</f>
        <v>22099.5</v>
      </c>
      <c r="G583" s="15" t="n">
        <f aca="false">SUMIFS('NF x Centro de Custo'!$G$5:$G$1270,'NF x Centro de Custo'!$C$5:$C$1270,$C583)</f>
        <v>7680.76</v>
      </c>
      <c r="H583" s="15" t="n">
        <f aca="false">F583+G583</f>
        <v>29780.26</v>
      </c>
      <c r="I583" s="25" t="n">
        <v>29780.26</v>
      </c>
      <c r="J583" s="15" t="n">
        <f aca="false">ROUND(H583-I583,2)</f>
        <v>0</v>
      </c>
      <c r="K583" s="26" t="str">
        <f aca="false">IF(ABS(J583)&lt;0.05,"OK","Verificar")</f>
        <v>OK</v>
      </c>
    </row>
    <row r="584" customFormat="false" ht="15" hidden="false" customHeight="false" outlineLevel="0" collapsed="false">
      <c r="A584" s="3" t="n">
        <v>7</v>
      </c>
      <c r="B584" s="24" t="n">
        <v>46204</v>
      </c>
      <c r="C584" s="3" t="s">
        <v>816</v>
      </c>
      <c r="D584" s="3" t="s">
        <v>228</v>
      </c>
      <c r="E584" s="3" t="n">
        <f aca="false">COUNTIF('NF x Centro de Custo'!$C$5:$C$1270,$C584)</f>
        <v>1</v>
      </c>
      <c r="F584" s="15" t="n">
        <f aca="false">SUMIFS('NF x Centro de Custo'!$F$5:$F$1270,'NF x Centro de Custo'!$C$5:$C$1270,$C584)</f>
        <v>3663.41</v>
      </c>
      <c r="G584" s="15" t="n">
        <f aca="false">SUMIFS('NF x Centro de Custo'!$G$5:$G$1270,'NF x Centro de Custo'!$C$5:$C$1270,$C584)</f>
        <v>1331.2</v>
      </c>
      <c r="H584" s="15" t="n">
        <f aca="false">F584+G584</f>
        <v>4994.61</v>
      </c>
      <c r="I584" s="25" t="n">
        <v>4994.61</v>
      </c>
      <c r="J584" s="15" t="n">
        <f aca="false">ROUND(H584-I584,2)</f>
        <v>0</v>
      </c>
      <c r="K584" s="26" t="str">
        <f aca="false">IF(ABS(J584)&lt;0.05,"OK","Verificar")</f>
        <v>OK</v>
      </c>
    </row>
    <row r="585" customFormat="false" ht="15" hidden="false" customHeight="false" outlineLevel="0" collapsed="false">
      <c r="A585" s="3" t="n">
        <v>7</v>
      </c>
      <c r="B585" s="24" t="n">
        <v>46204</v>
      </c>
      <c r="C585" s="3" t="s">
        <v>817</v>
      </c>
      <c r="D585" s="3" t="s">
        <v>231</v>
      </c>
      <c r="E585" s="3" t="n">
        <f aca="false">COUNTIF('NF x Centro de Custo'!$C$5:$C$1270,$C585)</f>
        <v>2</v>
      </c>
      <c r="F585" s="15" t="n">
        <f aca="false">SUMIFS('NF x Centro de Custo'!$F$5:$F$1270,'NF x Centro de Custo'!$C$5:$C$1270,$C585)</f>
        <v>4972</v>
      </c>
      <c r="G585" s="15" t="n">
        <f aca="false">SUMIFS('NF x Centro de Custo'!$G$5:$G$1270,'NF x Centro de Custo'!$C$5:$C$1270,$C585)</f>
        <v>1782.65</v>
      </c>
      <c r="H585" s="15" t="n">
        <f aca="false">F585+G585</f>
        <v>6754.65</v>
      </c>
      <c r="I585" s="25" t="n">
        <v>6754.65</v>
      </c>
      <c r="J585" s="15" t="n">
        <f aca="false">ROUND(H585-I585,2)</f>
        <v>0</v>
      </c>
      <c r="K585" s="26" t="str">
        <f aca="false">IF(ABS(J585)&lt;0.05,"OK","Verificar")</f>
        <v>OK</v>
      </c>
    </row>
    <row r="586" customFormat="false" ht="15" hidden="false" customHeight="false" outlineLevel="0" collapsed="false">
      <c r="A586" s="3" t="n">
        <v>7</v>
      </c>
      <c r="B586" s="24" t="n">
        <v>46204</v>
      </c>
      <c r="C586" s="3" t="s">
        <v>818</v>
      </c>
      <c r="D586" s="3" t="s">
        <v>231</v>
      </c>
      <c r="E586" s="3" t="n">
        <f aca="false">COUNTIF('NF x Centro de Custo'!$C$5:$C$1270,$C586)</f>
        <v>1</v>
      </c>
      <c r="F586" s="15" t="n">
        <f aca="false">SUMIFS('NF x Centro de Custo'!$F$5:$F$1270,'NF x Centro de Custo'!$C$5:$C$1270,$C586)</f>
        <v>7313.99</v>
      </c>
      <c r="G586" s="15" t="n">
        <f aca="false">SUMIFS('NF x Centro de Custo'!$G$5:$G$1270,'NF x Centro de Custo'!$C$5:$C$1270,$C586)</f>
        <v>2648.92</v>
      </c>
      <c r="H586" s="15" t="n">
        <f aca="false">F586+G586</f>
        <v>9962.91</v>
      </c>
      <c r="I586" s="25" t="n">
        <v>9962.91</v>
      </c>
      <c r="J586" s="15" t="n">
        <f aca="false">ROUND(H586-I586,2)</f>
        <v>0</v>
      </c>
      <c r="K586" s="26" t="str">
        <f aca="false">IF(ABS(J586)&lt;0.05,"OK","Verificar")</f>
        <v>OK</v>
      </c>
    </row>
    <row r="587" customFormat="false" ht="15" hidden="false" customHeight="false" outlineLevel="0" collapsed="false">
      <c r="A587" s="3" t="n">
        <v>7</v>
      </c>
      <c r="B587" s="24" t="n">
        <v>46204</v>
      </c>
      <c r="C587" s="3" t="s">
        <v>819</v>
      </c>
      <c r="D587" s="3" t="s">
        <v>237</v>
      </c>
      <c r="E587" s="3" t="n">
        <f aca="false">COUNTIF('NF x Centro de Custo'!$C$5:$C$1270,$C587)</f>
        <v>1</v>
      </c>
      <c r="F587" s="15" t="n">
        <f aca="false">SUMIFS('NF x Centro de Custo'!$F$5:$F$1270,'NF x Centro de Custo'!$C$5:$C$1270,$C587)</f>
        <v>4819.07</v>
      </c>
      <c r="G587" s="15" t="n">
        <f aca="false">SUMIFS('NF x Centro de Custo'!$G$5:$G$1270,'NF x Centro de Custo'!$C$5:$C$1270,$C587)</f>
        <v>1721.45</v>
      </c>
      <c r="H587" s="15" t="n">
        <f aca="false">F587+G587</f>
        <v>6540.52</v>
      </c>
      <c r="I587" s="25" t="n">
        <v>6540.52</v>
      </c>
      <c r="J587" s="15" t="n">
        <f aca="false">ROUND(H587-I587,2)</f>
        <v>0</v>
      </c>
      <c r="K587" s="26" t="str">
        <f aca="false">IF(ABS(J587)&lt;0.05,"OK","Verificar")</f>
        <v>OK</v>
      </c>
    </row>
    <row r="588" customFormat="false" ht="15" hidden="false" customHeight="false" outlineLevel="0" collapsed="false">
      <c r="A588" s="3" t="n">
        <v>7</v>
      </c>
      <c r="B588" s="24" t="n">
        <v>46204</v>
      </c>
      <c r="C588" s="3" t="s">
        <v>820</v>
      </c>
      <c r="D588" s="3" t="s">
        <v>237</v>
      </c>
      <c r="E588" s="3" t="n">
        <f aca="false">COUNTIF('NF x Centro de Custo'!$C$5:$C$1270,$C588)</f>
        <v>1</v>
      </c>
      <c r="F588" s="15" t="n">
        <f aca="false">SUMIFS('NF x Centro de Custo'!$F$5:$F$1270,'NF x Centro de Custo'!$C$5:$C$1270,$C588)</f>
        <v>8531.39</v>
      </c>
      <c r="G588" s="15" t="n">
        <f aca="false">SUMIFS('NF x Centro de Custo'!$G$5:$G$1270,'NF x Centro de Custo'!$C$5:$C$1270,$C588)</f>
        <v>2963.66</v>
      </c>
      <c r="H588" s="15" t="n">
        <f aca="false">F588+G588</f>
        <v>11495.05</v>
      </c>
      <c r="I588" s="25" t="n">
        <v>11495.05</v>
      </c>
      <c r="J588" s="15" t="n">
        <f aca="false">ROUND(H588-I588,2)</f>
        <v>0</v>
      </c>
      <c r="K588" s="26" t="str">
        <f aca="false">IF(ABS(J588)&lt;0.05,"OK","Verificar")</f>
        <v>OK</v>
      </c>
    </row>
    <row r="589" customFormat="false" ht="15" hidden="false" customHeight="false" outlineLevel="0" collapsed="false">
      <c r="A589" s="3" t="n">
        <v>7</v>
      </c>
      <c r="B589" s="24" t="n">
        <v>46204</v>
      </c>
      <c r="C589" s="3" t="s">
        <v>821</v>
      </c>
      <c r="D589" s="3" t="s">
        <v>440</v>
      </c>
      <c r="E589" s="3" t="n">
        <f aca="false">COUNTIF('NF x Centro de Custo'!$C$5:$C$1270,$C589)</f>
        <v>1</v>
      </c>
      <c r="F589" s="15" t="n">
        <f aca="false">SUMIFS('NF x Centro de Custo'!$F$5:$F$1270,'NF x Centro de Custo'!$C$5:$C$1270,$C589)</f>
        <v>2169.83</v>
      </c>
      <c r="G589" s="15" t="n">
        <f aca="false">SUMIFS('NF x Centro de Custo'!$G$5:$G$1270,'NF x Centro de Custo'!$C$5:$C$1270,$C589)</f>
        <v>858.85</v>
      </c>
      <c r="H589" s="15" t="n">
        <f aca="false">F589+G589</f>
        <v>3028.68</v>
      </c>
      <c r="I589" s="25" t="n">
        <v>3028.68</v>
      </c>
      <c r="J589" s="15" t="n">
        <f aca="false">ROUND(H589-I589,2)</f>
        <v>0</v>
      </c>
      <c r="K589" s="26" t="str">
        <f aca="false">IF(ABS(J589)&lt;0.05,"OK","Verificar")</f>
        <v>OK</v>
      </c>
    </row>
    <row r="590" customFormat="false" ht="15" hidden="false" customHeight="false" outlineLevel="0" collapsed="false">
      <c r="A590" s="3" t="n">
        <v>7</v>
      </c>
      <c r="B590" s="24" t="n">
        <v>46204</v>
      </c>
      <c r="C590" s="3" t="s">
        <v>822</v>
      </c>
      <c r="D590" s="3" t="s">
        <v>440</v>
      </c>
      <c r="E590" s="3" t="n">
        <f aca="false">COUNTIF('NF x Centro de Custo'!$C$5:$C$1270,$C590)</f>
        <v>5</v>
      </c>
      <c r="F590" s="15" t="n">
        <f aca="false">SUMIFS('NF x Centro de Custo'!$F$5:$F$1270,'NF x Centro de Custo'!$C$5:$C$1270,$C590)</f>
        <v>19924.52</v>
      </c>
      <c r="G590" s="15" t="n">
        <f aca="false">SUMIFS('NF x Centro de Custo'!$G$5:$G$1270,'NF x Centro de Custo'!$C$5:$C$1270,$C590)</f>
        <v>7160.55</v>
      </c>
      <c r="H590" s="15" t="n">
        <f aca="false">F590+G590</f>
        <v>27085.07</v>
      </c>
      <c r="I590" s="25" t="n">
        <v>27085.07</v>
      </c>
      <c r="J590" s="15" t="n">
        <f aca="false">ROUND(H590-I590,2)</f>
        <v>0</v>
      </c>
      <c r="K590" s="26" t="str">
        <f aca="false">IF(ABS(J590)&lt;0.05,"OK","Verificar")</f>
        <v>OK</v>
      </c>
    </row>
    <row r="591" customFormat="false" ht="15" hidden="false" customHeight="false" outlineLevel="0" collapsed="false">
      <c r="A591" s="3" t="n">
        <v>7</v>
      </c>
      <c r="B591" s="24" t="n">
        <v>46204</v>
      </c>
      <c r="C591" s="3" t="s">
        <v>823</v>
      </c>
      <c r="D591" s="3" t="s">
        <v>224</v>
      </c>
      <c r="E591" s="3" t="n">
        <f aca="false">COUNTIF('NF x Centro de Custo'!$C$5:$C$1270,$C591)</f>
        <v>1</v>
      </c>
      <c r="F591" s="15" t="n">
        <f aca="false">SUMIFS('NF x Centro de Custo'!$F$5:$F$1270,'NF x Centro de Custo'!$C$5:$C$1270,$C591)</f>
        <v>361.07</v>
      </c>
      <c r="G591" s="15" t="n">
        <f aca="false">SUMIFS('NF x Centro de Custo'!$G$5:$G$1270,'NF x Centro de Custo'!$C$5:$C$1270,$C591)</f>
        <v>125.15</v>
      </c>
      <c r="H591" s="15" t="n">
        <f aca="false">F591+G591</f>
        <v>486.22</v>
      </c>
      <c r="I591" s="25" t="n">
        <v>486.22</v>
      </c>
      <c r="J591" s="15" t="n">
        <f aca="false">ROUND(H591-I591,2)</f>
        <v>0</v>
      </c>
      <c r="K591" s="26" t="str">
        <f aca="false">IF(ABS(J591)&lt;0.05,"OK","Verificar")</f>
        <v>OK</v>
      </c>
    </row>
    <row r="592" customFormat="false" ht="15" hidden="false" customHeight="false" outlineLevel="0" collapsed="false">
      <c r="A592" s="3" t="n">
        <v>7</v>
      </c>
      <c r="B592" s="24" t="n">
        <v>46204</v>
      </c>
      <c r="C592" s="3" t="s">
        <v>824</v>
      </c>
      <c r="D592" s="3" t="s">
        <v>243</v>
      </c>
      <c r="E592" s="3" t="n">
        <f aca="false">COUNTIF('NF x Centro de Custo'!$C$5:$C$1270,$C592)</f>
        <v>1</v>
      </c>
      <c r="F592" s="15" t="n">
        <f aca="false">SUMIFS('NF x Centro de Custo'!$F$5:$F$1270,'NF x Centro de Custo'!$C$5:$C$1270,$C592)</f>
        <v>226.65</v>
      </c>
      <c r="G592" s="15" t="n">
        <f aca="false">SUMIFS('NF x Centro de Custo'!$G$5:$G$1270,'NF x Centro de Custo'!$C$5:$C$1270,$C592)</f>
        <v>102.57</v>
      </c>
      <c r="H592" s="15" t="n">
        <f aca="false">F592+G592</f>
        <v>329.22</v>
      </c>
      <c r="I592" s="25" t="n">
        <v>329.22</v>
      </c>
      <c r="J592" s="15" t="n">
        <f aca="false">ROUND(H592-I592,2)</f>
        <v>0</v>
      </c>
      <c r="K592" s="26" t="str">
        <f aca="false">IF(ABS(J592)&lt;0.05,"OK","Verificar")</f>
        <v>OK</v>
      </c>
    </row>
    <row r="593" customFormat="false" ht="15" hidden="false" customHeight="false" outlineLevel="0" collapsed="false">
      <c r="A593" s="3" t="n">
        <v>7</v>
      </c>
      <c r="B593" s="24" t="n">
        <v>46204</v>
      </c>
      <c r="C593" s="3" t="s">
        <v>825</v>
      </c>
      <c r="D593" s="3" t="s">
        <v>246</v>
      </c>
      <c r="E593" s="3" t="n">
        <f aca="false">COUNTIF('NF x Centro de Custo'!$C$5:$C$1270,$C593)</f>
        <v>1</v>
      </c>
      <c r="F593" s="15" t="n">
        <f aca="false">SUMIFS('NF x Centro de Custo'!$F$5:$F$1270,'NF x Centro de Custo'!$C$5:$C$1270,$C593)</f>
        <v>2361.68</v>
      </c>
      <c r="G593" s="15" t="n">
        <f aca="false">SUMIFS('NF x Centro de Custo'!$G$5:$G$1270,'NF x Centro de Custo'!$C$5:$C$1270,$C593)</f>
        <v>844.38</v>
      </c>
      <c r="H593" s="15" t="n">
        <f aca="false">F593+G593</f>
        <v>3206.06</v>
      </c>
      <c r="I593" s="25" t="n">
        <v>3206.06</v>
      </c>
      <c r="J593" s="15" t="n">
        <f aca="false">ROUND(H593-I593,2)</f>
        <v>0</v>
      </c>
      <c r="K593" s="26" t="str">
        <f aca="false">IF(ABS(J593)&lt;0.05,"OK","Verificar")</f>
        <v>OK</v>
      </c>
    </row>
    <row r="594" customFormat="false" ht="15" hidden="false" customHeight="false" outlineLevel="0" collapsed="false">
      <c r="A594" s="3" t="n">
        <v>7</v>
      </c>
      <c r="B594" s="24" t="n">
        <v>46204</v>
      </c>
      <c r="C594" s="3" t="s">
        <v>826</v>
      </c>
      <c r="D594" s="3" t="s">
        <v>252</v>
      </c>
      <c r="E594" s="3" t="n">
        <f aca="false">COUNTIF('NF x Centro de Custo'!$C$5:$C$1270,$C594)</f>
        <v>1</v>
      </c>
      <c r="F594" s="15" t="n">
        <f aca="false">SUMIFS('NF x Centro de Custo'!$F$5:$F$1270,'NF x Centro de Custo'!$C$5:$C$1270,$C594)</f>
        <v>2530.56</v>
      </c>
      <c r="G594" s="15" t="n">
        <f aca="false">SUMIFS('NF x Centro de Custo'!$G$5:$G$1270,'NF x Centro de Custo'!$C$5:$C$1270,$C594)</f>
        <v>902.92</v>
      </c>
      <c r="H594" s="15" t="n">
        <f aca="false">F594+G594</f>
        <v>3433.48</v>
      </c>
      <c r="I594" s="25" t="n">
        <v>3433.48</v>
      </c>
      <c r="J594" s="15" t="n">
        <f aca="false">ROUND(H594-I594,2)</f>
        <v>0</v>
      </c>
      <c r="K594" s="26" t="str">
        <f aca="false">IF(ABS(J594)&lt;0.05,"OK","Verificar")</f>
        <v>OK</v>
      </c>
    </row>
    <row r="595" customFormat="false" ht="15" hidden="false" customHeight="false" outlineLevel="0" collapsed="false">
      <c r="A595" s="3" t="n">
        <v>7</v>
      </c>
      <c r="B595" s="24" t="n">
        <v>46204</v>
      </c>
      <c r="C595" s="3" t="s">
        <v>827</v>
      </c>
      <c r="D595" s="3" t="s">
        <v>255</v>
      </c>
      <c r="E595" s="3" t="n">
        <f aca="false">COUNTIF('NF x Centro de Custo'!$C$5:$C$1270,$C595)</f>
        <v>1</v>
      </c>
      <c r="F595" s="15" t="n">
        <f aca="false">SUMIFS('NF x Centro de Custo'!$F$5:$F$1270,'NF x Centro de Custo'!$C$5:$C$1270,$C595)</f>
        <v>2361.68</v>
      </c>
      <c r="G595" s="15" t="n">
        <f aca="false">SUMIFS('NF x Centro de Custo'!$G$5:$G$1270,'NF x Centro de Custo'!$C$5:$C$1270,$C595)</f>
        <v>844.38</v>
      </c>
      <c r="H595" s="15" t="n">
        <f aca="false">F595+G595</f>
        <v>3206.06</v>
      </c>
      <c r="I595" s="25" t="n">
        <v>3206.06</v>
      </c>
      <c r="J595" s="15" t="n">
        <f aca="false">ROUND(H595-I595,2)</f>
        <v>0</v>
      </c>
      <c r="K595" s="26" t="str">
        <f aca="false">IF(ABS(J595)&lt;0.05,"OK","Verificar")</f>
        <v>OK</v>
      </c>
    </row>
    <row r="596" customFormat="false" ht="15" hidden="false" customHeight="false" outlineLevel="0" collapsed="false">
      <c r="A596" s="3" t="n">
        <v>7</v>
      </c>
      <c r="B596" s="24" t="n">
        <v>46204</v>
      </c>
      <c r="C596" s="3" t="s">
        <v>828</v>
      </c>
      <c r="D596" s="3" t="s">
        <v>222</v>
      </c>
      <c r="E596" s="3" t="n">
        <f aca="false">COUNTIF('NF x Centro de Custo'!$C$5:$C$1270,$C596)</f>
        <v>1</v>
      </c>
      <c r="F596" s="15" t="n">
        <f aca="false">SUMIFS('NF x Centro de Custo'!$F$5:$F$1270,'NF x Centro de Custo'!$C$5:$C$1270,$C596)</f>
        <v>715.02</v>
      </c>
      <c r="G596" s="15" t="n">
        <f aca="false">SUMIFS('NF x Centro de Custo'!$G$5:$G$1270,'NF x Centro de Custo'!$C$5:$C$1270,$C596)</f>
        <v>272.66</v>
      </c>
      <c r="H596" s="15" t="n">
        <f aca="false">F596+G596</f>
        <v>987.68</v>
      </c>
      <c r="I596" s="25" t="n">
        <v>987.68</v>
      </c>
      <c r="J596" s="15" t="n">
        <f aca="false">ROUND(H596-I596,2)</f>
        <v>0</v>
      </c>
      <c r="K596" s="26" t="str">
        <f aca="false">IF(ABS(J596)&lt;0.05,"OK","Verificar")</f>
        <v>OK</v>
      </c>
    </row>
    <row r="597" customFormat="false" ht="15" hidden="false" customHeight="false" outlineLevel="0" collapsed="false">
      <c r="A597" s="3" t="n">
        <v>7</v>
      </c>
      <c r="B597" s="24" t="n">
        <v>46204</v>
      </c>
      <c r="C597" s="3" t="s">
        <v>829</v>
      </c>
      <c r="D597" s="3" t="s">
        <v>471</v>
      </c>
      <c r="E597" s="3" t="n">
        <f aca="false">COUNTIF('NF x Centro de Custo'!$C$5:$C$1270,$C597)</f>
        <v>15</v>
      </c>
      <c r="F597" s="15" t="n">
        <f aca="false">SUMIFS('NF x Centro de Custo'!$F$5:$F$1270,'NF x Centro de Custo'!$C$5:$C$1270,$C597)</f>
        <v>1172032.72</v>
      </c>
      <c r="G597" s="15" t="n">
        <f aca="false">SUMIFS('NF x Centro de Custo'!$G$5:$G$1270,'NF x Centro de Custo'!$C$5:$C$1270,$C597)</f>
        <v>412922.38</v>
      </c>
      <c r="H597" s="15" t="n">
        <f aca="false">F597+G597</f>
        <v>1584955.1</v>
      </c>
      <c r="I597" s="25" t="n">
        <v>1584955.1</v>
      </c>
      <c r="J597" s="15" t="n">
        <f aca="false">ROUND(H597-I597,2)</f>
        <v>0</v>
      </c>
      <c r="K597" s="26" t="str">
        <f aca="false">IF(ABS(J597)&lt;0.05,"OK","Verificar")</f>
        <v>OK</v>
      </c>
    </row>
    <row r="598" customFormat="false" ht="15" hidden="false" customHeight="false" outlineLevel="0" collapsed="false">
      <c r="A598" s="3" t="n">
        <v>7</v>
      </c>
      <c r="B598" s="24" t="n">
        <v>46204</v>
      </c>
      <c r="C598" s="3" t="s">
        <v>830</v>
      </c>
      <c r="D598" s="3" t="s">
        <v>258</v>
      </c>
      <c r="E598" s="3" t="n">
        <f aca="false">COUNTIF('NF x Centro de Custo'!$C$5:$C$1270,$C598)</f>
        <v>1</v>
      </c>
      <c r="F598" s="15" t="n">
        <f aca="false">SUMIFS('NF x Centro de Custo'!$F$5:$F$1270,'NF x Centro de Custo'!$C$5:$C$1270,$C598)</f>
        <v>7078.24</v>
      </c>
      <c r="G598" s="15" t="n">
        <f aca="false">SUMIFS('NF x Centro de Custo'!$G$5:$G$1270,'NF x Centro de Custo'!$C$5:$C$1270,$C598)</f>
        <v>2464.41</v>
      </c>
      <c r="H598" s="15" t="n">
        <f aca="false">F598+G598</f>
        <v>9542.65</v>
      </c>
      <c r="I598" s="25" t="n">
        <v>9542.65</v>
      </c>
      <c r="J598" s="15" t="n">
        <f aca="false">ROUND(H598-I598,2)</f>
        <v>0</v>
      </c>
      <c r="K598" s="26" t="str">
        <f aca="false">IF(ABS(J598)&lt;0.05,"OK","Verificar")</f>
        <v>OK</v>
      </c>
    </row>
    <row r="599" customFormat="false" ht="15" hidden="false" customHeight="false" outlineLevel="0" collapsed="false">
      <c r="A599" s="3" t="n">
        <v>7</v>
      </c>
      <c r="B599" s="24" t="n">
        <v>46204</v>
      </c>
      <c r="C599" s="3" t="s">
        <v>831</v>
      </c>
      <c r="D599" s="3" t="s">
        <v>261</v>
      </c>
      <c r="E599" s="3" t="n">
        <f aca="false">COUNTIF('NF x Centro de Custo'!$C$5:$C$1270,$C599)</f>
        <v>1</v>
      </c>
      <c r="F599" s="15" t="n">
        <f aca="false">SUMIFS('NF x Centro de Custo'!$F$5:$F$1270,'NF x Centro de Custo'!$C$5:$C$1270,$C599)</f>
        <v>1260.99</v>
      </c>
      <c r="G599" s="15" t="n">
        <f aca="false">SUMIFS('NF x Centro de Custo'!$G$5:$G$1270,'NF x Centro de Custo'!$C$5:$C$1270,$C599)</f>
        <v>470.43</v>
      </c>
      <c r="H599" s="15" t="n">
        <f aca="false">F599+G599</f>
        <v>1731.42</v>
      </c>
      <c r="I599" s="25" t="n">
        <v>1731.42</v>
      </c>
      <c r="J599" s="15" t="n">
        <f aca="false">ROUND(H599-I599,2)</f>
        <v>0</v>
      </c>
      <c r="K599" s="26" t="str">
        <f aca="false">IF(ABS(J599)&lt;0.05,"OK","Verificar")</f>
        <v>OK</v>
      </c>
    </row>
    <row r="600" customFormat="false" ht="15" hidden="false" customHeight="false" outlineLevel="0" collapsed="false">
      <c r="A600" s="3" t="n">
        <v>7</v>
      </c>
      <c r="B600" s="24" t="n">
        <v>46204</v>
      </c>
      <c r="C600" s="3" t="s">
        <v>832</v>
      </c>
      <c r="D600" s="3" t="s">
        <v>212</v>
      </c>
      <c r="E600" s="3" t="n">
        <f aca="false">COUNTIF('NF x Centro de Custo'!$C$5:$C$1270,$C600)</f>
        <v>1</v>
      </c>
      <c r="F600" s="15" t="n">
        <f aca="false">SUMIFS('NF x Centro de Custo'!$F$5:$F$1270,'NF x Centro de Custo'!$C$5:$C$1270,$C600)</f>
        <v>0</v>
      </c>
      <c r="G600" s="15" t="n">
        <f aca="false">SUMIFS('NF x Centro de Custo'!$G$5:$G$1270,'NF x Centro de Custo'!$C$5:$C$1270,$C600)</f>
        <v>71393.87</v>
      </c>
      <c r="H600" s="15" t="n">
        <f aca="false">F600+G600</f>
        <v>71393.87</v>
      </c>
      <c r="I600" s="25" t="n">
        <v>533789.41</v>
      </c>
      <c r="J600" s="15" t="n">
        <f aca="false">ROUND(H600-I600,2)</f>
        <v>-462395.54</v>
      </c>
      <c r="K600" s="26" t="str">
        <f aca="false">IF(ABS(J600)&lt;0.05,"OK","Verificar")</f>
        <v>Verificar</v>
      </c>
    </row>
    <row r="601" customFormat="false" ht="15" hidden="false" customHeight="false" outlineLevel="0" collapsed="false">
      <c r="A601" s="3" t="n">
        <v>7</v>
      </c>
      <c r="B601" s="24" t="n">
        <v>46204</v>
      </c>
      <c r="C601" s="3" t="s">
        <v>833</v>
      </c>
      <c r="D601" s="3" t="s">
        <v>222</v>
      </c>
      <c r="E601" s="3" t="n">
        <f aca="false">COUNTIF('NF x Centro de Custo'!$C$5:$C$1270,$C601)</f>
        <v>4</v>
      </c>
      <c r="F601" s="15" t="n">
        <f aca="false">SUMIFS('NF x Centro de Custo'!$F$5:$F$1270,'NF x Centro de Custo'!$C$5:$C$1270,$C601)</f>
        <v>564638.69</v>
      </c>
      <c r="G601" s="15" t="n">
        <f aca="false">SUMIFS('NF x Centro de Custo'!$G$5:$G$1270,'NF x Centro de Custo'!$C$5:$C$1270,$C601)</f>
        <v>198936.46</v>
      </c>
      <c r="H601" s="15" t="n">
        <f aca="false">F601+G601</f>
        <v>763575.15</v>
      </c>
      <c r="I601" s="25" t="n">
        <v>764117.15</v>
      </c>
      <c r="J601" s="15" t="n">
        <f aca="false">ROUND(H601-I601,2)</f>
        <v>-542</v>
      </c>
      <c r="K601" s="26" t="str">
        <f aca="false">IF(ABS(J601)&lt;0.05,"OK","Verificar")</f>
        <v>Verificar</v>
      </c>
    </row>
    <row r="602" customFormat="false" ht="15" hidden="false" customHeight="false" outlineLevel="0" collapsed="false">
      <c r="A602" s="3" t="n">
        <v>7</v>
      </c>
      <c r="B602" s="24" t="n">
        <v>46204</v>
      </c>
      <c r="C602" s="3" t="s">
        <v>834</v>
      </c>
      <c r="D602" s="3" t="s">
        <v>226</v>
      </c>
      <c r="E602" s="3" t="n">
        <f aca="false">COUNTIF('NF x Centro de Custo'!$C$5:$C$1270,$C602)</f>
        <v>1</v>
      </c>
      <c r="F602" s="15" t="n">
        <f aca="false">SUMIFS('NF x Centro de Custo'!$F$5:$F$1270,'NF x Centro de Custo'!$C$5:$C$1270,$C602)</f>
        <v>11636.89</v>
      </c>
      <c r="G602" s="15" t="n">
        <f aca="false">SUMIFS('NF x Centro de Custo'!$G$5:$G$1270,'NF x Centro de Custo'!$C$5:$C$1270,$C602)</f>
        <v>3501.61</v>
      </c>
      <c r="H602" s="15" t="n">
        <f aca="false">F602+G602</f>
        <v>15138.5</v>
      </c>
      <c r="I602" s="25" t="n">
        <v>15138.5</v>
      </c>
      <c r="J602" s="15" t="n">
        <f aca="false">ROUND(H602-I602,2)</f>
        <v>0</v>
      </c>
      <c r="K602" s="26" t="str">
        <f aca="false">IF(ABS(J602)&lt;0.05,"OK","Verificar")</f>
        <v>OK</v>
      </c>
    </row>
    <row r="603" customFormat="false" ht="15" hidden="false" customHeight="false" outlineLevel="0" collapsed="false">
      <c r="A603" s="3" t="n">
        <v>7</v>
      </c>
      <c r="B603" s="24" t="n">
        <v>46204</v>
      </c>
      <c r="C603" s="3" t="s">
        <v>835</v>
      </c>
      <c r="D603" s="3" t="s">
        <v>836</v>
      </c>
      <c r="E603" s="3" t="n">
        <f aca="false">COUNTIF('NF x Centro de Custo'!$C$5:$C$1270,$C603)</f>
        <v>1</v>
      </c>
      <c r="F603" s="15" t="n">
        <f aca="false">SUMIFS('NF x Centro de Custo'!$F$5:$F$1270,'NF x Centro de Custo'!$C$5:$C$1270,$C603)</f>
        <v>5806.93</v>
      </c>
      <c r="G603" s="15" t="n">
        <f aca="false">SUMIFS('NF x Centro de Custo'!$G$5:$G$1270,'NF x Centro de Custo'!$C$5:$C$1270,$C603)</f>
        <v>1970.48</v>
      </c>
      <c r="H603" s="15" t="n">
        <f aca="false">F603+G603</f>
        <v>7777.41</v>
      </c>
      <c r="I603" s="25" t="n">
        <v>7777.41</v>
      </c>
      <c r="J603" s="15" t="n">
        <f aca="false">ROUND(H603-I603,2)</f>
        <v>0</v>
      </c>
      <c r="K603" s="26" t="str">
        <f aca="false">IF(ABS(J603)&lt;0.05,"OK","Verificar")</f>
        <v>OK</v>
      </c>
    </row>
    <row r="604" customFormat="false" ht="15" hidden="false" customHeight="false" outlineLevel="0" collapsed="false">
      <c r="A604" s="3" t="n">
        <v>7</v>
      </c>
      <c r="B604" s="24" t="n">
        <v>46204</v>
      </c>
      <c r="C604" s="3" t="s">
        <v>837</v>
      </c>
      <c r="D604" s="3" t="s">
        <v>440</v>
      </c>
      <c r="E604" s="3" t="n">
        <f aca="false">COUNTIF('NF x Centro de Custo'!$C$5:$C$1270,$C604)</f>
        <v>7</v>
      </c>
      <c r="F604" s="15" t="n">
        <f aca="false">SUMIFS('NF x Centro de Custo'!$F$5:$F$1270,'NF x Centro de Custo'!$C$5:$C$1270,$C604)</f>
        <v>3115.45</v>
      </c>
      <c r="G604" s="15" t="n">
        <f aca="false">SUMIFS('NF x Centro de Custo'!$G$5:$G$1270,'NF x Centro de Custo'!$C$5:$C$1270,$C604)</f>
        <v>0</v>
      </c>
      <c r="H604" s="15" t="n">
        <f aca="false">F604+G604</f>
        <v>3115.45</v>
      </c>
      <c r="I604" s="25" t="n">
        <v>3115.45</v>
      </c>
      <c r="J604" s="15" t="n">
        <f aca="false">ROUND(H604-I604,2)</f>
        <v>0</v>
      </c>
      <c r="K604" s="26" t="str">
        <f aca="false">IF(ABS(J604)&lt;0.05,"OK","Verificar")</f>
        <v>OK</v>
      </c>
    </row>
    <row r="605" customFormat="false" ht="15" hidden="false" customHeight="false" outlineLevel="0" collapsed="false">
      <c r="A605" s="3" t="n">
        <v>7</v>
      </c>
      <c r="B605" s="24" t="n">
        <v>46204</v>
      </c>
      <c r="C605" s="3" t="s">
        <v>838</v>
      </c>
      <c r="D605" s="3" t="s">
        <v>440</v>
      </c>
      <c r="E605" s="3" t="n">
        <f aca="false">COUNTIF('NF x Centro de Custo'!$C$5:$C$1270,$C605)</f>
        <v>3</v>
      </c>
      <c r="F605" s="15" t="n">
        <f aca="false">SUMIFS('NF x Centro de Custo'!$F$5:$F$1270,'NF x Centro de Custo'!$C$5:$C$1270,$C605)</f>
        <v>10726.81</v>
      </c>
      <c r="G605" s="15" t="n">
        <f aca="false">SUMIFS('NF x Centro de Custo'!$G$5:$G$1270,'NF x Centro de Custo'!$C$5:$C$1270,$C605)</f>
        <v>0</v>
      </c>
      <c r="H605" s="15" t="n">
        <f aca="false">F605+G605</f>
        <v>10726.81</v>
      </c>
      <c r="I605" s="25" t="n">
        <v>10726.81</v>
      </c>
      <c r="J605" s="15" t="n">
        <f aca="false">ROUND(H605-I605,2)</f>
        <v>0</v>
      </c>
      <c r="K605" s="26" t="str">
        <f aca="false">IF(ABS(J605)&lt;0.05,"OK","Verificar")</f>
        <v>OK</v>
      </c>
    </row>
    <row r="606" customFormat="false" ht="15" hidden="false" customHeight="false" outlineLevel="0" collapsed="false">
      <c r="A606" s="3" t="n">
        <v>7</v>
      </c>
      <c r="B606" s="24" t="n">
        <v>46204</v>
      </c>
      <c r="C606" s="3" t="s">
        <v>839</v>
      </c>
      <c r="D606" s="3" t="s">
        <v>440</v>
      </c>
      <c r="E606" s="3" t="n">
        <f aca="false">COUNTIF('NF x Centro de Custo'!$C$5:$C$1270,$C606)</f>
        <v>1</v>
      </c>
      <c r="F606" s="15" t="n">
        <f aca="false">SUMIFS('NF x Centro de Custo'!$F$5:$F$1270,'NF x Centro de Custo'!$C$5:$C$1270,$C606)</f>
        <v>1159.19</v>
      </c>
      <c r="G606" s="15" t="n">
        <f aca="false">SUMIFS('NF x Centro de Custo'!$G$5:$G$1270,'NF x Centro de Custo'!$C$5:$C$1270,$C606)</f>
        <v>0</v>
      </c>
      <c r="H606" s="15" t="n">
        <f aca="false">F606+G606</f>
        <v>1159.19</v>
      </c>
      <c r="I606" s="25" t="n">
        <v>1159.19</v>
      </c>
      <c r="J606" s="15" t="n">
        <f aca="false">ROUND(H606-I606,2)</f>
        <v>0</v>
      </c>
      <c r="K606" s="26" t="str">
        <f aca="false">IF(ABS(J606)&lt;0.05,"OK","Verificar")</f>
        <v>OK</v>
      </c>
    </row>
    <row r="607" customFormat="false" ht="15" hidden="false" customHeight="false" outlineLevel="0" collapsed="false">
      <c r="A607" s="3" t="n">
        <v>7</v>
      </c>
      <c r="B607" s="24" t="n">
        <v>46204</v>
      </c>
      <c r="C607" s="3" t="s">
        <v>840</v>
      </c>
      <c r="D607" s="3" t="s">
        <v>214</v>
      </c>
      <c r="E607" s="3" t="n">
        <f aca="false">COUNTIF('NF x Centro de Custo'!$C$5:$C$1270,$C607)</f>
        <v>1</v>
      </c>
      <c r="F607" s="15" t="n">
        <f aca="false">SUMIFS('NF x Centro de Custo'!$F$5:$F$1270,'NF x Centro de Custo'!$C$5:$C$1270,$C607)</f>
        <v>9460.02</v>
      </c>
      <c r="G607" s="15" t="n">
        <f aca="false">SUMIFS('NF x Centro de Custo'!$G$5:$G$1270,'NF x Centro de Custo'!$C$5:$C$1270,$C607)</f>
        <v>0</v>
      </c>
      <c r="H607" s="15" t="n">
        <f aca="false">F607+G607</f>
        <v>9460.02</v>
      </c>
      <c r="I607" s="25" t="n">
        <v>9460.02</v>
      </c>
      <c r="J607" s="15" t="n">
        <f aca="false">ROUND(H607-I607,2)</f>
        <v>0</v>
      </c>
      <c r="K607" s="26" t="str">
        <f aca="false">IF(ABS(J607)&lt;0.05,"OK","Verificar")</f>
        <v>OK</v>
      </c>
    </row>
    <row r="608" customFormat="false" ht="15" hidden="false" customHeight="false" outlineLevel="0" collapsed="false">
      <c r="A608" s="3" t="n">
        <v>7</v>
      </c>
      <c r="B608" s="24" t="n">
        <v>46204</v>
      </c>
      <c r="C608" s="3" t="s">
        <v>841</v>
      </c>
      <c r="D608" s="3" t="s">
        <v>440</v>
      </c>
      <c r="E608" s="3" t="n">
        <f aca="false">COUNTIF('NF x Centro de Custo'!$C$5:$C$1270,$C608)</f>
        <v>1</v>
      </c>
      <c r="F608" s="15" t="n">
        <f aca="false">SUMIFS('NF x Centro de Custo'!$F$5:$F$1270,'NF x Centro de Custo'!$C$5:$C$1270,$C608)</f>
        <v>1524.7</v>
      </c>
      <c r="G608" s="15" t="n">
        <f aca="false">SUMIFS('NF x Centro de Custo'!$G$5:$G$1270,'NF x Centro de Custo'!$C$5:$C$1270,$C608)</f>
        <v>0</v>
      </c>
      <c r="H608" s="15" t="n">
        <f aca="false">F608+G608</f>
        <v>1524.7</v>
      </c>
      <c r="I608" s="25" t="n">
        <v>1524.7</v>
      </c>
      <c r="J608" s="15" t="n">
        <f aca="false">ROUND(H608-I608,2)</f>
        <v>0</v>
      </c>
      <c r="K608" s="26" t="str">
        <f aca="false">IF(ABS(J608)&lt;0.05,"OK","Verificar")</f>
        <v>OK</v>
      </c>
    </row>
    <row r="609" customFormat="false" ht="15" hidden="false" customHeight="false" outlineLevel="0" collapsed="false">
      <c r="A609" s="3" t="n">
        <v>7</v>
      </c>
      <c r="B609" s="24" t="n">
        <v>46204</v>
      </c>
      <c r="C609" s="3" t="s">
        <v>842</v>
      </c>
      <c r="D609" s="3" t="s">
        <v>440</v>
      </c>
      <c r="E609" s="3" t="n">
        <f aca="false">COUNTIF('NF x Centro de Custo'!$C$5:$C$1270,$C609)</f>
        <v>1</v>
      </c>
      <c r="F609" s="15" t="n">
        <f aca="false">SUMIFS('NF x Centro de Custo'!$F$5:$F$1270,'NF x Centro de Custo'!$C$5:$C$1270,$C609)</f>
        <v>224.3</v>
      </c>
      <c r="G609" s="15" t="n">
        <f aca="false">SUMIFS('NF x Centro de Custo'!$G$5:$G$1270,'NF x Centro de Custo'!$C$5:$C$1270,$C609)</f>
        <v>0</v>
      </c>
      <c r="H609" s="15" t="n">
        <f aca="false">F609+G609</f>
        <v>224.3</v>
      </c>
      <c r="I609" s="25" t="n">
        <v>224.3</v>
      </c>
      <c r="J609" s="15" t="n">
        <f aca="false">ROUND(H609-I609,2)</f>
        <v>0</v>
      </c>
      <c r="K609" s="26" t="str">
        <f aca="false">IF(ABS(J609)&lt;0.05,"OK","Verificar")</f>
        <v>OK</v>
      </c>
    </row>
    <row r="610" customFormat="false" ht="15" hidden="false" customHeight="false" outlineLevel="0" collapsed="false">
      <c r="A610" s="3" t="n">
        <v>7</v>
      </c>
      <c r="B610" s="24" t="n">
        <v>46204</v>
      </c>
      <c r="C610" s="3" t="s">
        <v>843</v>
      </c>
      <c r="D610" s="3" t="s">
        <v>440</v>
      </c>
      <c r="E610" s="3" t="n">
        <f aca="false">COUNTIF('NF x Centro de Custo'!$C$5:$C$1270,$C610)</f>
        <v>1</v>
      </c>
      <c r="F610" s="15" t="n">
        <f aca="false">SUMIFS('NF x Centro de Custo'!$F$5:$F$1270,'NF x Centro de Custo'!$C$5:$C$1270,$C610)</f>
        <v>530.03</v>
      </c>
      <c r="G610" s="15" t="n">
        <f aca="false">SUMIFS('NF x Centro de Custo'!$G$5:$G$1270,'NF x Centro de Custo'!$C$5:$C$1270,$C610)</f>
        <v>0</v>
      </c>
      <c r="H610" s="15" t="n">
        <f aca="false">F610+G610</f>
        <v>530.03</v>
      </c>
      <c r="I610" s="25" t="n">
        <v>530.03</v>
      </c>
      <c r="J610" s="15" t="n">
        <f aca="false">ROUND(H610-I610,2)</f>
        <v>0</v>
      </c>
      <c r="K610" s="26" t="str">
        <f aca="false">IF(ABS(J610)&lt;0.05,"OK","Verificar")</f>
        <v>OK</v>
      </c>
    </row>
    <row r="611" customFormat="false" ht="15" hidden="false" customHeight="false" outlineLevel="0" collapsed="false">
      <c r="A611" s="3" t="n">
        <v>7</v>
      </c>
      <c r="B611" s="24" t="n">
        <v>46204</v>
      </c>
      <c r="C611" s="3" t="s">
        <v>844</v>
      </c>
      <c r="D611" s="3" t="s">
        <v>440</v>
      </c>
      <c r="E611" s="3" t="n">
        <f aca="false">COUNTIF('NF x Centro de Custo'!$C$5:$C$1270,$C611)</f>
        <v>1</v>
      </c>
      <c r="F611" s="15" t="n">
        <f aca="false">SUMIFS('NF x Centro de Custo'!$F$5:$F$1270,'NF x Centro de Custo'!$C$5:$C$1270,$C611)</f>
        <v>3146.6</v>
      </c>
      <c r="G611" s="15" t="n">
        <f aca="false">SUMIFS('NF x Centro de Custo'!$G$5:$G$1270,'NF x Centro de Custo'!$C$5:$C$1270,$C611)</f>
        <v>0</v>
      </c>
      <c r="H611" s="15" t="n">
        <f aca="false">F611+G611</f>
        <v>3146.6</v>
      </c>
      <c r="I611" s="25" t="n">
        <v>3146.6</v>
      </c>
      <c r="J611" s="15" t="n">
        <f aca="false">ROUND(H611-I611,2)</f>
        <v>0</v>
      </c>
      <c r="K611" s="26" t="str">
        <f aca="false">IF(ABS(J611)&lt;0.05,"OK","Verificar")</f>
        <v>OK</v>
      </c>
    </row>
    <row r="612" customFormat="false" ht="15" hidden="false" customHeight="false" outlineLevel="0" collapsed="false">
      <c r="A612" s="3" t="n">
        <v>7</v>
      </c>
      <c r="B612" s="24" t="n">
        <v>46204</v>
      </c>
      <c r="C612" s="3" t="s">
        <v>845</v>
      </c>
      <c r="D612" s="3" t="s">
        <v>440</v>
      </c>
      <c r="E612" s="3" t="n">
        <f aca="false">COUNTIF('NF x Centro de Custo'!$C$5:$C$1270,$C612)</f>
        <v>1</v>
      </c>
      <c r="F612" s="15" t="n">
        <f aca="false">SUMIFS('NF x Centro de Custo'!$F$5:$F$1270,'NF x Centro de Custo'!$C$5:$C$1270,$C612)</f>
        <v>1563.55</v>
      </c>
      <c r="G612" s="15" t="n">
        <f aca="false">SUMIFS('NF x Centro de Custo'!$G$5:$G$1270,'NF x Centro de Custo'!$C$5:$C$1270,$C612)</f>
        <v>0</v>
      </c>
      <c r="H612" s="15" t="n">
        <f aca="false">F612+G612</f>
        <v>1563.55</v>
      </c>
      <c r="I612" s="25" t="n">
        <v>1563.55</v>
      </c>
      <c r="J612" s="15" t="n">
        <f aca="false">ROUND(H612-I612,2)</f>
        <v>0</v>
      </c>
      <c r="K612" s="26" t="str">
        <f aca="false">IF(ABS(J612)&lt;0.05,"OK","Verificar")</f>
        <v>OK</v>
      </c>
    </row>
    <row r="613" customFormat="false" ht="15" hidden="false" customHeight="false" outlineLevel="0" collapsed="false">
      <c r="A613" s="3" t="n">
        <v>7</v>
      </c>
      <c r="B613" s="24" t="n">
        <v>46204</v>
      </c>
      <c r="C613" s="3" t="s">
        <v>846</v>
      </c>
      <c r="D613" s="3" t="s">
        <v>440</v>
      </c>
      <c r="E613" s="3" t="n">
        <f aca="false">COUNTIF('NF x Centro de Custo'!$C$5:$C$1270,$C613)</f>
        <v>1</v>
      </c>
      <c r="F613" s="15" t="n">
        <f aca="false">SUMIFS('NF x Centro de Custo'!$F$5:$F$1270,'NF x Centro de Custo'!$C$5:$C$1270,$C613)</f>
        <v>972.17</v>
      </c>
      <c r="G613" s="15" t="n">
        <f aca="false">SUMIFS('NF x Centro de Custo'!$G$5:$G$1270,'NF x Centro de Custo'!$C$5:$C$1270,$C613)</f>
        <v>0</v>
      </c>
      <c r="H613" s="15" t="n">
        <f aca="false">F613+G613</f>
        <v>972.17</v>
      </c>
      <c r="I613" s="25" t="n">
        <v>972.17</v>
      </c>
      <c r="J613" s="15" t="n">
        <f aca="false">ROUND(H613-I613,2)</f>
        <v>0</v>
      </c>
      <c r="K613" s="26" t="str">
        <f aca="false">IF(ABS(J613)&lt;0.05,"OK","Verificar")</f>
        <v>OK</v>
      </c>
    </row>
    <row r="614" customFormat="false" ht="15" hidden="false" customHeight="false" outlineLevel="0" collapsed="false">
      <c r="A614" s="3" t="n">
        <v>7</v>
      </c>
      <c r="B614" s="24" t="n">
        <v>46204</v>
      </c>
      <c r="C614" s="3" t="s">
        <v>847</v>
      </c>
      <c r="D614" s="3" t="s">
        <v>440</v>
      </c>
      <c r="E614" s="3" t="n">
        <f aca="false">COUNTIF('NF x Centro de Custo'!$C$5:$C$1270,$C614)</f>
        <v>1</v>
      </c>
      <c r="F614" s="15" t="n">
        <f aca="false">SUMIFS('NF x Centro de Custo'!$F$5:$F$1270,'NF x Centro de Custo'!$C$5:$C$1270,$C614)</f>
        <v>1727.59</v>
      </c>
      <c r="G614" s="15" t="n">
        <f aca="false">SUMIFS('NF x Centro de Custo'!$G$5:$G$1270,'NF x Centro de Custo'!$C$5:$C$1270,$C614)</f>
        <v>0</v>
      </c>
      <c r="H614" s="15" t="n">
        <f aca="false">F614+G614</f>
        <v>1727.59</v>
      </c>
      <c r="I614" s="25" t="n">
        <v>1727.59</v>
      </c>
      <c r="J614" s="15" t="n">
        <f aca="false">ROUND(H614-I614,2)</f>
        <v>0</v>
      </c>
      <c r="K614" s="26" t="str">
        <f aca="false">IF(ABS(J614)&lt;0.05,"OK","Verificar")</f>
        <v>OK</v>
      </c>
    </row>
    <row r="615" customFormat="false" ht="15" hidden="false" customHeight="false" outlineLevel="0" collapsed="false">
      <c r="A615" s="3" t="n">
        <v>7</v>
      </c>
      <c r="B615" s="24" t="n">
        <v>46204</v>
      </c>
      <c r="C615" s="3" t="s">
        <v>848</v>
      </c>
      <c r="D615" s="3" t="s">
        <v>440</v>
      </c>
      <c r="E615" s="3" t="n">
        <f aca="false">COUNTIF('NF x Centro de Custo'!$C$5:$C$1270,$C615)</f>
        <v>1</v>
      </c>
      <c r="F615" s="15" t="n">
        <f aca="false">SUMIFS('NF x Centro de Custo'!$F$5:$F$1270,'NF x Centro de Custo'!$C$5:$C$1270,$C615)</f>
        <v>913.53</v>
      </c>
      <c r="G615" s="15" t="n">
        <f aca="false">SUMIFS('NF x Centro de Custo'!$G$5:$G$1270,'NF x Centro de Custo'!$C$5:$C$1270,$C615)</f>
        <v>0</v>
      </c>
      <c r="H615" s="15" t="n">
        <f aca="false">F615+G615</f>
        <v>913.53</v>
      </c>
      <c r="I615" s="25" t="n">
        <v>913.53</v>
      </c>
      <c r="J615" s="15" t="n">
        <f aca="false">ROUND(H615-I615,2)</f>
        <v>0</v>
      </c>
      <c r="K615" s="26" t="str">
        <f aca="false">IF(ABS(J615)&lt;0.05,"OK","Verificar")</f>
        <v>OK</v>
      </c>
    </row>
    <row r="616" customFormat="false" ht="15" hidden="false" customHeight="false" outlineLevel="0" collapsed="false">
      <c r="A616" s="3" t="n">
        <v>7</v>
      </c>
      <c r="B616" s="24" t="n">
        <v>46204</v>
      </c>
      <c r="C616" s="3" t="s">
        <v>849</v>
      </c>
      <c r="D616" s="3" t="s">
        <v>440</v>
      </c>
      <c r="E616" s="3" t="n">
        <f aca="false">COUNTIF('NF x Centro de Custo'!$C$5:$C$1270,$C616)</f>
        <v>1</v>
      </c>
      <c r="F616" s="15" t="n">
        <f aca="false">SUMIFS('NF x Centro de Custo'!$F$5:$F$1270,'NF x Centro de Custo'!$C$5:$C$1270,$C616)</f>
        <v>323.3</v>
      </c>
      <c r="G616" s="15" t="n">
        <f aca="false">SUMIFS('NF x Centro de Custo'!$G$5:$G$1270,'NF x Centro de Custo'!$C$5:$C$1270,$C616)</f>
        <v>0</v>
      </c>
      <c r="H616" s="15" t="n">
        <f aca="false">F616+G616</f>
        <v>323.3</v>
      </c>
      <c r="I616" s="25" t="n">
        <v>323.3</v>
      </c>
      <c r="J616" s="15" t="n">
        <f aca="false">ROUND(H616-I616,2)</f>
        <v>0</v>
      </c>
      <c r="K616" s="26" t="str">
        <f aca="false">IF(ABS(J616)&lt;0.05,"OK","Verificar")</f>
        <v>OK</v>
      </c>
    </row>
    <row r="617" customFormat="false" ht="15" hidden="false" customHeight="false" outlineLevel="0" collapsed="false">
      <c r="A617" s="3" t="n">
        <v>7</v>
      </c>
      <c r="B617" s="24" t="n">
        <v>46204</v>
      </c>
      <c r="C617" s="3" t="s">
        <v>850</v>
      </c>
      <c r="D617" s="3" t="s">
        <v>440</v>
      </c>
      <c r="E617" s="3" t="n">
        <f aca="false">COUNTIF('NF x Centro de Custo'!$C$5:$C$1270,$C617)</f>
        <v>1</v>
      </c>
      <c r="F617" s="15" t="n">
        <f aca="false">SUMIFS('NF x Centro de Custo'!$F$5:$F$1270,'NF x Centro de Custo'!$C$5:$C$1270,$C617)</f>
        <v>454.13</v>
      </c>
      <c r="G617" s="15" t="n">
        <f aca="false">SUMIFS('NF x Centro de Custo'!$G$5:$G$1270,'NF x Centro de Custo'!$C$5:$C$1270,$C617)</f>
        <v>0</v>
      </c>
      <c r="H617" s="15" t="n">
        <f aca="false">F617+G617</f>
        <v>454.13</v>
      </c>
      <c r="I617" s="25" t="n">
        <v>454.13</v>
      </c>
      <c r="J617" s="15" t="n">
        <f aca="false">ROUND(H617-I617,2)</f>
        <v>0</v>
      </c>
      <c r="K617" s="26" t="str">
        <f aca="false">IF(ABS(J617)&lt;0.05,"OK","Verificar")</f>
        <v>OK</v>
      </c>
    </row>
    <row r="618" customFormat="false" ht="15" hidden="false" customHeight="false" outlineLevel="0" collapsed="false">
      <c r="A618" s="3" t="n">
        <v>7</v>
      </c>
      <c r="B618" s="24" t="n">
        <v>46204</v>
      </c>
      <c r="C618" s="3" t="s">
        <v>851</v>
      </c>
      <c r="D618" s="3" t="s">
        <v>440</v>
      </c>
      <c r="E618" s="3" t="n">
        <f aca="false">COUNTIF('NF x Centro de Custo'!$C$5:$C$1270,$C618)</f>
        <v>1</v>
      </c>
      <c r="F618" s="15" t="n">
        <f aca="false">SUMIFS('NF x Centro de Custo'!$F$5:$F$1270,'NF x Centro de Custo'!$C$5:$C$1270,$C618)</f>
        <v>400.5</v>
      </c>
      <c r="G618" s="15" t="n">
        <f aca="false">SUMIFS('NF x Centro de Custo'!$G$5:$G$1270,'NF x Centro de Custo'!$C$5:$C$1270,$C618)</f>
        <v>0</v>
      </c>
      <c r="H618" s="15" t="n">
        <f aca="false">F618+G618</f>
        <v>400.5</v>
      </c>
      <c r="I618" s="25" t="n">
        <v>400.5</v>
      </c>
      <c r="J618" s="15" t="n">
        <f aca="false">ROUND(H618-I618,2)</f>
        <v>0</v>
      </c>
      <c r="K618" s="26" t="str">
        <f aca="false">IF(ABS(J618)&lt;0.05,"OK","Verificar")</f>
        <v>OK</v>
      </c>
    </row>
    <row r="619" customFormat="false" ht="15" hidden="false" customHeight="false" outlineLevel="0" collapsed="false">
      <c r="A619" s="3" t="n">
        <v>7</v>
      </c>
      <c r="B619" s="24" t="n">
        <v>46204</v>
      </c>
      <c r="C619" s="3" t="s">
        <v>852</v>
      </c>
      <c r="D619" s="3" t="s">
        <v>440</v>
      </c>
      <c r="E619" s="3" t="n">
        <f aca="false">COUNTIF('NF x Centro de Custo'!$C$5:$C$1270,$C619)</f>
        <v>1</v>
      </c>
      <c r="F619" s="15" t="n">
        <f aca="false">SUMIFS('NF x Centro de Custo'!$F$5:$F$1270,'NF x Centro de Custo'!$C$5:$C$1270,$C619)</f>
        <v>728.6</v>
      </c>
      <c r="G619" s="15" t="n">
        <f aca="false">SUMIFS('NF x Centro de Custo'!$G$5:$G$1270,'NF x Centro de Custo'!$C$5:$C$1270,$C619)</f>
        <v>0</v>
      </c>
      <c r="H619" s="15" t="n">
        <f aca="false">F619+G619</f>
        <v>728.6</v>
      </c>
      <c r="I619" s="25" t="n">
        <v>728.6</v>
      </c>
      <c r="J619" s="15" t="n">
        <f aca="false">ROUND(H619-I619,2)</f>
        <v>0</v>
      </c>
      <c r="K619" s="26" t="str">
        <f aca="false">IF(ABS(J619)&lt;0.05,"OK","Verificar")</f>
        <v>OK</v>
      </c>
    </row>
    <row r="620" customFormat="false" ht="15" hidden="false" customHeight="false" outlineLevel="0" collapsed="false">
      <c r="A620" s="3" t="n">
        <v>7</v>
      </c>
      <c r="B620" s="24" t="n">
        <v>46204</v>
      </c>
      <c r="C620" s="3" t="s">
        <v>853</v>
      </c>
      <c r="D620" s="3" t="s">
        <v>440</v>
      </c>
      <c r="E620" s="3" t="n">
        <f aca="false">COUNTIF('NF x Centro de Custo'!$C$5:$C$1270,$C620)</f>
        <v>1</v>
      </c>
      <c r="F620" s="15" t="n">
        <f aca="false">SUMIFS('NF x Centro de Custo'!$F$5:$F$1270,'NF x Centro de Custo'!$C$5:$C$1270,$C620)</f>
        <v>954.49</v>
      </c>
      <c r="G620" s="15" t="n">
        <f aca="false">SUMIFS('NF x Centro de Custo'!$G$5:$G$1270,'NF x Centro de Custo'!$C$5:$C$1270,$C620)</f>
        <v>0</v>
      </c>
      <c r="H620" s="15" t="n">
        <f aca="false">F620+G620</f>
        <v>954.49</v>
      </c>
      <c r="I620" s="25" t="n">
        <v>954.49</v>
      </c>
      <c r="J620" s="15" t="n">
        <f aca="false">ROUND(H620-I620,2)</f>
        <v>0</v>
      </c>
      <c r="K620" s="26" t="str">
        <f aca="false">IF(ABS(J620)&lt;0.05,"OK","Verificar")</f>
        <v>OK</v>
      </c>
    </row>
    <row r="621" customFormat="false" ht="15" hidden="false" customHeight="false" outlineLevel="0" collapsed="false">
      <c r="A621" s="3" t="n">
        <v>7</v>
      </c>
      <c r="B621" s="24" t="n">
        <v>46204</v>
      </c>
      <c r="C621" s="3" t="s">
        <v>854</v>
      </c>
      <c r="D621" s="3" t="s">
        <v>440</v>
      </c>
      <c r="E621" s="3" t="n">
        <f aca="false">COUNTIF('NF x Centro de Custo'!$C$5:$C$1270,$C621)</f>
        <v>1</v>
      </c>
      <c r="F621" s="15" t="n">
        <f aca="false">SUMIFS('NF x Centro de Custo'!$F$5:$F$1270,'NF x Centro de Custo'!$C$5:$C$1270,$C621)</f>
        <v>931.49</v>
      </c>
      <c r="G621" s="15" t="n">
        <f aca="false">SUMIFS('NF x Centro de Custo'!$G$5:$G$1270,'NF x Centro de Custo'!$C$5:$C$1270,$C621)</f>
        <v>0</v>
      </c>
      <c r="H621" s="15" t="n">
        <f aca="false">F621+G621</f>
        <v>931.49</v>
      </c>
      <c r="I621" s="25" t="n">
        <v>931.49</v>
      </c>
      <c r="J621" s="15" t="n">
        <f aca="false">ROUND(H621-I621,2)</f>
        <v>0</v>
      </c>
      <c r="K621" s="26" t="str">
        <f aca="false">IF(ABS(J621)&lt;0.05,"OK","Verificar")</f>
        <v>OK</v>
      </c>
    </row>
    <row r="622" customFormat="false" ht="15" hidden="false" customHeight="false" outlineLevel="0" collapsed="false">
      <c r="A622" s="3" t="n">
        <v>7</v>
      </c>
      <c r="B622" s="24" t="n">
        <v>46204</v>
      </c>
      <c r="C622" s="3" t="s">
        <v>855</v>
      </c>
      <c r="D622" s="3" t="s">
        <v>440</v>
      </c>
      <c r="E622" s="3" t="n">
        <f aca="false">COUNTIF('NF x Centro de Custo'!$C$5:$C$1270,$C622)</f>
        <v>1</v>
      </c>
      <c r="F622" s="15" t="n">
        <f aca="false">SUMIFS('NF x Centro de Custo'!$F$5:$F$1270,'NF x Centro de Custo'!$C$5:$C$1270,$C622)</f>
        <v>995.89</v>
      </c>
      <c r="G622" s="15" t="n">
        <f aca="false">SUMIFS('NF x Centro de Custo'!$G$5:$G$1270,'NF x Centro de Custo'!$C$5:$C$1270,$C622)</f>
        <v>0</v>
      </c>
      <c r="H622" s="15" t="n">
        <f aca="false">F622+G622</f>
        <v>995.89</v>
      </c>
      <c r="I622" s="25" t="n">
        <v>995.89</v>
      </c>
      <c r="J622" s="15" t="n">
        <f aca="false">ROUND(H622-I622,2)</f>
        <v>0</v>
      </c>
      <c r="K622" s="26" t="str">
        <f aca="false">IF(ABS(J622)&lt;0.05,"OK","Verificar")</f>
        <v>OK</v>
      </c>
    </row>
    <row r="623" customFormat="false" ht="15" hidden="false" customHeight="false" outlineLevel="0" collapsed="false">
      <c r="A623" s="3" t="n">
        <v>7</v>
      </c>
      <c r="B623" s="24" t="n">
        <v>46204</v>
      </c>
      <c r="C623" s="3" t="s">
        <v>856</v>
      </c>
      <c r="D623" s="3" t="s">
        <v>471</v>
      </c>
      <c r="E623" s="3" t="n">
        <f aca="false">COUNTIF('NF x Centro de Custo'!$C$5:$C$1270,$C623)</f>
        <v>1</v>
      </c>
      <c r="F623" s="15" t="n">
        <f aca="false">SUMIFS('NF x Centro de Custo'!$F$5:$F$1270,'NF x Centro de Custo'!$C$5:$C$1270,$C623)</f>
        <v>308.34</v>
      </c>
      <c r="G623" s="15" t="n">
        <f aca="false">SUMIFS('NF x Centro de Custo'!$G$5:$G$1270,'NF x Centro de Custo'!$C$5:$C$1270,$C623)</f>
        <v>0</v>
      </c>
      <c r="H623" s="15" t="n">
        <f aca="false">F623+G623</f>
        <v>308.34</v>
      </c>
      <c r="I623" s="25" t="n">
        <v>308.34</v>
      </c>
      <c r="J623" s="15" t="n">
        <f aca="false">ROUND(H623-I623,2)</f>
        <v>0</v>
      </c>
      <c r="K623" s="26" t="str">
        <f aca="false">IF(ABS(J623)&lt;0.05,"OK","Verificar")</f>
        <v>OK</v>
      </c>
    </row>
    <row r="624" customFormat="false" ht="15" hidden="false" customHeight="false" outlineLevel="0" collapsed="false">
      <c r="A624" s="3" t="n">
        <v>7</v>
      </c>
      <c r="B624" s="24" t="n">
        <v>46204</v>
      </c>
      <c r="C624" s="3" t="s">
        <v>857</v>
      </c>
      <c r="D624" s="3" t="s">
        <v>471</v>
      </c>
      <c r="E624" s="3" t="n">
        <f aca="false">COUNTIF('NF x Centro de Custo'!$C$5:$C$1270,$C624)</f>
        <v>7</v>
      </c>
      <c r="F624" s="15" t="n">
        <f aca="false">SUMIFS('NF x Centro de Custo'!$F$5:$F$1270,'NF x Centro de Custo'!$C$5:$C$1270,$C624)</f>
        <v>45345</v>
      </c>
      <c r="G624" s="15" t="n">
        <f aca="false">SUMIFS('NF x Centro de Custo'!$G$5:$G$1270,'NF x Centro de Custo'!$C$5:$C$1270,$C624)</f>
        <v>0</v>
      </c>
      <c r="H624" s="15" t="n">
        <f aca="false">F624+G624</f>
        <v>45345</v>
      </c>
      <c r="I624" s="25" t="n">
        <v>45345</v>
      </c>
      <c r="J624" s="15" t="n">
        <f aca="false">ROUND(H624-I624,2)</f>
        <v>0</v>
      </c>
      <c r="K624" s="26" t="str">
        <f aca="false">IF(ABS(J624)&lt;0.05,"OK","Verificar")</f>
        <v>OK</v>
      </c>
    </row>
    <row r="625" customFormat="false" ht="15" hidden="false" customHeight="false" outlineLevel="0" collapsed="false">
      <c r="A625" s="3" t="n">
        <v>7</v>
      </c>
      <c r="B625" s="24" t="n">
        <v>46204</v>
      </c>
      <c r="C625" s="3" t="s">
        <v>858</v>
      </c>
      <c r="D625" s="3" t="s">
        <v>471</v>
      </c>
      <c r="E625" s="3" t="n">
        <f aca="false">COUNTIF('NF x Centro de Custo'!$C$5:$C$1270,$C625)</f>
        <v>3</v>
      </c>
      <c r="F625" s="15" t="n">
        <f aca="false">SUMIFS('NF x Centro de Custo'!$F$5:$F$1270,'NF x Centro de Custo'!$C$5:$C$1270,$C625)</f>
        <v>5310.81</v>
      </c>
      <c r="G625" s="15" t="n">
        <f aca="false">SUMIFS('NF x Centro de Custo'!$G$5:$G$1270,'NF x Centro de Custo'!$C$5:$C$1270,$C625)</f>
        <v>0</v>
      </c>
      <c r="H625" s="15" t="n">
        <f aca="false">F625+G625</f>
        <v>5310.81</v>
      </c>
      <c r="I625" s="25" t="n">
        <v>5310.81</v>
      </c>
      <c r="J625" s="15" t="n">
        <f aca="false">ROUND(H625-I625,2)</f>
        <v>0</v>
      </c>
      <c r="K625" s="26" t="str">
        <f aca="false">IF(ABS(J625)&lt;0.05,"OK","Verificar")</f>
        <v>OK</v>
      </c>
    </row>
    <row r="626" customFormat="false" ht="15" hidden="false" customHeight="false" outlineLevel="0" collapsed="false">
      <c r="A626" s="3" t="n">
        <v>7</v>
      </c>
      <c r="B626" s="24" t="n">
        <v>46204</v>
      </c>
      <c r="C626" s="3" t="s">
        <v>859</v>
      </c>
      <c r="D626" s="3" t="s">
        <v>471</v>
      </c>
      <c r="E626" s="3" t="n">
        <f aca="false">COUNTIF('NF x Centro de Custo'!$C$5:$C$1270,$C626)</f>
        <v>15</v>
      </c>
      <c r="F626" s="15" t="n">
        <f aca="false">SUMIFS('NF x Centro de Custo'!$F$5:$F$1270,'NF x Centro de Custo'!$C$5:$C$1270,$C626)</f>
        <v>30740.69</v>
      </c>
      <c r="G626" s="15" t="n">
        <f aca="false">SUMIFS('NF x Centro de Custo'!$G$5:$G$1270,'NF x Centro de Custo'!$C$5:$C$1270,$C626)</f>
        <v>0</v>
      </c>
      <c r="H626" s="15" t="n">
        <f aca="false">F626+G626</f>
        <v>30740.69</v>
      </c>
      <c r="I626" s="25" t="n">
        <v>30740.69</v>
      </c>
      <c r="J626" s="15" t="n">
        <f aca="false">ROUND(H626-I626,2)</f>
        <v>0</v>
      </c>
      <c r="K626" s="26" t="str">
        <f aca="false">IF(ABS(J626)&lt;0.05,"OK","Verificar")</f>
        <v>OK</v>
      </c>
    </row>
    <row r="627" customFormat="false" ht="15" hidden="false" customHeight="false" outlineLevel="0" collapsed="false">
      <c r="A627" s="3" t="n">
        <v>7</v>
      </c>
      <c r="B627" s="24" t="n">
        <v>46204</v>
      </c>
      <c r="C627" s="3" t="s">
        <v>860</v>
      </c>
      <c r="D627" s="3" t="s">
        <v>471</v>
      </c>
      <c r="E627" s="3" t="n">
        <f aca="false">COUNTIF('NF x Centro de Custo'!$C$5:$C$1270,$C627)</f>
        <v>20</v>
      </c>
      <c r="F627" s="15" t="n">
        <f aca="false">SUMIFS('NF x Centro de Custo'!$F$5:$F$1270,'NF x Centro de Custo'!$C$5:$C$1270,$C627)</f>
        <v>183991.5</v>
      </c>
      <c r="G627" s="15" t="n">
        <f aca="false">SUMIFS('NF x Centro de Custo'!$G$5:$G$1270,'NF x Centro de Custo'!$C$5:$C$1270,$C627)</f>
        <v>0</v>
      </c>
      <c r="H627" s="15" t="n">
        <f aca="false">F627+G627</f>
        <v>183991.5</v>
      </c>
      <c r="I627" s="25" t="n">
        <v>183991.5</v>
      </c>
      <c r="J627" s="15" t="n">
        <f aca="false">ROUND(H627-I627,2)</f>
        <v>0</v>
      </c>
      <c r="K627" s="26" t="str">
        <f aca="false">IF(ABS(J627)&lt;0.05,"OK","Verificar")</f>
        <v>OK</v>
      </c>
    </row>
    <row r="628" customFormat="false" ht="15" hidden="false" customHeight="false" outlineLevel="0" collapsed="false">
      <c r="A628" s="3" t="n">
        <v>7</v>
      </c>
      <c r="B628" s="24" t="n">
        <v>46204</v>
      </c>
      <c r="C628" s="3" t="s">
        <v>861</v>
      </c>
      <c r="D628" s="3" t="s">
        <v>440</v>
      </c>
      <c r="E628" s="3" t="n">
        <f aca="false">COUNTIF('NF x Centro de Custo'!$C$5:$C$1270,$C628)</f>
        <v>1</v>
      </c>
      <c r="F628" s="15" t="n">
        <f aca="false">SUMIFS('NF x Centro de Custo'!$F$5:$F$1270,'NF x Centro de Custo'!$C$5:$C$1270,$C628)</f>
        <v>743.59</v>
      </c>
      <c r="G628" s="15" t="n">
        <f aca="false">SUMIFS('NF x Centro de Custo'!$G$5:$G$1270,'NF x Centro de Custo'!$C$5:$C$1270,$C628)</f>
        <v>0</v>
      </c>
      <c r="H628" s="15" t="n">
        <f aca="false">F628+G628</f>
        <v>743.59</v>
      </c>
      <c r="I628" s="25" t="n">
        <v>743.59</v>
      </c>
      <c r="J628" s="15" t="n">
        <f aca="false">ROUND(H628-I628,2)</f>
        <v>0</v>
      </c>
      <c r="K628" s="26" t="str">
        <f aca="false">IF(ABS(J628)&lt;0.05,"OK","Verificar")</f>
        <v>OK</v>
      </c>
    </row>
    <row r="629" customFormat="false" ht="15" hidden="false" customHeight="false" outlineLevel="0" collapsed="false">
      <c r="A629" s="27"/>
      <c r="B629" s="27"/>
      <c r="C629" s="22" t="s">
        <v>196</v>
      </c>
      <c r="D629" s="27"/>
      <c r="E629" s="27"/>
      <c r="F629" s="23" t="n">
        <f aca="false">ROUND(SUM('NF x Centro de Custo'!$F$5:$F$1270)-SUM(F5:F628),2)</f>
        <v>0</v>
      </c>
      <c r="G629" s="23" t="n">
        <f aca="false">ROUND(SUM('NF x Centro de Custo'!$G$5:$G$1270)-SUM(G5:G628),2)</f>
        <v>0</v>
      </c>
      <c r="H629" s="23" t="n">
        <f aca="false">F629+G629</f>
        <v>0</v>
      </c>
      <c r="I629" s="27"/>
      <c r="J629" s="27"/>
      <c r="K629" s="28" t="str">
        <f aca="false">IF(ABS(H629)&lt;0.05,"OK","Verificar")</f>
        <v>OK</v>
      </c>
    </row>
    <row r="630" customFormat="false" ht="15" hidden="false" customHeight="false" outlineLevel="0" collapsed="false">
      <c r="A630" s="29"/>
      <c r="B630" s="29"/>
      <c r="C630" s="17" t="s">
        <v>197</v>
      </c>
      <c r="D630" s="29"/>
      <c r="E630" s="29"/>
      <c r="F630" s="18" t="n">
        <f aca="false">SUM(F5:F629)</f>
        <v>25546571.3</v>
      </c>
      <c r="G630" s="18" t="n">
        <f aca="false">SUM(G5:G629)</f>
        <v>7545617.80883337</v>
      </c>
      <c r="H630" s="18" t="n">
        <f aca="false">SUM(H5:H629)</f>
        <v>33092189.1088334</v>
      </c>
      <c r="I630" s="18" t="n">
        <f aca="false">SUM(I5:I629)</f>
        <v>33555126.6508364</v>
      </c>
      <c r="J630" s="18" t="n">
        <f aca="false">SUM(J5:J629)</f>
        <v>-462937.54</v>
      </c>
      <c r="K630" s="30" t="str">
        <f aca="false">COUNTIF(K5:K629,"Verificar")&amp;" a verificar"</f>
        <v>2 a verificar</v>
      </c>
    </row>
    <row r="632" customFormat="false" ht="15" hidden="false" customHeight="false" outlineLevel="0" collapsed="false">
      <c r="C632" s="7" t="s">
        <v>862</v>
      </c>
    </row>
    <row r="633" customFormat="false" ht="15" hidden="false" customHeight="false" outlineLevel="0" collapsed="false">
      <c r="C633" s="7" t="s">
        <v>863</v>
      </c>
    </row>
  </sheetData>
  <autoFilter ref="A4:K6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63"/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9" t="s">
        <v>10</v>
      </c>
    </row>
    <row r="2" customFormat="false" ht="15" hidden="false" customHeight="false" outlineLevel="0" collapsed="false">
      <c r="A2" s="7" t="s">
        <v>864</v>
      </c>
    </row>
    <row r="4" customFormat="false" ht="15" hidden="false" customHeight="false" outlineLevel="0" collapsed="false">
      <c r="A4" s="2" t="s">
        <v>865</v>
      </c>
      <c r="B4" s="31" t="s">
        <v>421</v>
      </c>
      <c r="C4" s="7" t="s">
        <v>866</v>
      </c>
    </row>
    <row r="6" customFormat="false" ht="15" hidden="false" customHeight="false" outlineLevel="0" collapsed="false">
      <c r="A6" s="8" t="s">
        <v>201</v>
      </c>
      <c r="B6" s="24" t="n">
        <f aca="false">IFERROR(INDEX('Notas Fiscais'!$B$5:$B$20000,MATCH($B$4,'Notas Fiscais'!$C$5:$C$20000,0)),"")</f>
        <v>46082</v>
      </c>
      <c r="C6" s="8" t="s">
        <v>867</v>
      </c>
      <c r="D6" s="32" t="n">
        <f aca="false">IFERROR(INDEX('Notas Fiscais'!$H$5:$H$20000,MATCH($B$4,'Notas Fiscais'!$C$5:$C$20000,0)),"")</f>
        <v>2432592.76</v>
      </c>
    </row>
    <row r="7" customFormat="false" ht="15" hidden="false" customHeight="false" outlineLevel="0" collapsed="false">
      <c r="A7" s="8" t="s">
        <v>203</v>
      </c>
      <c r="B7" s="33" t="str">
        <f aca="false">IFERROR(INDEX('Notas Fiscais'!$D$5:$D$20000,MATCH($B$4,'Notas Fiscais'!$C$5:$C$20000,0)),"")</f>
        <v>448</v>
      </c>
      <c r="C7" s="8" t="s">
        <v>868</v>
      </c>
      <c r="D7" s="34" t="n">
        <f aca="false">IFERROR(INDEX('Notas Fiscais'!$I$5:$I$20000,MATCH($B$4,'Notas Fiscais'!$C$5:$C$20000,0)),"")</f>
        <v>2432592.76</v>
      </c>
    </row>
    <row r="8" customFormat="false" ht="15" hidden="false" customHeight="false" outlineLevel="0" collapsed="false">
      <c r="A8" s="8" t="s">
        <v>84</v>
      </c>
      <c r="B8" s="35" t="n">
        <f aca="false">IFERROR(INDEX('Notas Fiscais'!$E$5:$E$20000,MATCH($B$4,'Notas Fiscais'!$C$5:$C$20000,0)),"")</f>
        <v>14</v>
      </c>
      <c r="C8" s="8" t="s">
        <v>869</v>
      </c>
      <c r="D8" s="34" t="n">
        <f aca="false">IFERROR(INDEX('Notas Fiscais'!$J$5:$J$20000,MATCH($B$4,'Notas Fiscais'!$C$5:$C$20000,0)),"")</f>
        <v>0</v>
      </c>
    </row>
    <row r="9" customFormat="false" ht="15" hidden="false" customHeight="false" outlineLevel="0" collapsed="false">
      <c r="A9" s="8" t="s">
        <v>870</v>
      </c>
      <c r="B9" s="34" t="n">
        <f aca="false">IFERROR(INDEX('Notas Fiscais'!$F$5:$F$20000,MATCH($B$4,'Notas Fiscais'!$C$5:$C$20000,0)),"")</f>
        <v>1798183.53</v>
      </c>
      <c r="C9" s="8" t="s">
        <v>210</v>
      </c>
      <c r="D9" s="36" t="str">
        <f aca="false">IFERROR(INDEX('Notas Fiscais'!$K$5:$K$20000,MATCH($B$4,'Notas Fiscais'!$C$5:$C$20000,0)),"")</f>
        <v>OK</v>
      </c>
    </row>
    <row r="10" customFormat="false" ht="15" hidden="false" customHeight="false" outlineLevel="0" collapsed="false">
      <c r="A10" s="8" t="s">
        <v>82</v>
      </c>
      <c r="B10" s="34" t="n">
        <f aca="false">IFERROR(INDEX('Notas Fiscais'!$G$5:$G$20000,MATCH($B$4,'Notas Fiscais'!$C$5:$C$20000,0)),"")</f>
        <v>634409.23</v>
      </c>
    </row>
    <row r="12" customFormat="false" ht="15" hidden="false" customHeight="false" outlineLevel="0" collapsed="false">
      <c r="A12" s="4" t="s">
        <v>871</v>
      </c>
    </row>
    <row r="13" customFormat="false" ht="25.5" hidden="false" customHeight="true" outlineLevel="0" collapsed="false">
      <c r="A13" s="13" t="s">
        <v>872</v>
      </c>
      <c r="B13" s="13" t="s">
        <v>69</v>
      </c>
      <c r="C13" s="14" t="s">
        <v>205</v>
      </c>
      <c r="D13" s="14" t="s">
        <v>206</v>
      </c>
      <c r="E13" s="14" t="s">
        <v>96</v>
      </c>
      <c r="F13" s="14" t="s">
        <v>873</v>
      </c>
    </row>
    <row r="14" customFormat="false" ht="15" hidden="false" customHeight="false" outlineLevel="0" collapsed="false">
      <c r="A14" s="37" t="n">
        <v>1</v>
      </c>
      <c r="B14" s="3" t="str">
        <f aca="false">IFERROR(INDEX('NF x Centro de Custo'!$E$5:$E$20000,MATCH($B$4&amp;"|"&amp;$A14,'NF x Centro de Custo'!$J$5:$J$20000,0)),"")</f>
        <v>605 - ADM. MANUTENÇÃO DE SERV. PREDIAIS P. GRAF</v>
      </c>
      <c r="C14" s="15" t="n">
        <f aca="false">IFERROR(INDEX('NF x Centro de Custo'!$F$5:$F$20000,MATCH($B$4&amp;"|"&amp;$A14,'NF x Centro de Custo'!$J$5:$J$20000,0)),0)</f>
        <v>40301.54</v>
      </c>
      <c r="D14" s="15" t="n">
        <f aca="false">IFERROR(INDEX('NF x Centro de Custo'!$G$5:$G$20000,MATCH($B$4&amp;"|"&amp;$A14,'NF x Centro de Custo'!$J$5:$J$20000,0)),0)</f>
        <v>14203.69</v>
      </c>
      <c r="E14" s="15" t="n">
        <f aca="false">IFERROR(INDEX('NF x Centro de Custo'!$H$5:$H$20000,MATCH($B$4&amp;"|"&amp;$A14,'NF x Centro de Custo'!$J$5:$J$20000,0)),0)</f>
        <v>54505.23</v>
      </c>
      <c r="F14" s="16" t="n">
        <f aca="false">IFERROR(E14/$D$6,"")</f>
        <v>0.0224062288173545</v>
      </c>
    </row>
    <row r="15" customFormat="false" ht="15" hidden="false" customHeight="false" outlineLevel="0" collapsed="false">
      <c r="A15" s="37" t="n">
        <v>2</v>
      </c>
      <c r="B15" s="3" t="str">
        <f aca="false">IFERROR(INDEX('NF x Centro de Custo'!$E$5:$E$20000,MATCH($B$4&amp;"|"&amp;$A15,'NF x Centro de Custo'!$J$5:$J$20000,0)),"")</f>
        <v>610 - CONTROLE DE QUALIDADE - PQ. GRÁFICO</v>
      </c>
      <c r="C15" s="15" t="n">
        <f aca="false">IFERROR(INDEX('NF x Centro de Custo'!$F$5:$F$20000,MATCH($B$4&amp;"|"&amp;$A15,'NF x Centro de Custo'!$J$5:$J$20000,0)),0)</f>
        <v>36895.99</v>
      </c>
      <c r="D15" s="15" t="n">
        <f aca="false">IFERROR(INDEX('NF x Centro de Custo'!$G$5:$G$20000,MATCH($B$4&amp;"|"&amp;$A15,'NF x Centro de Custo'!$J$5:$J$20000,0)),0)</f>
        <v>13040.49</v>
      </c>
      <c r="E15" s="15" t="n">
        <f aca="false">IFERROR(INDEX('NF x Centro de Custo'!$H$5:$H$20000,MATCH($B$4&amp;"|"&amp;$A15,'NF x Centro de Custo'!$J$5:$J$20000,0)),0)</f>
        <v>49936.48</v>
      </c>
      <c r="F15" s="16" t="n">
        <f aca="false">IFERROR(E15/$D$6,"")</f>
        <v>0.0205280887212704</v>
      </c>
    </row>
    <row r="16" customFormat="false" ht="15" hidden="false" customHeight="false" outlineLevel="0" collapsed="false">
      <c r="A16" s="37" t="n">
        <v>3</v>
      </c>
      <c r="B16" s="3" t="str">
        <f aca="false">IFERROR(INDEX('NF x Centro de Custo'!$E$5:$E$20000,MATCH($B$4&amp;"|"&amp;$A16,'NF x Centro de Custo'!$J$5:$J$20000,0)),"")</f>
        <v>650 - ROTATIVA DIA</v>
      </c>
      <c r="C16" s="15" t="n">
        <f aca="false">IFERROR(INDEX('NF x Centro de Custo'!$F$5:$F$20000,MATCH($B$4&amp;"|"&amp;$A16,'NF x Centro de Custo'!$J$5:$J$20000,0)),0)</f>
        <v>31301.01</v>
      </c>
      <c r="D16" s="15" t="n">
        <f aca="false">IFERROR(INDEX('NF x Centro de Custo'!$G$5:$G$20000,MATCH($B$4&amp;"|"&amp;$A16,'NF x Centro de Custo'!$J$5:$J$20000,0)),0)</f>
        <v>11221.8</v>
      </c>
      <c r="E16" s="15" t="n">
        <f aca="false">IFERROR(INDEX('NF x Centro de Custo'!$H$5:$H$20000,MATCH($B$4&amp;"|"&amp;$A16,'NF x Centro de Custo'!$J$5:$J$20000,0)),0)</f>
        <v>42522.81</v>
      </c>
      <c r="F16" s="16" t="n">
        <f aca="false">IFERROR(E16/$D$6,"")</f>
        <v>0.0174804474876428</v>
      </c>
    </row>
    <row r="17" customFormat="false" ht="15" hidden="false" customHeight="false" outlineLevel="0" collapsed="false">
      <c r="A17" s="37" t="n">
        <v>4</v>
      </c>
      <c r="B17" s="3" t="str">
        <f aca="false">IFERROR(INDEX('NF x Centro de Custo'!$E$5:$E$20000,MATCH($B$4&amp;"|"&amp;$A17,'NF x Centro de Custo'!$J$5:$J$20000,0)),"")</f>
        <v>650 - ROTATIVA NOITE</v>
      </c>
      <c r="C17" s="15" t="n">
        <f aca="false">IFERROR(INDEX('NF x Centro de Custo'!$F$5:$F$20000,MATCH($B$4&amp;"|"&amp;$A17,'NF x Centro de Custo'!$J$5:$J$20000,0)),0)</f>
        <v>55052.13</v>
      </c>
      <c r="D17" s="15" t="n">
        <f aca="false">IFERROR(INDEX('NF x Centro de Custo'!$G$5:$G$20000,MATCH($B$4&amp;"|"&amp;$A17,'NF x Centro de Custo'!$J$5:$J$20000,0)),0)</f>
        <v>19319.25</v>
      </c>
      <c r="E17" s="15" t="n">
        <f aca="false">IFERROR(INDEX('NF x Centro de Custo'!$H$5:$H$20000,MATCH($B$4&amp;"|"&amp;$A17,'NF x Centro de Custo'!$J$5:$J$20000,0)),0)</f>
        <v>74371.38</v>
      </c>
      <c r="F17" s="16" t="n">
        <f aca="false">IFERROR(E17/$D$6,"")</f>
        <v>0.0305728855330475</v>
      </c>
    </row>
    <row r="18" customFormat="false" ht="15" hidden="false" customHeight="false" outlineLevel="0" collapsed="false">
      <c r="A18" s="37" t="n">
        <v>5</v>
      </c>
      <c r="B18" s="3" t="str">
        <f aca="false">IFERROR(INDEX('NF x Centro de Custo'!$E$5:$E$20000,MATCH($B$4&amp;"|"&amp;$A18,'NF x Centro de Custo'!$J$5:$J$20000,0)),"")</f>
        <v>650 - ROTATIVA TARDE</v>
      </c>
      <c r="C18" s="15" t="n">
        <f aca="false">IFERROR(INDEX('NF x Centro de Custo'!$F$5:$F$20000,MATCH($B$4&amp;"|"&amp;$A18,'NF x Centro de Custo'!$J$5:$J$20000,0)),0)</f>
        <v>45415.76</v>
      </c>
      <c r="D18" s="15" t="n">
        <f aca="false">IFERROR(INDEX('NF x Centro de Custo'!$G$5:$G$20000,MATCH($B$4&amp;"|"&amp;$A18,'NF x Centro de Custo'!$J$5:$J$20000,0)),0)</f>
        <v>16089.3</v>
      </c>
      <c r="E18" s="15" t="n">
        <f aca="false">IFERROR(INDEX('NF x Centro de Custo'!$H$5:$H$20000,MATCH($B$4&amp;"|"&amp;$A18,'NF x Centro de Custo'!$J$5:$J$20000,0)),0)</f>
        <v>61505.06</v>
      </c>
      <c r="F18" s="16" t="n">
        <f aca="false">IFERROR(E18/$D$6,"")</f>
        <v>0.0252837470419833</v>
      </c>
    </row>
    <row r="19" customFormat="false" ht="15" hidden="false" customHeight="false" outlineLevel="0" collapsed="false">
      <c r="A19" s="37" t="n">
        <v>6</v>
      </c>
      <c r="B19" s="3" t="str">
        <f aca="false">IFERROR(INDEX('NF x Centro de Custo'!$E$5:$E$20000,MATCH($B$4&amp;"|"&amp;$A19,'NF x Centro de Custo'!$J$5:$J$20000,0)),"")</f>
        <v>660 - ACABAMENTO DIA</v>
      </c>
      <c r="C19" s="15" t="n">
        <f aca="false">IFERROR(INDEX('NF x Centro de Custo'!$F$5:$F$20000,MATCH($B$4&amp;"|"&amp;$A19,'NF x Centro de Custo'!$J$5:$J$20000,0)),0)</f>
        <v>140654.4</v>
      </c>
      <c r="D19" s="15" t="n">
        <f aca="false">IFERROR(INDEX('NF x Centro de Custo'!$G$5:$G$20000,MATCH($B$4&amp;"|"&amp;$A19,'NF x Centro de Custo'!$J$5:$J$20000,0)),0)</f>
        <v>49475.37</v>
      </c>
      <c r="E19" s="15" t="n">
        <f aca="false">IFERROR(INDEX('NF x Centro de Custo'!$H$5:$H$20000,MATCH($B$4&amp;"|"&amp;$A19,'NF x Centro de Custo'!$J$5:$J$20000,0)),0)</f>
        <v>190129.77</v>
      </c>
      <c r="F19" s="16" t="n">
        <f aca="false">IFERROR(E19/$D$6,"")</f>
        <v>0.078159309328866</v>
      </c>
    </row>
    <row r="20" customFormat="false" ht="15" hidden="false" customHeight="false" outlineLevel="0" collapsed="false">
      <c r="A20" s="37" t="n">
        <v>7</v>
      </c>
      <c r="B20" s="3" t="str">
        <f aca="false">IFERROR(INDEX('NF x Centro de Custo'!$E$5:$E$20000,MATCH($B$4&amp;"|"&amp;$A20,'NF x Centro de Custo'!$J$5:$J$20000,0)),"")</f>
        <v>660 - ACABAMENTO NOITE</v>
      </c>
      <c r="C20" s="15" t="n">
        <f aca="false">IFERROR(INDEX('NF x Centro de Custo'!$F$5:$F$20000,MATCH($B$4&amp;"|"&amp;$A20,'NF x Centro de Custo'!$J$5:$J$20000,0)),0)</f>
        <v>146881.64</v>
      </c>
      <c r="D20" s="15" t="n">
        <f aca="false">IFERROR(INDEX('NF x Centro de Custo'!$G$5:$G$20000,MATCH($B$4&amp;"|"&amp;$A20,'NF x Centro de Custo'!$J$5:$J$20000,0)),0)</f>
        <v>51592.66</v>
      </c>
      <c r="E20" s="15" t="n">
        <f aca="false">IFERROR(INDEX('NF x Centro de Custo'!$H$5:$H$20000,MATCH($B$4&amp;"|"&amp;$A20,'NF x Centro de Custo'!$J$5:$J$20000,0)),0)</f>
        <v>198474.3</v>
      </c>
      <c r="F20" s="16" t="n">
        <f aca="false">IFERROR(E20/$D$6,"")</f>
        <v>0.0815896122292167</v>
      </c>
    </row>
    <row r="21" customFormat="false" ht="15" hidden="false" customHeight="false" outlineLevel="0" collapsed="false">
      <c r="A21" s="37" t="n">
        <v>8</v>
      </c>
      <c r="B21" s="3" t="str">
        <f aca="false">IFERROR(INDEX('NF x Centro de Custo'!$E$5:$E$20000,MATCH($B$4&amp;"|"&amp;$A21,'NF x Centro de Custo'!$J$5:$J$20000,0)),"")</f>
        <v>660 - ACABAMENTO TARDE</v>
      </c>
      <c r="C21" s="15" t="n">
        <f aca="false">IFERROR(INDEX('NF x Centro de Custo'!$F$5:$F$20000,MATCH($B$4&amp;"|"&amp;$A21,'NF x Centro de Custo'!$J$5:$J$20000,0)),0)</f>
        <v>118350.4</v>
      </c>
      <c r="D21" s="15" t="n">
        <f aca="false">IFERROR(INDEX('NF x Centro de Custo'!$G$5:$G$20000,MATCH($B$4&amp;"|"&amp;$A21,'NF x Centro de Custo'!$J$5:$J$20000,0)),0)</f>
        <v>41768.33</v>
      </c>
      <c r="E21" s="15" t="n">
        <f aca="false">IFERROR(INDEX('NF x Centro de Custo'!$H$5:$H$20000,MATCH($B$4&amp;"|"&amp;$A21,'NF x Centro de Custo'!$J$5:$J$20000,0)),0)</f>
        <v>160118.73</v>
      </c>
      <c r="F21" s="16" t="n">
        <f aca="false">IFERROR(E21/$D$6,"")</f>
        <v>0.0658222504945711</v>
      </c>
    </row>
    <row r="22" customFormat="false" ht="15" hidden="false" customHeight="false" outlineLevel="0" collapsed="false">
      <c r="A22" s="37" t="n">
        <v>9</v>
      </c>
      <c r="B22" s="3" t="str">
        <f aca="false">IFERROR(INDEX('NF x Centro de Custo'!$E$5:$E$20000,MATCH($B$4&amp;"|"&amp;$A22,'NF x Centro de Custo'!$J$5:$J$20000,0)),"")</f>
        <v>680 - H.HOMEM-PROD. HP DIGITAL</v>
      </c>
      <c r="C22" s="15" t="n">
        <f aca="false">IFERROR(INDEX('NF x Centro de Custo'!$F$5:$F$20000,MATCH($B$4&amp;"|"&amp;$A22,'NF x Centro de Custo'!$J$5:$J$20000,0)),0)</f>
        <v>4590.61</v>
      </c>
      <c r="D22" s="15" t="n">
        <f aca="false">IFERROR(INDEX('NF x Centro de Custo'!$G$5:$G$20000,MATCH($B$4&amp;"|"&amp;$A22,'NF x Centro de Custo'!$J$5:$J$20000,0)),0)</f>
        <v>1614.5</v>
      </c>
      <c r="E22" s="15" t="n">
        <f aca="false">IFERROR(INDEX('NF x Centro de Custo'!$H$5:$H$20000,MATCH($B$4&amp;"|"&amp;$A22,'NF x Centro de Custo'!$J$5:$J$20000,0)),0)</f>
        <v>6205.11</v>
      </c>
      <c r="F22" s="16" t="n">
        <f aca="false">IFERROR(E22/$D$6,"")</f>
        <v>0.0025508215357839</v>
      </c>
    </row>
    <row r="23" customFormat="false" ht="15" hidden="false" customHeight="false" outlineLevel="0" collapsed="false">
      <c r="A23" s="37" t="n">
        <v>10</v>
      </c>
      <c r="B23" s="3" t="str">
        <f aca="false">IFERROR(INDEX('NF x Centro de Custo'!$E$5:$E$20000,MATCH($B$4&amp;"|"&amp;$A23,'NF x Centro de Custo'!$J$5:$J$20000,0)),"")</f>
        <v>691 - EMBALAGEM DIA</v>
      </c>
      <c r="C23" s="15" t="n">
        <f aca="false">IFERROR(INDEX('NF x Centro de Custo'!$F$5:$F$20000,MATCH($B$4&amp;"|"&amp;$A23,'NF x Centro de Custo'!$J$5:$J$20000,0)),0)</f>
        <v>572428.73</v>
      </c>
      <c r="D23" s="15" t="n">
        <f aca="false">IFERROR(INDEX('NF x Centro de Custo'!$G$5:$G$20000,MATCH($B$4&amp;"|"&amp;$A23,'NF x Centro de Custo'!$J$5:$J$20000,0)),0)</f>
        <v>201884.69</v>
      </c>
      <c r="E23" s="15" t="n">
        <f aca="false">IFERROR(INDEX('NF x Centro de Custo'!$H$5:$H$20000,MATCH($B$4&amp;"|"&amp;$A23,'NF x Centro de Custo'!$J$5:$J$20000,0)),0)</f>
        <v>774313.42</v>
      </c>
      <c r="F23" s="16" t="n">
        <f aca="false">IFERROR(E23/$D$6,"")</f>
        <v>0.318307869994647</v>
      </c>
    </row>
    <row r="24" customFormat="false" ht="15" hidden="false" customHeight="false" outlineLevel="0" collapsed="false">
      <c r="A24" s="37" t="n">
        <v>11</v>
      </c>
      <c r="B24" s="3" t="str">
        <f aca="false">IFERROR(INDEX('NF x Centro de Custo'!$E$5:$E$20000,MATCH($B$4&amp;"|"&amp;$A24,'NF x Centro de Custo'!$J$5:$J$20000,0)),"")</f>
        <v>691 - EMBALAGEM TARDE</v>
      </c>
      <c r="C24" s="15" t="n">
        <f aca="false">IFERROR(INDEX('NF x Centro de Custo'!$F$5:$F$20000,MATCH($B$4&amp;"|"&amp;$A24,'NF x Centro de Custo'!$J$5:$J$20000,0)),0)</f>
        <v>500594.69</v>
      </c>
      <c r="D24" s="15" t="n">
        <f aca="false">IFERROR(INDEX('NF x Centro de Custo'!$G$5:$G$20000,MATCH($B$4&amp;"|"&amp;$A24,'NF x Centro de Custo'!$J$5:$J$20000,0)),0)</f>
        <v>177048.9</v>
      </c>
      <c r="E24" s="15" t="n">
        <f aca="false">IFERROR(INDEX('NF x Centro de Custo'!$H$5:$H$20000,MATCH($B$4&amp;"|"&amp;$A24,'NF x Centro de Custo'!$J$5:$J$20000,0)),0)</f>
        <v>677643.59</v>
      </c>
      <c r="F24" s="16" t="n">
        <f aca="false">IFERROR(E24/$D$6,"")</f>
        <v>0.278568448094863</v>
      </c>
    </row>
    <row r="25" customFormat="false" ht="15" hidden="false" customHeight="false" outlineLevel="0" collapsed="false">
      <c r="A25" s="37" t="n">
        <v>12</v>
      </c>
      <c r="B25" s="3" t="str">
        <f aca="false">IFERROR(INDEX('NF x Centro de Custo'!$E$5:$E$20000,MATCH($B$4&amp;"|"&amp;$A25,'NF x Centro de Custo'!$J$5:$J$20000,0)),"")</f>
        <v>723 - RECEBIMENTO/ FATURAMENTO</v>
      </c>
      <c r="C25" s="15" t="n">
        <f aca="false">IFERROR(INDEX('NF x Centro de Custo'!$F$5:$F$20000,MATCH($B$4&amp;"|"&amp;$A25,'NF x Centro de Custo'!$J$5:$J$20000,0)),0)</f>
        <v>6580.74</v>
      </c>
      <c r="D25" s="15" t="n">
        <f aca="false">IFERROR(INDEX('NF x Centro de Custo'!$G$5:$G$20000,MATCH($B$4&amp;"|"&amp;$A25,'NF x Centro de Custo'!$J$5:$J$20000,0)),0)</f>
        <v>2313.46</v>
      </c>
      <c r="E25" s="15" t="n">
        <f aca="false">IFERROR(INDEX('NF x Centro de Custo'!$H$5:$H$20000,MATCH($B$4&amp;"|"&amp;$A25,'NF x Centro de Custo'!$J$5:$J$20000,0)),0)</f>
        <v>8894.2</v>
      </c>
      <c r="F25" s="16" t="n">
        <f aca="false">IFERROR(E25/$D$6,"")</f>
        <v>0.00365626345118285</v>
      </c>
    </row>
    <row r="26" customFormat="false" ht="15" hidden="false" customHeight="false" outlineLevel="0" collapsed="false">
      <c r="A26" s="37" t="n">
        <v>13</v>
      </c>
      <c r="B26" s="3" t="str">
        <f aca="false">IFERROR(INDEX('NF x Centro de Custo'!$E$5:$E$20000,MATCH($B$4&amp;"|"&amp;$A26,'NF x Centro de Custo'!$J$5:$J$20000,0)),"")</f>
        <v>731 - ALMOXARIFADO GERAL</v>
      </c>
      <c r="C26" s="15" t="n">
        <f aca="false">IFERROR(INDEX('NF x Centro de Custo'!$F$5:$F$20000,MATCH($B$4&amp;"|"&amp;$A26,'NF x Centro de Custo'!$J$5:$J$20000,0)),0)</f>
        <v>68970.87</v>
      </c>
      <c r="D26" s="15" t="n">
        <f aca="false">IFERROR(INDEX('NF x Centro de Custo'!$G$5:$G$20000,MATCH($B$4&amp;"|"&amp;$A26,'NF x Centro de Custo'!$J$5:$J$20000,0)),0)</f>
        <v>24241.93</v>
      </c>
      <c r="E26" s="15" t="n">
        <f aca="false">IFERROR(INDEX('NF x Centro de Custo'!$H$5:$H$20000,MATCH($B$4&amp;"|"&amp;$A26,'NF x Centro de Custo'!$J$5:$J$20000,0)),0)</f>
        <v>93212.8</v>
      </c>
      <c r="F26" s="16" t="n">
        <f aca="false">IFERROR(E26/$D$6,"")</f>
        <v>0.0383182921254769</v>
      </c>
    </row>
    <row r="27" customFormat="false" ht="15" hidden="false" customHeight="false" outlineLevel="0" collapsed="false">
      <c r="A27" s="37" t="n">
        <v>14</v>
      </c>
      <c r="B27" s="3" t="str">
        <f aca="false">IFERROR(INDEX('NF x Centro de Custo'!$E$5:$E$20000,MATCH($B$4&amp;"|"&amp;$A27,'NF x Centro de Custo'!$J$5:$J$20000,0)),"")</f>
        <v>PRÉ IMPRESSÃO</v>
      </c>
      <c r="C27" s="15" t="n">
        <f aca="false">IFERROR(INDEX('NF x Centro de Custo'!$F$5:$F$20000,MATCH($B$4&amp;"|"&amp;$A27,'NF x Centro de Custo'!$J$5:$J$20000,0)),0)</f>
        <v>30165.02</v>
      </c>
      <c r="D27" s="15" t="n">
        <f aca="false">IFERROR(INDEX('NF x Centro de Custo'!$G$5:$G$20000,MATCH($B$4&amp;"|"&amp;$A27,'NF x Centro de Custo'!$J$5:$J$20000,0)),0)</f>
        <v>10594.86</v>
      </c>
      <c r="E27" s="15" t="n">
        <f aca="false">IFERROR(INDEX('NF x Centro de Custo'!$H$5:$H$20000,MATCH($B$4&amp;"|"&amp;$A27,'NF x Centro de Custo'!$J$5:$J$20000,0)),0)</f>
        <v>40759.88</v>
      </c>
      <c r="F27" s="16" t="n">
        <f aca="false">IFERROR(E27/$D$6,"")</f>
        <v>0.0167557351440937</v>
      </c>
    </row>
    <row r="28" customFormat="false" ht="15" hidden="false" customHeight="false" outlineLevel="0" collapsed="false">
      <c r="A28" s="37" t="n">
        <v>15</v>
      </c>
      <c r="B28" s="3" t="str">
        <f aca="false">IFERROR(INDEX('NF x Centro de Custo'!$E$5:$E$20000,MATCH($B$4&amp;"|"&amp;$A28,'NF x Centro de Custo'!$J$5:$J$20000,0)),"")</f>
        <v/>
      </c>
      <c r="C28" s="15" t="n">
        <f aca="false">IFERROR(INDEX('NF x Centro de Custo'!$F$5:$F$20000,MATCH($B$4&amp;"|"&amp;$A28,'NF x Centro de Custo'!$J$5:$J$20000,0)),0)</f>
        <v>0</v>
      </c>
      <c r="D28" s="15" t="n">
        <f aca="false">IFERROR(INDEX('NF x Centro de Custo'!$G$5:$G$20000,MATCH($B$4&amp;"|"&amp;$A28,'NF x Centro de Custo'!$J$5:$J$20000,0)),0)</f>
        <v>0</v>
      </c>
      <c r="E28" s="15" t="n">
        <f aca="false">IFERROR(INDEX('NF x Centro de Custo'!$H$5:$H$20000,MATCH($B$4&amp;"|"&amp;$A28,'NF x Centro de Custo'!$J$5:$J$20000,0)),0)</f>
        <v>0</v>
      </c>
      <c r="F28" s="16" t="n">
        <f aca="false">IFERROR(E28/$D$6,"")</f>
        <v>0</v>
      </c>
    </row>
    <row r="29" customFormat="false" ht="15" hidden="false" customHeight="false" outlineLevel="0" collapsed="false">
      <c r="A29" s="37" t="n">
        <v>16</v>
      </c>
      <c r="B29" s="3" t="str">
        <f aca="false">IFERROR(INDEX('NF x Centro de Custo'!$E$5:$E$20000,MATCH($B$4&amp;"|"&amp;$A29,'NF x Centro de Custo'!$J$5:$J$20000,0)),"")</f>
        <v/>
      </c>
      <c r="C29" s="15" t="n">
        <f aca="false">IFERROR(INDEX('NF x Centro de Custo'!$F$5:$F$20000,MATCH($B$4&amp;"|"&amp;$A29,'NF x Centro de Custo'!$J$5:$J$20000,0)),0)</f>
        <v>0</v>
      </c>
      <c r="D29" s="15" t="n">
        <f aca="false">IFERROR(INDEX('NF x Centro de Custo'!$G$5:$G$20000,MATCH($B$4&amp;"|"&amp;$A29,'NF x Centro de Custo'!$J$5:$J$20000,0)),0)</f>
        <v>0</v>
      </c>
      <c r="E29" s="15" t="n">
        <f aca="false">IFERROR(INDEX('NF x Centro de Custo'!$H$5:$H$20000,MATCH($B$4&amp;"|"&amp;$A29,'NF x Centro de Custo'!$J$5:$J$20000,0)),0)</f>
        <v>0</v>
      </c>
      <c r="F29" s="16" t="n">
        <f aca="false">IFERROR(E29/$D$6,"")</f>
        <v>0</v>
      </c>
    </row>
    <row r="30" customFormat="false" ht="15" hidden="false" customHeight="false" outlineLevel="0" collapsed="false">
      <c r="A30" s="37" t="n">
        <v>17</v>
      </c>
      <c r="B30" s="3" t="str">
        <f aca="false">IFERROR(INDEX('NF x Centro de Custo'!$E$5:$E$20000,MATCH($B$4&amp;"|"&amp;$A30,'NF x Centro de Custo'!$J$5:$J$20000,0)),"")</f>
        <v/>
      </c>
      <c r="C30" s="15" t="n">
        <f aca="false">IFERROR(INDEX('NF x Centro de Custo'!$F$5:$F$20000,MATCH($B$4&amp;"|"&amp;$A30,'NF x Centro de Custo'!$J$5:$J$20000,0)),0)</f>
        <v>0</v>
      </c>
      <c r="D30" s="15" t="n">
        <f aca="false">IFERROR(INDEX('NF x Centro de Custo'!$G$5:$G$20000,MATCH($B$4&amp;"|"&amp;$A30,'NF x Centro de Custo'!$J$5:$J$20000,0)),0)</f>
        <v>0</v>
      </c>
      <c r="E30" s="15" t="n">
        <f aca="false">IFERROR(INDEX('NF x Centro de Custo'!$H$5:$H$20000,MATCH($B$4&amp;"|"&amp;$A30,'NF x Centro de Custo'!$J$5:$J$20000,0)),0)</f>
        <v>0</v>
      </c>
      <c r="F30" s="16" t="n">
        <f aca="false">IFERROR(E30/$D$6,"")</f>
        <v>0</v>
      </c>
    </row>
    <row r="31" customFormat="false" ht="15" hidden="false" customHeight="false" outlineLevel="0" collapsed="false">
      <c r="A31" s="37" t="n">
        <v>18</v>
      </c>
      <c r="B31" s="3" t="str">
        <f aca="false">IFERROR(INDEX('NF x Centro de Custo'!$E$5:$E$20000,MATCH($B$4&amp;"|"&amp;$A31,'NF x Centro de Custo'!$J$5:$J$20000,0)),"")</f>
        <v/>
      </c>
      <c r="C31" s="15" t="n">
        <f aca="false">IFERROR(INDEX('NF x Centro de Custo'!$F$5:$F$20000,MATCH($B$4&amp;"|"&amp;$A31,'NF x Centro de Custo'!$J$5:$J$20000,0)),0)</f>
        <v>0</v>
      </c>
      <c r="D31" s="15" t="n">
        <f aca="false">IFERROR(INDEX('NF x Centro de Custo'!$G$5:$G$20000,MATCH($B$4&amp;"|"&amp;$A31,'NF x Centro de Custo'!$J$5:$J$20000,0)),0)</f>
        <v>0</v>
      </c>
      <c r="E31" s="15" t="n">
        <f aca="false">IFERROR(INDEX('NF x Centro de Custo'!$H$5:$H$20000,MATCH($B$4&amp;"|"&amp;$A31,'NF x Centro de Custo'!$J$5:$J$20000,0)),0)</f>
        <v>0</v>
      </c>
      <c r="F31" s="16" t="n">
        <f aca="false">IFERROR(E31/$D$6,"")</f>
        <v>0</v>
      </c>
    </row>
    <row r="32" customFormat="false" ht="15" hidden="false" customHeight="false" outlineLevel="0" collapsed="false">
      <c r="A32" s="37" t="n">
        <v>19</v>
      </c>
      <c r="B32" s="3" t="str">
        <f aca="false">IFERROR(INDEX('NF x Centro de Custo'!$E$5:$E$20000,MATCH($B$4&amp;"|"&amp;$A32,'NF x Centro de Custo'!$J$5:$J$20000,0)),"")</f>
        <v/>
      </c>
      <c r="C32" s="15" t="n">
        <f aca="false">IFERROR(INDEX('NF x Centro de Custo'!$F$5:$F$20000,MATCH($B$4&amp;"|"&amp;$A32,'NF x Centro de Custo'!$J$5:$J$20000,0)),0)</f>
        <v>0</v>
      </c>
      <c r="D32" s="15" t="n">
        <f aca="false">IFERROR(INDEX('NF x Centro de Custo'!$G$5:$G$20000,MATCH($B$4&amp;"|"&amp;$A32,'NF x Centro de Custo'!$J$5:$J$20000,0)),0)</f>
        <v>0</v>
      </c>
      <c r="E32" s="15" t="n">
        <f aca="false">IFERROR(INDEX('NF x Centro de Custo'!$H$5:$H$20000,MATCH($B$4&amp;"|"&amp;$A32,'NF x Centro de Custo'!$J$5:$J$20000,0)),0)</f>
        <v>0</v>
      </c>
      <c r="F32" s="16" t="n">
        <f aca="false">IFERROR(E32/$D$6,"")</f>
        <v>0</v>
      </c>
    </row>
    <row r="33" customFormat="false" ht="15" hidden="false" customHeight="false" outlineLevel="0" collapsed="false">
      <c r="A33" s="37" t="n">
        <v>20</v>
      </c>
      <c r="B33" s="3" t="str">
        <f aca="false">IFERROR(INDEX('NF x Centro de Custo'!$E$5:$E$20000,MATCH($B$4&amp;"|"&amp;$A33,'NF x Centro de Custo'!$J$5:$J$20000,0)),"")</f>
        <v/>
      </c>
      <c r="C33" s="15" t="n">
        <f aca="false">IFERROR(INDEX('NF x Centro de Custo'!$F$5:$F$20000,MATCH($B$4&amp;"|"&amp;$A33,'NF x Centro de Custo'!$J$5:$J$20000,0)),0)</f>
        <v>0</v>
      </c>
      <c r="D33" s="15" t="n">
        <f aca="false">IFERROR(INDEX('NF x Centro de Custo'!$G$5:$G$20000,MATCH($B$4&amp;"|"&amp;$A33,'NF x Centro de Custo'!$J$5:$J$20000,0)),0)</f>
        <v>0</v>
      </c>
      <c r="E33" s="15" t="n">
        <f aca="false">IFERROR(INDEX('NF x Centro de Custo'!$H$5:$H$20000,MATCH($B$4&amp;"|"&amp;$A33,'NF x Centro de Custo'!$J$5:$J$20000,0)),0)</f>
        <v>0</v>
      </c>
      <c r="F33" s="16" t="n">
        <f aca="false">IFERROR(E33/$D$6,"")</f>
        <v>0</v>
      </c>
    </row>
    <row r="34" customFormat="false" ht="15" hidden="false" customHeight="false" outlineLevel="0" collapsed="false">
      <c r="A34" s="37" t="n">
        <v>21</v>
      </c>
      <c r="B34" s="3" t="str">
        <f aca="false">IFERROR(INDEX('NF x Centro de Custo'!$E$5:$E$20000,MATCH($B$4&amp;"|"&amp;$A34,'NF x Centro de Custo'!$J$5:$J$20000,0)),"")</f>
        <v/>
      </c>
      <c r="C34" s="15" t="n">
        <f aca="false">IFERROR(INDEX('NF x Centro de Custo'!$F$5:$F$20000,MATCH($B$4&amp;"|"&amp;$A34,'NF x Centro de Custo'!$J$5:$J$20000,0)),0)</f>
        <v>0</v>
      </c>
      <c r="D34" s="15" t="n">
        <f aca="false">IFERROR(INDEX('NF x Centro de Custo'!$G$5:$G$20000,MATCH($B$4&amp;"|"&amp;$A34,'NF x Centro de Custo'!$J$5:$J$20000,0)),0)</f>
        <v>0</v>
      </c>
      <c r="E34" s="15" t="n">
        <f aca="false">IFERROR(INDEX('NF x Centro de Custo'!$H$5:$H$20000,MATCH($B$4&amp;"|"&amp;$A34,'NF x Centro de Custo'!$J$5:$J$20000,0)),0)</f>
        <v>0</v>
      </c>
      <c r="F34" s="16" t="n">
        <f aca="false">IFERROR(E34/$D$6,"")</f>
        <v>0</v>
      </c>
    </row>
    <row r="35" customFormat="false" ht="15" hidden="false" customHeight="false" outlineLevel="0" collapsed="false">
      <c r="A35" s="37" t="n">
        <v>22</v>
      </c>
      <c r="B35" s="3" t="str">
        <f aca="false">IFERROR(INDEX('NF x Centro de Custo'!$E$5:$E$20000,MATCH($B$4&amp;"|"&amp;$A35,'NF x Centro de Custo'!$J$5:$J$20000,0)),"")</f>
        <v/>
      </c>
      <c r="C35" s="15" t="n">
        <f aca="false">IFERROR(INDEX('NF x Centro de Custo'!$F$5:$F$20000,MATCH($B$4&amp;"|"&amp;$A35,'NF x Centro de Custo'!$J$5:$J$20000,0)),0)</f>
        <v>0</v>
      </c>
      <c r="D35" s="15" t="n">
        <f aca="false">IFERROR(INDEX('NF x Centro de Custo'!$G$5:$G$20000,MATCH($B$4&amp;"|"&amp;$A35,'NF x Centro de Custo'!$J$5:$J$20000,0)),0)</f>
        <v>0</v>
      </c>
      <c r="E35" s="15" t="n">
        <f aca="false">IFERROR(INDEX('NF x Centro de Custo'!$H$5:$H$20000,MATCH($B$4&amp;"|"&amp;$A35,'NF x Centro de Custo'!$J$5:$J$20000,0)),0)</f>
        <v>0</v>
      </c>
      <c r="F35" s="16" t="n">
        <f aca="false">IFERROR(E35/$D$6,"")</f>
        <v>0</v>
      </c>
    </row>
    <row r="36" customFormat="false" ht="15" hidden="false" customHeight="false" outlineLevel="0" collapsed="false">
      <c r="A36" s="37" t="n">
        <v>23</v>
      </c>
      <c r="B36" s="3" t="str">
        <f aca="false">IFERROR(INDEX('NF x Centro de Custo'!$E$5:$E$20000,MATCH($B$4&amp;"|"&amp;$A36,'NF x Centro de Custo'!$J$5:$J$20000,0)),"")</f>
        <v/>
      </c>
      <c r="C36" s="15" t="n">
        <f aca="false">IFERROR(INDEX('NF x Centro de Custo'!$F$5:$F$20000,MATCH($B$4&amp;"|"&amp;$A36,'NF x Centro de Custo'!$J$5:$J$20000,0)),0)</f>
        <v>0</v>
      </c>
      <c r="D36" s="15" t="n">
        <f aca="false">IFERROR(INDEX('NF x Centro de Custo'!$G$5:$G$20000,MATCH($B$4&amp;"|"&amp;$A36,'NF x Centro de Custo'!$J$5:$J$20000,0)),0)</f>
        <v>0</v>
      </c>
      <c r="E36" s="15" t="n">
        <f aca="false">IFERROR(INDEX('NF x Centro de Custo'!$H$5:$H$20000,MATCH($B$4&amp;"|"&amp;$A36,'NF x Centro de Custo'!$J$5:$J$20000,0)),0)</f>
        <v>0</v>
      </c>
      <c r="F36" s="16" t="n">
        <f aca="false">IFERROR(E36/$D$6,"")</f>
        <v>0</v>
      </c>
    </row>
    <row r="37" customFormat="false" ht="15" hidden="false" customHeight="false" outlineLevel="0" collapsed="false">
      <c r="A37" s="37" t="n">
        <v>24</v>
      </c>
      <c r="B37" s="3" t="str">
        <f aca="false">IFERROR(INDEX('NF x Centro de Custo'!$E$5:$E$20000,MATCH($B$4&amp;"|"&amp;$A37,'NF x Centro de Custo'!$J$5:$J$20000,0)),"")</f>
        <v/>
      </c>
      <c r="C37" s="15" t="n">
        <f aca="false">IFERROR(INDEX('NF x Centro de Custo'!$F$5:$F$20000,MATCH($B$4&amp;"|"&amp;$A37,'NF x Centro de Custo'!$J$5:$J$20000,0)),0)</f>
        <v>0</v>
      </c>
      <c r="D37" s="15" t="n">
        <f aca="false">IFERROR(INDEX('NF x Centro de Custo'!$G$5:$G$20000,MATCH($B$4&amp;"|"&amp;$A37,'NF x Centro de Custo'!$J$5:$J$20000,0)),0)</f>
        <v>0</v>
      </c>
      <c r="E37" s="15" t="n">
        <f aca="false">IFERROR(INDEX('NF x Centro de Custo'!$H$5:$H$20000,MATCH($B$4&amp;"|"&amp;$A37,'NF x Centro de Custo'!$J$5:$J$20000,0)),0)</f>
        <v>0</v>
      </c>
      <c r="F37" s="16" t="n">
        <f aca="false">IFERROR(E37/$D$6,"")</f>
        <v>0</v>
      </c>
    </row>
    <row r="38" customFormat="false" ht="15" hidden="false" customHeight="false" outlineLevel="0" collapsed="false">
      <c r="A38" s="29"/>
      <c r="B38" s="17" t="s">
        <v>874</v>
      </c>
      <c r="C38" s="18" t="n">
        <f aca="false">SUM(C14:C37)</f>
        <v>1798183.53</v>
      </c>
      <c r="D38" s="18" t="n">
        <f aca="false">SUM(D14:D37)</f>
        <v>634409.23</v>
      </c>
      <c r="E38" s="18" t="n">
        <f aca="false">SUM(E14:E37)</f>
        <v>2432592.76</v>
      </c>
      <c r="F38" s="29"/>
    </row>
    <row r="39" customFormat="false" ht="15" hidden="false" customHeight="false" outlineLevel="0" collapsed="false">
      <c r="B39" s="38" t="str">
        <f aca="false">IF(ROUND(E38-$D$6,2)=0,"","Atenção: esta nota tem mais de 24 centros de custo — veja a lista completa na aba NF x Centro de Custo.")</f>
        <v/>
      </c>
    </row>
    <row r="41" customFormat="false" ht="15" hidden="false" customHeight="false" outlineLevel="0" collapsed="false">
      <c r="A41" s="4" t="s">
        <v>87</v>
      </c>
    </row>
    <row r="42" customFormat="false" ht="25.5" hidden="false" customHeight="true" outlineLevel="0" collapsed="false">
      <c r="A42" s="13"/>
      <c r="B42" s="13" t="s">
        <v>88</v>
      </c>
      <c r="C42" s="14" t="s">
        <v>875</v>
      </c>
      <c r="D42" s="14" t="s">
        <v>873</v>
      </c>
    </row>
    <row r="43" customFormat="false" ht="15" hidden="false" customHeight="false" outlineLevel="0" collapsed="false">
      <c r="B43" s="3" t="s">
        <v>98</v>
      </c>
      <c r="C43" s="15" t="n">
        <f aca="false">SUMIFS('NF x Grupo'!$D$5:$D$20000,'NF x Grupo'!$B$5:$B$20000,$B$4,'NF x Grupo'!$C$5:$C$20000,$B43)</f>
        <v>923873.17</v>
      </c>
      <c r="D43" s="16" t="n">
        <f aca="false">IFERROR(C43/$D$6,"")</f>
        <v>0.379789492590614</v>
      </c>
    </row>
    <row r="44" customFormat="false" ht="15" hidden="false" customHeight="false" outlineLevel="0" collapsed="false">
      <c r="B44" s="3" t="s">
        <v>99</v>
      </c>
      <c r="C44" s="15" t="n">
        <f aca="false">SUMIFS('NF x Grupo'!$D$5:$D$20000,'NF x Grupo'!$B$5:$B$20000,$B$4,'NF x Grupo'!$C$5:$C$20000,$B44)</f>
        <v>273469.09</v>
      </c>
      <c r="D44" s="16" t="n">
        <f aca="false">IFERROR(C44/$D$6,"")</f>
        <v>0.112418771648404</v>
      </c>
    </row>
    <row r="45" customFormat="false" ht="15" hidden="false" customHeight="false" outlineLevel="0" collapsed="false">
      <c r="B45" s="3" t="s">
        <v>100</v>
      </c>
      <c r="C45" s="15" t="n">
        <f aca="false">SUMIFS('NF x Grupo'!$D$5:$D$20000,'NF x Grupo'!$B$5:$B$20000,$B$4,'NF x Grupo'!$C$5:$C$20000,$B45)</f>
        <v>720110.57</v>
      </c>
      <c r="D45" s="16" t="n">
        <f aca="false">IFERROR(C45/$D$6,"")</f>
        <v>0.296025944761917</v>
      </c>
    </row>
    <row r="46" customFormat="false" ht="15" hidden="false" customHeight="false" outlineLevel="0" collapsed="false">
      <c r="B46" s="3" t="s">
        <v>101</v>
      </c>
      <c r="C46" s="15" t="n">
        <f aca="false">SUMIFS('NF x Grupo'!$D$5:$D$20000,'NF x Grupo'!$B$5:$B$20000,$B$4,'NF x Grupo'!$C$5:$C$20000,$B46)</f>
        <v>0</v>
      </c>
      <c r="D46" s="16" t="n">
        <f aca="false">IFERROR(C46/$D$6,"")</f>
        <v>0</v>
      </c>
    </row>
    <row r="47" customFormat="false" ht="15" hidden="false" customHeight="false" outlineLevel="0" collapsed="false">
      <c r="B47" s="3" t="s">
        <v>102</v>
      </c>
      <c r="C47" s="15" t="n">
        <f aca="false">SUMIFS('NF x Grupo'!$D$5:$D$20000,'NF x Grupo'!$B$5:$B$20000,$B$4,'NF x Grupo'!$C$5:$C$20000,$B47)</f>
        <v>87788.3</v>
      </c>
      <c r="D47" s="16" t="n">
        <f aca="false">IFERROR(C47/$D$6,"")</f>
        <v>0.0360883668830783</v>
      </c>
    </row>
    <row r="48" customFormat="false" ht="15" hidden="false" customHeight="false" outlineLevel="0" collapsed="false">
      <c r="B48" s="3" t="s">
        <v>103</v>
      </c>
      <c r="C48" s="15" t="n">
        <f aca="false">SUMIFS('NF x Grupo'!$D$5:$D$20000,'NF x Grupo'!$B$5:$B$20000,$B$4,'NF x Grupo'!$C$5:$C$20000,$B48)</f>
        <v>-207057.6</v>
      </c>
      <c r="D48" s="16" t="n">
        <f aca="false">IFERROR(C48/$D$6,"")</f>
        <v>-0.0851180696599623</v>
      </c>
    </row>
    <row r="49" customFormat="false" ht="15" hidden="false" customHeight="false" outlineLevel="0" collapsed="false">
      <c r="B49" s="3" t="s">
        <v>82</v>
      </c>
      <c r="C49" s="15" t="n">
        <f aca="false">SUMIFS('NF x Grupo'!$D$5:$D$20000,'NF x Grupo'!$B$5:$B$20000,$B$4,'NF x Grupo'!$C$5:$C$20000,$B49)</f>
        <v>634409.23</v>
      </c>
      <c r="D49" s="16" t="n">
        <f aca="false">IFERROR(C49/$D$6,"")</f>
        <v>0.26079549377595</v>
      </c>
    </row>
    <row r="50" customFormat="false" ht="15" hidden="false" customHeight="false" outlineLevel="0" collapsed="false">
      <c r="A50" s="29"/>
      <c r="B50" s="17" t="s">
        <v>874</v>
      </c>
      <c r="C50" s="18" t="n">
        <f aca="false">SUM(C43:C49)</f>
        <v>2432592.76</v>
      </c>
      <c r="D50" s="29"/>
    </row>
    <row r="52" customFormat="false" ht="15" hidden="false" customHeight="false" outlineLevel="0" collapsed="false">
      <c r="A52" s="7" t="s">
        <v>876</v>
      </c>
    </row>
  </sheetData>
  <conditionalFormatting sqref="D9">
    <cfRule type="cellIs" priority="2" operator="equal" aboveAverage="0" equalAverage="0" bottom="0" percent="0" rank="0" text="" dxfId="4">
      <formula>"Verificar"</formula>
    </cfRule>
  </conditionalFormatting>
  <dataValidations count="1">
    <dataValidation allowBlank="false" errorStyle="stop" operator="between" showDropDown="false" showErrorMessage="false" showInputMessage="false" sqref="B4" type="list">
      <formula1>'Notas Fiscais'!$C$5:$C$628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9" t="s">
        <v>12</v>
      </c>
    </row>
    <row r="2" customFormat="false" ht="15" hidden="false" customHeight="false" outlineLevel="0" collapsed="false">
      <c r="A2" s="7" t="s">
        <v>877</v>
      </c>
    </row>
    <row r="4" customFormat="false" ht="25.5" hidden="false" customHeight="true" outlineLevel="0" collapsed="false">
      <c r="A4" s="13" t="s">
        <v>200</v>
      </c>
      <c r="B4" s="13" t="s">
        <v>201</v>
      </c>
      <c r="C4" s="13" t="s">
        <v>202</v>
      </c>
      <c r="D4" s="13" t="s">
        <v>203</v>
      </c>
      <c r="E4" s="13" t="s">
        <v>6</v>
      </c>
      <c r="F4" s="14" t="s">
        <v>205</v>
      </c>
      <c r="G4" s="14" t="s">
        <v>206</v>
      </c>
      <c r="H4" s="14" t="s">
        <v>96</v>
      </c>
      <c r="I4" s="14" t="s">
        <v>878</v>
      </c>
      <c r="J4" s="14" t="s">
        <v>879</v>
      </c>
    </row>
    <row r="5" customFormat="false" ht="15" hidden="false" customHeight="false" outlineLevel="0" collapsed="false">
      <c r="A5" s="3" t="n">
        <v>1</v>
      </c>
      <c r="B5" s="24" t="n">
        <v>46023</v>
      </c>
      <c r="C5" s="3" t="s">
        <v>211</v>
      </c>
      <c r="D5" s="3" t="s">
        <v>212</v>
      </c>
      <c r="E5" s="3" t="s">
        <v>186</v>
      </c>
      <c r="F5" s="15" t="n">
        <v>12</v>
      </c>
      <c r="G5" s="15" t="n">
        <v>0</v>
      </c>
      <c r="H5" s="15" t="n">
        <v>12</v>
      </c>
      <c r="I5" s="7" t="n">
        <v>1</v>
      </c>
      <c r="J5" s="7" t="s">
        <v>880</v>
      </c>
    </row>
    <row r="6" customFormat="false" ht="15" hidden="false" customHeight="false" outlineLevel="0" collapsed="false">
      <c r="A6" s="3" t="n">
        <v>1</v>
      </c>
      <c r="B6" s="24" t="n">
        <v>46023</v>
      </c>
      <c r="C6" s="3" t="s">
        <v>211</v>
      </c>
      <c r="D6" s="3" t="s">
        <v>212</v>
      </c>
      <c r="E6" s="3" t="s">
        <v>148</v>
      </c>
      <c r="F6" s="15" t="n">
        <v>1081.35</v>
      </c>
      <c r="G6" s="15" t="n">
        <v>0</v>
      </c>
      <c r="H6" s="15" t="n">
        <v>1081.35</v>
      </c>
      <c r="I6" s="7" t="n">
        <v>2</v>
      </c>
      <c r="J6" s="7" t="s">
        <v>881</v>
      </c>
    </row>
    <row r="7" customFormat="false" ht="15" hidden="false" customHeight="false" outlineLevel="0" collapsed="false">
      <c r="A7" s="3" t="n">
        <v>1</v>
      </c>
      <c r="B7" s="24" t="n">
        <v>46023</v>
      </c>
      <c r="C7" s="3" t="s">
        <v>211</v>
      </c>
      <c r="D7" s="3" t="s">
        <v>212</v>
      </c>
      <c r="E7" s="3" t="s">
        <v>183</v>
      </c>
      <c r="F7" s="15" t="n">
        <v>1802.95</v>
      </c>
      <c r="G7" s="15" t="n">
        <v>0</v>
      </c>
      <c r="H7" s="15" t="n">
        <v>1802.95</v>
      </c>
      <c r="I7" s="7" t="n">
        <v>3</v>
      </c>
      <c r="J7" s="7" t="s">
        <v>882</v>
      </c>
    </row>
    <row r="8" customFormat="false" ht="15" hidden="false" customHeight="false" outlineLevel="0" collapsed="false">
      <c r="A8" s="3" t="n">
        <v>1</v>
      </c>
      <c r="B8" s="24" t="n">
        <v>46023</v>
      </c>
      <c r="C8" s="3" t="s">
        <v>211</v>
      </c>
      <c r="D8" s="3" t="s">
        <v>212</v>
      </c>
      <c r="E8" s="3" t="s">
        <v>144</v>
      </c>
      <c r="F8" s="15" t="n">
        <v>2286</v>
      </c>
      <c r="G8" s="15" t="n">
        <v>0</v>
      </c>
      <c r="H8" s="15" t="n">
        <v>2286</v>
      </c>
      <c r="I8" s="7" t="n">
        <v>4</v>
      </c>
      <c r="J8" s="7" t="s">
        <v>883</v>
      </c>
    </row>
    <row r="9" customFormat="false" ht="15" hidden="false" customHeight="false" outlineLevel="0" collapsed="false">
      <c r="A9" s="3" t="n">
        <v>1</v>
      </c>
      <c r="B9" s="24" t="n">
        <v>46023</v>
      </c>
      <c r="C9" s="3" t="s">
        <v>211</v>
      </c>
      <c r="D9" s="3" t="s">
        <v>212</v>
      </c>
      <c r="E9" s="3" t="s">
        <v>176</v>
      </c>
      <c r="F9" s="15" t="n">
        <v>1241.55</v>
      </c>
      <c r="G9" s="15" t="n">
        <v>0</v>
      </c>
      <c r="H9" s="15" t="n">
        <v>1241.55</v>
      </c>
      <c r="I9" s="7" t="n">
        <v>5</v>
      </c>
      <c r="J9" s="7" t="s">
        <v>884</v>
      </c>
    </row>
    <row r="10" customFormat="false" ht="15" hidden="false" customHeight="false" outlineLevel="0" collapsed="false">
      <c r="A10" s="3" t="n">
        <v>1</v>
      </c>
      <c r="B10" s="24" t="n">
        <v>46023</v>
      </c>
      <c r="C10" s="3" t="s">
        <v>211</v>
      </c>
      <c r="D10" s="3" t="s">
        <v>212</v>
      </c>
      <c r="E10" s="3" t="s">
        <v>119</v>
      </c>
      <c r="F10" s="15" t="n">
        <v>11966.8</v>
      </c>
      <c r="G10" s="15" t="n">
        <v>0</v>
      </c>
      <c r="H10" s="15" t="n">
        <v>11966.8</v>
      </c>
      <c r="I10" s="7" t="n">
        <v>6</v>
      </c>
      <c r="J10" s="7" t="s">
        <v>885</v>
      </c>
    </row>
    <row r="11" customFormat="false" ht="15" hidden="false" customHeight="false" outlineLevel="0" collapsed="false">
      <c r="A11" s="3" t="n">
        <v>1</v>
      </c>
      <c r="B11" s="24" t="n">
        <v>46023</v>
      </c>
      <c r="C11" s="3" t="s">
        <v>211</v>
      </c>
      <c r="D11" s="3" t="s">
        <v>212</v>
      </c>
      <c r="E11" s="3" t="s">
        <v>142</v>
      </c>
      <c r="F11" s="15" t="n">
        <v>2428.5</v>
      </c>
      <c r="G11" s="15" t="n">
        <v>0</v>
      </c>
      <c r="H11" s="15" t="n">
        <v>2428.5</v>
      </c>
      <c r="I11" s="7" t="n">
        <v>7</v>
      </c>
      <c r="J11" s="7" t="s">
        <v>886</v>
      </c>
    </row>
    <row r="12" customFormat="false" ht="15" hidden="false" customHeight="false" outlineLevel="0" collapsed="false">
      <c r="A12" s="3" t="n">
        <v>1</v>
      </c>
      <c r="B12" s="24" t="n">
        <v>46023</v>
      </c>
      <c r="C12" s="3" t="s">
        <v>211</v>
      </c>
      <c r="D12" s="3" t="s">
        <v>212</v>
      </c>
      <c r="E12" s="3" t="s">
        <v>187</v>
      </c>
      <c r="F12" s="15" t="n">
        <v>600.75</v>
      </c>
      <c r="G12" s="15" t="n">
        <v>0</v>
      </c>
      <c r="H12" s="15" t="n">
        <v>600.75</v>
      </c>
      <c r="I12" s="7" t="n">
        <v>8</v>
      </c>
      <c r="J12" s="7" t="s">
        <v>887</v>
      </c>
    </row>
    <row r="13" customFormat="false" ht="15" hidden="false" customHeight="false" outlineLevel="0" collapsed="false">
      <c r="A13" s="3" t="n">
        <v>1</v>
      </c>
      <c r="B13" s="24" t="n">
        <v>46023</v>
      </c>
      <c r="C13" s="3" t="s">
        <v>213</v>
      </c>
      <c r="D13" s="3" t="s">
        <v>214</v>
      </c>
      <c r="E13" s="3" t="s">
        <v>165</v>
      </c>
      <c r="F13" s="15" t="n">
        <v>765.45</v>
      </c>
      <c r="G13" s="15" t="n">
        <v>0</v>
      </c>
      <c r="H13" s="15" t="n">
        <v>765.45</v>
      </c>
      <c r="I13" s="7" t="n">
        <v>1</v>
      </c>
      <c r="J13" s="7" t="s">
        <v>888</v>
      </c>
    </row>
    <row r="14" customFormat="false" ht="15" hidden="false" customHeight="false" outlineLevel="0" collapsed="false">
      <c r="A14" s="3" t="n">
        <v>1</v>
      </c>
      <c r="B14" s="24" t="n">
        <v>46023</v>
      </c>
      <c r="C14" s="3" t="s">
        <v>215</v>
      </c>
      <c r="D14" s="3" t="s">
        <v>214</v>
      </c>
      <c r="E14" s="3" t="s">
        <v>112</v>
      </c>
      <c r="F14" s="15" t="n">
        <v>2456.61</v>
      </c>
      <c r="G14" s="15" t="n">
        <v>0</v>
      </c>
      <c r="H14" s="15" t="n">
        <v>2456.61</v>
      </c>
      <c r="I14" s="7" t="n">
        <v>1</v>
      </c>
      <c r="J14" s="7" t="s">
        <v>889</v>
      </c>
    </row>
    <row r="15" customFormat="false" ht="15" hidden="false" customHeight="false" outlineLevel="0" collapsed="false">
      <c r="A15" s="3" t="n">
        <v>1</v>
      </c>
      <c r="B15" s="24" t="n">
        <v>46023</v>
      </c>
      <c r="C15" s="3" t="s">
        <v>216</v>
      </c>
      <c r="D15" s="3" t="s">
        <v>217</v>
      </c>
      <c r="E15" s="3" t="s">
        <v>189</v>
      </c>
      <c r="F15" s="15" t="n">
        <v>2515.85</v>
      </c>
      <c r="G15" s="15" t="n">
        <v>0</v>
      </c>
      <c r="H15" s="15" t="n">
        <v>2515.85</v>
      </c>
      <c r="I15" s="7" t="n">
        <v>1</v>
      </c>
      <c r="J15" s="7" t="s">
        <v>890</v>
      </c>
    </row>
    <row r="16" customFormat="false" ht="15" hidden="false" customHeight="false" outlineLevel="0" collapsed="false">
      <c r="A16" s="3" t="n">
        <v>1</v>
      </c>
      <c r="B16" s="24" t="n">
        <v>46023</v>
      </c>
      <c r="C16" s="3" t="s">
        <v>216</v>
      </c>
      <c r="D16" s="3" t="s">
        <v>217</v>
      </c>
      <c r="E16" s="3" t="s">
        <v>145</v>
      </c>
      <c r="F16" s="15" t="n">
        <v>77.5</v>
      </c>
      <c r="G16" s="15" t="n">
        <v>0</v>
      </c>
      <c r="H16" s="15" t="n">
        <v>77.5</v>
      </c>
      <c r="I16" s="7" t="n">
        <v>2</v>
      </c>
      <c r="J16" s="7" t="s">
        <v>891</v>
      </c>
    </row>
    <row r="17" customFormat="false" ht="15" hidden="false" customHeight="false" outlineLevel="0" collapsed="false">
      <c r="A17" s="3" t="n">
        <v>1</v>
      </c>
      <c r="B17" s="24" t="n">
        <v>46023</v>
      </c>
      <c r="C17" s="3" t="s">
        <v>218</v>
      </c>
      <c r="D17" s="3" t="s">
        <v>219</v>
      </c>
      <c r="E17" s="3" t="s">
        <v>153</v>
      </c>
      <c r="F17" s="15" t="n">
        <v>3294.62</v>
      </c>
      <c r="G17" s="15" t="n">
        <v>0</v>
      </c>
      <c r="H17" s="15" t="n">
        <v>3294.62</v>
      </c>
      <c r="I17" s="7" t="n">
        <v>1</v>
      </c>
      <c r="J17" s="7" t="s">
        <v>892</v>
      </c>
    </row>
    <row r="18" customFormat="false" ht="15" hidden="false" customHeight="false" outlineLevel="0" collapsed="false">
      <c r="A18" s="3" t="n">
        <v>1</v>
      </c>
      <c r="B18" s="24" t="n">
        <v>46023</v>
      </c>
      <c r="C18" s="3" t="s">
        <v>220</v>
      </c>
      <c r="D18" s="3" t="s">
        <v>219</v>
      </c>
      <c r="E18" s="3" t="s">
        <v>112</v>
      </c>
      <c r="F18" s="15" t="n">
        <v>14813.15</v>
      </c>
      <c r="G18" s="15" t="n">
        <v>0</v>
      </c>
      <c r="H18" s="15" t="n">
        <v>14813.15</v>
      </c>
      <c r="I18" s="7" t="n">
        <v>1</v>
      </c>
      <c r="J18" s="7" t="s">
        <v>893</v>
      </c>
    </row>
    <row r="19" customFormat="false" ht="15" hidden="false" customHeight="false" outlineLevel="0" collapsed="false">
      <c r="A19" s="3" t="n">
        <v>1</v>
      </c>
      <c r="B19" s="24" t="n">
        <v>46023</v>
      </c>
      <c r="C19" s="3" t="s">
        <v>221</v>
      </c>
      <c r="D19" s="3" t="s">
        <v>222</v>
      </c>
      <c r="E19" s="3" t="s">
        <v>160</v>
      </c>
      <c r="F19" s="15" t="n">
        <v>794.6</v>
      </c>
      <c r="G19" s="15" t="n">
        <v>0</v>
      </c>
      <c r="H19" s="15" t="n">
        <v>794.6</v>
      </c>
      <c r="I19" s="7" t="n">
        <v>1</v>
      </c>
      <c r="J19" s="7" t="s">
        <v>894</v>
      </c>
    </row>
    <row r="20" customFormat="false" ht="15" hidden="false" customHeight="false" outlineLevel="0" collapsed="false">
      <c r="A20" s="3" t="n">
        <v>1</v>
      </c>
      <c r="B20" s="24" t="n">
        <v>46023</v>
      </c>
      <c r="C20" s="3" t="s">
        <v>221</v>
      </c>
      <c r="D20" s="3" t="s">
        <v>222</v>
      </c>
      <c r="E20" s="3" t="s">
        <v>140</v>
      </c>
      <c r="F20" s="15" t="n">
        <v>1966.85</v>
      </c>
      <c r="G20" s="15" t="n">
        <v>0</v>
      </c>
      <c r="H20" s="15" t="n">
        <v>1966.85</v>
      </c>
      <c r="I20" s="7" t="n">
        <v>2</v>
      </c>
      <c r="J20" s="7" t="s">
        <v>895</v>
      </c>
    </row>
    <row r="21" customFormat="false" ht="15" hidden="false" customHeight="false" outlineLevel="0" collapsed="false">
      <c r="A21" s="3" t="n">
        <v>1</v>
      </c>
      <c r="B21" s="24" t="n">
        <v>46023</v>
      </c>
      <c r="C21" s="3" t="s">
        <v>223</v>
      </c>
      <c r="D21" s="3" t="s">
        <v>224</v>
      </c>
      <c r="E21" s="3" t="s">
        <v>128</v>
      </c>
      <c r="F21" s="15" t="n">
        <v>1300.38</v>
      </c>
      <c r="G21" s="15" t="n">
        <v>0</v>
      </c>
      <c r="H21" s="15" t="n">
        <v>1300.38</v>
      </c>
      <c r="I21" s="7" t="n">
        <v>1</v>
      </c>
      <c r="J21" s="7" t="s">
        <v>896</v>
      </c>
    </row>
    <row r="22" customFormat="false" ht="15" hidden="false" customHeight="false" outlineLevel="0" collapsed="false">
      <c r="A22" s="3" t="n">
        <v>1</v>
      </c>
      <c r="B22" s="24" t="n">
        <v>46023</v>
      </c>
      <c r="C22" s="3" t="s">
        <v>225</v>
      </c>
      <c r="D22" s="3" t="s">
        <v>226</v>
      </c>
      <c r="E22" s="3" t="s">
        <v>109</v>
      </c>
      <c r="F22" s="15" t="n">
        <v>3699.54</v>
      </c>
      <c r="G22" s="15" t="n">
        <v>1118.64</v>
      </c>
      <c r="H22" s="15" t="n">
        <v>4818.18</v>
      </c>
      <c r="I22" s="7" t="n">
        <v>1</v>
      </c>
      <c r="J22" s="7" t="s">
        <v>897</v>
      </c>
    </row>
    <row r="23" customFormat="false" ht="15" hidden="false" customHeight="false" outlineLevel="0" collapsed="false">
      <c r="A23" s="3" t="n">
        <v>1</v>
      </c>
      <c r="B23" s="24" t="n">
        <v>46023</v>
      </c>
      <c r="C23" s="3" t="s">
        <v>225</v>
      </c>
      <c r="D23" s="3" t="s">
        <v>226</v>
      </c>
      <c r="E23" s="3" t="s">
        <v>188</v>
      </c>
      <c r="F23" s="15" t="n">
        <v>1813.6</v>
      </c>
      <c r="G23" s="15" t="n">
        <v>589.85</v>
      </c>
      <c r="H23" s="15" t="n">
        <v>2403.45</v>
      </c>
      <c r="I23" s="7" t="n">
        <v>2</v>
      </c>
      <c r="J23" s="7" t="s">
        <v>898</v>
      </c>
    </row>
    <row r="24" customFormat="false" ht="15" hidden="false" customHeight="false" outlineLevel="0" collapsed="false">
      <c r="A24" s="3" t="n">
        <v>1</v>
      </c>
      <c r="B24" s="24" t="n">
        <v>46023</v>
      </c>
      <c r="C24" s="3" t="s">
        <v>227</v>
      </c>
      <c r="D24" s="3" t="s">
        <v>228</v>
      </c>
      <c r="E24" s="3" t="s">
        <v>122</v>
      </c>
      <c r="F24" s="15" t="n">
        <v>10773.96</v>
      </c>
      <c r="G24" s="15" t="n">
        <v>0</v>
      </c>
      <c r="H24" s="15" t="n">
        <v>10773.96</v>
      </c>
      <c r="I24" s="7" t="n">
        <v>1</v>
      </c>
      <c r="J24" s="7" t="s">
        <v>899</v>
      </c>
    </row>
    <row r="25" customFormat="false" ht="15" hidden="false" customHeight="false" outlineLevel="0" collapsed="false">
      <c r="A25" s="3" t="n">
        <v>1</v>
      </c>
      <c r="B25" s="24" t="n">
        <v>46023</v>
      </c>
      <c r="C25" s="3" t="s">
        <v>229</v>
      </c>
      <c r="D25" s="3" t="s">
        <v>228</v>
      </c>
      <c r="E25" s="3" t="s">
        <v>112</v>
      </c>
      <c r="F25" s="15" t="n">
        <v>10766.45</v>
      </c>
      <c r="G25" s="15" t="n">
        <v>0</v>
      </c>
      <c r="H25" s="15" t="n">
        <v>10766.45</v>
      </c>
      <c r="I25" s="7" t="n">
        <v>1</v>
      </c>
      <c r="J25" s="7" t="s">
        <v>900</v>
      </c>
    </row>
    <row r="26" customFormat="false" ht="15" hidden="false" customHeight="false" outlineLevel="0" collapsed="false">
      <c r="A26" s="3" t="n">
        <v>1</v>
      </c>
      <c r="B26" s="24" t="n">
        <v>46023</v>
      </c>
      <c r="C26" s="3" t="s">
        <v>230</v>
      </c>
      <c r="D26" s="3" t="s">
        <v>231</v>
      </c>
      <c r="E26" s="3" t="s">
        <v>134</v>
      </c>
      <c r="F26" s="15" t="n">
        <v>6732.7</v>
      </c>
      <c r="G26" s="15" t="n">
        <v>0</v>
      </c>
      <c r="H26" s="15" t="n">
        <v>6732.7</v>
      </c>
      <c r="I26" s="7" t="n">
        <v>1</v>
      </c>
      <c r="J26" s="7" t="s">
        <v>901</v>
      </c>
    </row>
    <row r="27" customFormat="false" ht="15" hidden="false" customHeight="false" outlineLevel="0" collapsed="false">
      <c r="A27" s="3" t="n">
        <v>1</v>
      </c>
      <c r="B27" s="24" t="n">
        <v>46023</v>
      </c>
      <c r="C27" s="3" t="s">
        <v>232</v>
      </c>
      <c r="D27" s="3" t="s">
        <v>231</v>
      </c>
      <c r="E27" s="3" t="s">
        <v>112</v>
      </c>
      <c r="F27" s="15" t="n">
        <v>18064.36</v>
      </c>
      <c r="G27" s="15" t="n">
        <v>0</v>
      </c>
      <c r="H27" s="15" t="n">
        <v>18064.36</v>
      </c>
      <c r="I27" s="7" t="n">
        <v>1</v>
      </c>
      <c r="J27" s="7" t="s">
        <v>902</v>
      </c>
    </row>
    <row r="28" customFormat="false" ht="15" hidden="false" customHeight="false" outlineLevel="0" collapsed="false">
      <c r="A28" s="3" t="n">
        <v>1</v>
      </c>
      <c r="B28" s="24" t="n">
        <v>46023</v>
      </c>
      <c r="C28" s="3" t="s">
        <v>233</v>
      </c>
      <c r="D28" s="3" t="s">
        <v>234</v>
      </c>
      <c r="E28" s="3" t="s">
        <v>141</v>
      </c>
      <c r="F28" s="15" t="n">
        <v>6065.43</v>
      </c>
      <c r="G28" s="15" t="n">
        <v>0</v>
      </c>
      <c r="H28" s="15" t="n">
        <v>6065.43</v>
      </c>
      <c r="I28" s="7" t="n">
        <v>1</v>
      </c>
      <c r="J28" s="7" t="s">
        <v>903</v>
      </c>
    </row>
    <row r="29" customFormat="false" ht="15" hidden="false" customHeight="false" outlineLevel="0" collapsed="false">
      <c r="A29" s="3" t="n">
        <v>1</v>
      </c>
      <c r="B29" s="24" t="n">
        <v>46023</v>
      </c>
      <c r="C29" s="3" t="s">
        <v>235</v>
      </c>
      <c r="D29" s="3" t="s">
        <v>234</v>
      </c>
      <c r="E29" s="3" t="s">
        <v>112</v>
      </c>
      <c r="F29" s="15" t="n">
        <v>13912.07</v>
      </c>
      <c r="G29" s="15" t="n">
        <v>0</v>
      </c>
      <c r="H29" s="15" t="n">
        <v>13912.07</v>
      </c>
      <c r="I29" s="7" t="n">
        <v>1</v>
      </c>
      <c r="J29" s="7" t="s">
        <v>904</v>
      </c>
    </row>
    <row r="30" customFormat="false" ht="15" hidden="false" customHeight="false" outlineLevel="0" collapsed="false">
      <c r="A30" s="3" t="n">
        <v>1</v>
      </c>
      <c r="B30" s="24" t="n">
        <v>46023</v>
      </c>
      <c r="C30" s="3" t="s">
        <v>236</v>
      </c>
      <c r="D30" s="3" t="s">
        <v>237</v>
      </c>
      <c r="E30" s="3" t="s">
        <v>155</v>
      </c>
      <c r="F30" s="15" t="n">
        <v>3632.47</v>
      </c>
      <c r="G30" s="15" t="n">
        <v>0</v>
      </c>
      <c r="H30" s="15" t="n">
        <v>3632.47</v>
      </c>
      <c r="I30" s="7" t="n">
        <v>1</v>
      </c>
      <c r="J30" s="7" t="s">
        <v>905</v>
      </c>
    </row>
    <row r="31" customFormat="false" ht="15" hidden="false" customHeight="false" outlineLevel="0" collapsed="false">
      <c r="A31" s="3" t="n">
        <v>1</v>
      </c>
      <c r="B31" s="24" t="n">
        <v>46023</v>
      </c>
      <c r="C31" s="3" t="s">
        <v>238</v>
      </c>
      <c r="D31" s="3" t="s">
        <v>237</v>
      </c>
      <c r="E31" s="3" t="s">
        <v>112</v>
      </c>
      <c r="F31" s="15" t="n">
        <v>12519.37</v>
      </c>
      <c r="G31" s="15" t="n">
        <v>0</v>
      </c>
      <c r="H31" s="15" t="n">
        <v>12519.37</v>
      </c>
      <c r="I31" s="7" t="n">
        <v>1</v>
      </c>
      <c r="J31" s="7" t="s">
        <v>906</v>
      </c>
    </row>
    <row r="32" customFormat="false" ht="15" hidden="false" customHeight="false" outlineLevel="0" collapsed="false">
      <c r="A32" s="3" t="n">
        <v>1</v>
      </c>
      <c r="B32" s="24" t="n">
        <v>46023</v>
      </c>
      <c r="C32" s="3" t="s">
        <v>239</v>
      </c>
      <c r="D32" s="3" t="s">
        <v>224</v>
      </c>
      <c r="E32" s="3" t="s">
        <v>152</v>
      </c>
      <c r="F32" s="15" t="n">
        <v>4056.72</v>
      </c>
      <c r="G32" s="15" t="n">
        <v>0</v>
      </c>
      <c r="H32" s="15" t="n">
        <v>4056.72</v>
      </c>
      <c r="I32" s="7" t="n">
        <v>1</v>
      </c>
      <c r="J32" s="7" t="s">
        <v>907</v>
      </c>
    </row>
    <row r="33" customFormat="false" ht="15" hidden="false" customHeight="false" outlineLevel="0" collapsed="false">
      <c r="A33" s="3" t="n">
        <v>1</v>
      </c>
      <c r="B33" s="24" t="n">
        <v>46023</v>
      </c>
      <c r="C33" s="3" t="s">
        <v>240</v>
      </c>
      <c r="D33" s="3" t="s">
        <v>224</v>
      </c>
      <c r="E33" s="3" t="s">
        <v>143</v>
      </c>
      <c r="F33" s="15" t="n">
        <v>2293.51</v>
      </c>
      <c r="G33" s="15" t="n">
        <v>0</v>
      </c>
      <c r="H33" s="15" t="n">
        <v>2293.51</v>
      </c>
      <c r="I33" s="7" t="n">
        <v>1</v>
      </c>
      <c r="J33" s="7" t="s">
        <v>908</v>
      </c>
    </row>
    <row r="34" customFormat="false" ht="15" hidden="false" customHeight="false" outlineLevel="0" collapsed="false">
      <c r="A34" s="3" t="n">
        <v>1</v>
      </c>
      <c r="B34" s="24" t="n">
        <v>46023</v>
      </c>
      <c r="C34" s="3" t="s">
        <v>241</v>
      </c>
      <c r="D34" s="3" t="s">
        <v>226</v>
      </c>
      <c r="E34" s="3" t="s">
        <v>186</v>
      </c>
      <c r="F34" s="15" t="n">
        <v>906.55</v>
      </c>
      <c r="G34" s="15" t="n">
        <v>0</v>
      </c>
      <c r="H34" s="15" t="n">
        <v>906.55</v>
      </c>
      <c r="I34" s="7" t="n">
        <v>1</v>
      </c>
      <c r="J34" s="7" t="s">
        <v>909</v>
      </c>
    </row>
    <row r="35" customFormat="false" ht="15" hidden="false" customHeight="false" outlineLevel="0" collapsed="false">
      <c r="A35" s="3" t="n">
        <v>1</v>
      </c>
      <c r="B35" s="24" t="n">
        <v>46023</v>
      </c>
      <c r="C35" s="3" t="s">
        <v>241</v>
      </c>
      <c r="D35" s="3" t="s">
        <v>226</v>
      </c>
      <c r="E35" s="3" t="s">
        <v>109</v>
      </c>
      <c r="F35" s="15" t="n">
        <v>4845</v>
      </c>
      <c r="G35" s="15" t="n">
        <v>0</v>
      </c>
      <c r="H35" s="15" t="n">
        <v>4845</v>
      </c>
      <c r="I35" s="7" t="n">
        <v>2</v>
      </c>
      <c r="J35" s="7" t="s">
        <v>910</v>
      </c>
    </row>
    <row r="36" customFormat="false" ht="15" hidden="false" customHeight="false" outlineLevel="0" collapsed="false">
      <c r="A36" s="3" t="n">
        <v>1</v>
      </c>
      <c r="B36" s="24" t="n">
        <v>46023</v>
      </c>
      <c r="C36" s="3" t="s">
        <v>241</v>
      </c>
      <c r="D36" s="3" t="s">
        <v>226</v>
      </c>
      <c r="E36" s="3" t="s">
        <v>154</v>
      </c>
      <c r="F36" s="15" t="n">
        <v>1241.55</v>
      </c>
      <c r="G36" s="15" t="n">
        <v>0</v>
      </c>
      <c r="H36" s="15" t="n">
        <v>1241.55</v>
      </c>
      <c r="I36" s="7" t="n">
        <v>3</v>
      </c>
      <c r="J36" s="7" t="s">
        <v>911</v>
      </c>
    </row>
    <row r="37" customFormat="false" ht="15" hidden="false" customHeight="false" outlineLevel="0" collapsed="false">
      <c r="A37" s="3" t="n">
        <v>1</v>
      </c>
      <c r="B37" s="24" t="n">
        <v>46023</v>
      </c>
      <c r="C37" s="3" t="s">
        <v>242</v>
      </c>
      <c r="D37" s="3" t="s">
        <v>243</v>
      </c>
      <c r="E37" s="3" t="s">
        <v>112</v>
      </c>
      <c r="F37" s="15" t="n">
        <v>5087.83</v>
      </c>
      <c r="G37" s="15" t="n">
        <v>0</v>
      </c>
      <c r="H37" s="15" t="n">
        <v>5087.83</v>
      </c>
      <c r="I37" s="7" t="n">
        <v>1</v>
      </c>
      <c r="J37" s="7" t="s">
        <v>912</v>
      </c>
    </row>
    <row r="38" customFormat="false" ht="15" hidden="false" customHeight="false" outlineLevel="0" collapsed="false">
      <c r="A38" s="3" t="n">
        <v>1</v>
      </c>
      <c r="B38" s="24" t="n">
        <v>46023</v>
      </c>
      <c r="C38" s="3" t="s">
        <v>244</v>
      </c>
      <c r="D38" s="3" t="s">
        <v>243</v>
      </c>
      <c r="E38" s="3" t="s">
        <v>161</v>
      </c>
      <c r="F38" s="15" t="n">
        <v>1972.2</v>
      </c>
      <c r="G38" s="15" t="n">
        <v>0</v>
      </c>
      <c r="H38" s="15" t="n">
        <v>1972.2</v>
      </c>
      <c r="I38" s="7" t="n">
        <v>1</v>
      </c>
      <c r="J38" s="7" t="s">
        <v>913</v>
      </c>
    </row>
    <row r="39" customFormat="false" ht="15" hidden="false" customHeight="false" outlineLevel="0" collapsed="false">
      <c r="A39" s="3" t="n">
        <v>1</v>
      </c>
      <c r="B39" s="24" t="n">
        <v>46023</v>
      </c>
      <c r="C39" s="3" t="s">
        <v>245</v>
      </c>
      <c r="D39" s="3" t="s">
        <v>246</v>
      </c>
      <c r="E39" s="3" t="s">
        <v>112</v>
      </c>
      <c r="F39" s="15" t="n">
        <v>2532.31</v>
      </c>
      <c r="G39" s="15" t="n">
        <v>0</v>
      </c>
      <c r="H39" s="15" t="n">
        <v>2532.31</v>
      </c>
      <c r="I39" s="7" t="n">
        <v>1</v>
      </c>
      <c r="J39" s="7" t="s">
        <v>914</v>
      </c>
    </row>
    <row r="40" customFormat="false" ht="15" hidden="false" customHeight="false" outlineLevel="0" collapsed="false">
      <c r="A40" s="3" t="n">
        <v>1</v>
      </c>
      <c r="B40" s="24" t="n">
        <v>46023</v>
      </c>
      <c r="C40" s="3" t="s">
        <v>247</v>
      </c>
      <c r="D40" s="3" t="s">
        <v>246</v>
      </c>
      <c r="E40" s="3" t="s">
        <v>171</v>
      </c>
      <c r="F40" s="15" t="n">
        <v>1760.2</v>
      </c>
      <c r="G40" s="15" t="n">
        <v>0</v>
      </c>
      <c r="H40" s="15" t="n">
        <v>1760.2</v>
      </c>
      <c r="I40" s="7" t="n">
        <v>1</v>
      </c>
      <c r="J40" s="7" t="s">
        <v>915</v>
      </c>
    </row>
    <row r="41" customFormat="false" ht="15" hidden="false" customHeight="false" outlineLevel="0" collapsed="false">
      <c r="A41" s="3" t="n">
        <v>1</v>
      </c>
      <c r="B41" s="24" t="n">
        <v>46023</v>
      </c>
      <c r="C41" s="3" t="s">
        <v>248</v>
      </c>
      <c r="D41" s="3" t="s">
        <v>249</v>
      </c>
      <c r="E41" s="3" t="s">
        <v>137</v>
      </c>
      <c r="F41" s="15" t="n">
        <v>1436.4</v>
      </c>
      <c r="G41" s="15" t="n">
        <v>0</v>
      </c>
      <c r="H41" s="15" t="n">
        <v>1436.4</v>
      </c>
      <c r="I41" s="7" t="n">
        <v>1</v>
      </c>
      <c r="J41" s="7" t="s">
        <v>916</v>
      </c>
    </row>
    <row r="42" customFormat="false" ht="15" hidden="false" customHeight="false" outlineLevel="0" collapsed="false">
      <c r="A42" s="3" t="n">
        <v>1</v>
      </c>
      <c r="B42" s="24" t="n">
        <v>46023</v>
      </c>
      <c r="C42" s="3" t="s">
        <v>248</v>
      </c>
      <c r="D42" s="3" t="s">
        <v>249</v>
      </c>
      <c r="E42" s="3" t="s">
        <v>112</v>
      </c>
      <c r="F42" s="15" t="n">
        <v>5824.48</v>
      </c>
      <c r="G42" s="15" t="n">
        <v>0</v>
      </c>
      <c r="H42" s="15" t="n">
        <v>5824.48</v>
      </c>
      <c r="I42" s="7" t="n">
        <v>2</v>
      </c>
      <c r="J42" s="7" t="s">
        <v>917</v>
      </c>
    </row>
    <row r="43" customFormat="false" ht="15" hidden="false" customHeight="false" outlineLevel="0" collapsed="false">
      <c r="A43" s="3" t="n">
        <v>1</v>
      </c>
      <c r="B43" s="24" t="n">
        <v>46023</v>
      </c>
      <c r="C43" s="3" t="s">
        <v>250</v>
      </c>
      <c r="D43" s="3" t="s">
        <v>249</v>
      </c>
      <c r="E43" s="3" t="s">
        <v>137</v>
      </c>
      <c r="F43" s="15" t="n">
        <v>8795.63</v>
      </c>
      <c r="G43" s="15" t="n">
        <v>0</v>
      </c>
      <c r="H43" s="15" t="n">
        <v>8795.63</v>
      </c>
      <c r="I43" s="7" t="n">
        <v>1</v>
      </c>
      <c r="J43" s="7" t="s">
        <v>918</v>
      </c>
    </row>
    <row r="44" customFormat="false" ht="15" hidden="false" customHeight="false" outlineLevel="0" collapsed="false">
      <c r="A44" s="3" t="n">
        <v>1</v>
      </c>
      <c r="B44" s="24" t="n">
        <v>46023</v>
      </c>
      <c r="C44" s="3" t="s">
        <v>251</v>
      </c>
      <c r="D44" s="3" t="s">
        <v>252</v>
      </c>
      <c r="E44" s="3" t="s">
        <v>166</v>
      </c>
      <c r="F44" s="15" t="n">
        <v>2024.2</v>
      </c>
      <c r="G44" s="15" t="n">
        <v>0</v>
      </c>
      <c r="H44" s="15" t="n">
        <v>2024.2</v>
      </c>
      <c r="I44" s="7" t="n">
        <v>1</v>
      </c>
      <c r="J44" s="7" t="s">
        <v>919</v>
      </c>
    </row>
    <row r="45" customFormat="false" ht="15" hidden="false" customHeight="false" outlineLevel="0" collapsed="false">
      <c r="A45" s="3" t="n">
        <v>1</v>
      </c>
      <c r="B45" s="24" t="n">
        <v>46023</v>
      </c>
      <c r="C45" s="3" t="s">
        <v>253</v>
      </c>
      <c r="D45" s="3" t="s">
        <v>252</v>
      </c>
      <c r="E45" s="3" t="s">
        <v>112</v>
      </c>
      <c r="F45" s="15" t="n">
        <v>3746.24</v>
      </c>
      <c r="G45" s="15" t="n">
        <v>0</v>
      </c>
      <c r="H45" s="15" t="n">
        <v>3746.24</v>
      </c>
      <c r="I45" s="7" t="n">
        <v>1</v>
      </c>
      <c r="J45" s="7" t="s">
        <v>920</v>
      </c>
    </row>
    <row r="46" customFormat="false" ht="15" hidden="false" customHeight="false" outlineLevel="0" collapsed="false">
      <c r="A46" s="3" t="n">
        <v>1</v>
      </c>
      <c r="B46" s="24" t="n">
        <v>46023</v>
      </c>
      <c r="C46" s="3" t="s">
        <v>254</v>
      </c>
      <c r="D46" s="3" t="s">
        <v>255</v>
      </c>
      <c r="E46" s="3" t="s">
        <v>168</v>
      </c>
      <c r="F46" s="15" t="n">
        <v>2553.41</v>
      </c>
      <c r="G46" s="15" t="n">
        <v>0</v>
      </c>
      <c r="H46" s="15" t="n">
        <v>2553.41</v>
      </c>
      <c r="I46" s="7" t="n">
        <v>1</v>
      </c>
      <c r="J46" s="7" t="s">
        <v>921</v>
      </c>
    </row>
    <row r="47" customFormat="false" ht="15" hidden="false" customHeight="false" outlineLevel="0" collapsed="false">
      <c r="A47" s="3" t="n">
        <v>1</v>
      </c>
      <c r="B47" s="24" t="n">
        <v>46023</v>
      </c>
      <c r="C47" s="3" t="s">
        <v>256</v>
      </c>
      <c r="D47" s="3" t="s">
        <v>255</v>
      </c>
      <c r="E47" s="3" t="s">
        <v>112</v>
      </c>
      <c r="F47" s="15" t="n">
        <v>3180.73</v>
      </c>
      <c r="G47" s="15" t="n">
        <v>0</v>
      </c>
      <c r="H47" s="15" t="n">
        <v>3180.73</v>
      </c>
      <c r="I47" s="7" t="n">
        <v>1</v>
      </c>
      <c r="J47" s="7" t="s">
        <v>922</v>
      </c>
    </row>
    <row r="48" customFormat="false" ht="15" hidden="false" customHeight="false" outlineLevel="0" collapsed="false">
      <c r="A48" s="3" t="n">
        <v>1</v>
      </c>
      <c r="B48" s="24" t="n">
        <v>46023</v>
      </c>
      <c r="C48" s="3" t="s">
        <v>257</v>
      </c>
      <c r="D48" s="3" t="s">
        <v>258</v>
      </c>
      <c r="E48" s="3" t="s">
        <v>146</v>
      </c>
      <c r="F48" s="15" t="n">
        <v>4439.26</v>
      </c>
      <c r="G48" s="15" t="n">
        <v>0</v>
      </c>
      <c r="H48" s="15" t="n">
        <v>4439.26</v>
      </c>
      <c r="I48" s="7" t="n">
        <v>1</v>
      </c>
      <c r="J48" s="7" t="s">
        <v>923</v>
      </c>
    </row>
    <row r="49" customFormat="false" ht="15" hidden="false" customHeight="false" outlineLevel="0" collapsed="false">
      <c r="A49" s="3" t="n">
        <v>1</v>
      </c>
      <c r="B49" s="24" t="n">
        <v>46023</v>
      </c>
      <c r="C49" s="3" t="s">
        <v>259</v>
      </c>
      <c r="D49" s="3" t="s">
        <v>258</v>
      </c>
      <c r="E49" s="3" t="s">
        <v>112</v>
      </c>
      <c r="F49" s="15" t="n">
        <v>4040.41</v>
      </c>
      <c r="G49" s="15" t="n">
        <v>0</v>
      </c>
      <c r="H49" s="15" t="n">
        <v>4040.41</v>
      </c>
      <c r="I49" s="7" t="n">
        <v>1</v>
      </c>
      <c r="J49" s="7" t="s">
        <v>924</v>
      </c>
    </row>
    <row r="50" customFormat="false" ht="15" hidden="false" customHeight="false" outlineLevel="0" collapsed="false">
      <c r="A50" s="3" t="n">
        <v>1</v>
      </c>
      <c r="B50" s="24" t="n">
        <v>46023</v>
      </c>
      <c r="C50" s="3" t="s">
        <v>260</v>
      </c>
      <c r="D50" s="3" t="s">
        <v>261</v>
      </c>
      <c r="E50" s="3" t="s">
        <v>112</v>
      </c>
      <c r="F50" s="15" t="n">
        <v>2172.13</v>
      </c>
      <c r="G50" s="15" t="n">
        <v>0</v>
      </c>
      <c r="H50" s="15" t="n">
        <v>2172.13</v>
      </c>
      <c r="I50" s="7" t="n">
        <v>1</v>
      </c>
      <c r="J50" s="7" t="s">
        <v>925</v>
      </c>
    </row>
    <row r="51" customFormat="false" ht="15" hidden="false" customHeight="false" outlineLevel="0" collapsed="false">
      <c r="A51" s="3" t="n">
        <v>1</v>
      </c>
      <c r="B51" s="24" t="n">
        <v>46023</v>
      </c>
      <c r="C51" s="3" t="s">
        <v>262</v>
      </c>
      <c r="D51" s="3" t="s">
        <v>222</v>
      </c>
      <c r="E51" s="3" t="s">
        <v>118</v>
      </c>
      <c r="F51" s="15" t="n">
        <v>478.23</v>
      </c>
      <c r="G51" s="15" t="n">
        <v>0</v>
      </c>
      <c r="H51" s="15" t="n">
        <v>478.23</v>
      </c>
      <c r="I51" s="7" t="n">
        <v>1</v>
      </c>
      <c r="J51" s="7" t="s">
        <v>926</v>
      </c>
    </row>
    <row r="52" customFormat="false" ht="15" hidden="false" customHeight="false" outlineLevel="0" collapsed="false">
      <c r="A52" s="3" t="n">
        <v>1</v>
      </c>
      <c r="B52" s="24" t="n">
        <v>46023</v>
      </c>
      <c r="C52" s="3" t="s">
        <v>262</v>
      </c>
      <c r="D52" s="3" t="s">
        <v>222</v>
      </c>
      <c r="E52" s="3" t="s">
        <v>113</v>
      </c>
      <c r="F52" s="15" t="n">
        <v>3749.02</v>
      </c>
      <c r="G52" s="15" t="n">
        <v>0</v>
      </c>
      <c r="H52" s="15" t="n">
        <v>3749.02</v>
      </c>
      <c r="I52" s="7" t="n">
        <v>2</v>
      </c>
      <c r="J52" s="7" t="s">
        <v>927</v>
      </c>
    </row>
    <row r="53" customFormat="false" ht="15" hidden="false" customHeight="false" outlineLevel="0" collapsed="false">
      <c r="A53" s="3" t="n">
        <v>1</v>
      </c>
      <c r="B53" s="24" t="n">
        <v>46023</v>
      </c>
      <c r="C53" s="3" t="s">
        <v>262</v>
      </c>
      <c r="D53" s="3" t="s">
        <v>222</v>
      </c>
      <c r="E53" s="3" t="s">
        <v>111</v>
      </c>
      <c r="F53" s="15" t="n">
        <v>1921.32</v>
      </c>
      <c r="G53" s="15" t="n">
        <v>0</v>
      </c>
      <c r="H53" s="15" t="n">
        <v>1921.32</v>
      </c>
      <c r="I53" s="7" t="n">
        <v>3</v>
      </c>
      <c r="J53" s="7" t="s">
        <v>928</v>
      </c>
    </row>
    <row r="54" customFormat="false" ht="15" hidden="false" customHeight="false" outlineLevel="0" collapsed="false">
      <c r="A54" s="3" t="n">
        <v>1</v>
      </c>
      <c r="B54" s="24" t="n">
        <v>46023</v>
      </c>
      <c r="C54" s="3" t="s">
        <v>262</v>
      </c>
      <c r="D54" s="3" t="s">
        <v>222</v>
      </c>
      <c r="E54" s="3" t="s">
        <v>114</v>
      </c>
      <c r="F54" s="15" t="n">
        <v>3419.19</v>
      </c>
      <c r="G54" s="15" t="n">
        <v>0</v>
      </c>
      <c r="H54" s="15" t="n">
        <v>3419.19</v>
      </c>
      <c r="I54" s="7" t="n">
        <v>4</v>
      </c>
      <c r="J54" s="7" t="s">
        <v>929</v>
      </c>
    </row>
    <row r="55" customFormat="false" ht="15" hidden="false" customHeight="false" outlineLevel="0" collapsed="false">
      <c r="A55" s="3" t="n">
        <v>1</v>
      </c>
      <c r="B55" s="24" t="n">
        <v>46023</v>
      </c>
      <c r="C55" s="3" t="s">
        <v>262</v>
      </c>
      <c r="D55" s="3" t="s">
        <v>222</v>
      </c>
      <c r="E55" s="3" t="s">
        <v>179</v>
      </c>
      <c r="F55" s="15" t="n">
        <v>648.66</v>
      </c>
      <c r="G55" s="15" t="n">
        <v>0</v>
      </c>
      <c r="H55" s="15" t="n">
        <v>648.66</v>
      </c>
      <c r="I55" s="7" t="n">
        <v>5</v>
      </c>
      <c r="J55" s="7" t="s">
        <v>930</v>
      </c>
    </row>
    <row r="56" customFormat="false" ht="15" hidden="false" customHeight="false" outlineLevel="0" collapsed="false">
      <c r="A56" s="3" t="n">
        <v>1</v>
      </c>
      <c r="B56" s="24" t="n">
        <v>46023</v>
      </c>
      <c r="C56" s="3" t="s">
        <v>263</v>
      </c>
      <c r="D56" s="3" t="s">
        <v>222</v>
      </c>
      <c r="E56" s="3" t="s">
        <v>125</v>
      </c>
      <c r="F56" s="15" t="n">
        <v>604.3</v>
      </c>
      <c r="G56" s="15" t="n">
        <v>0</v>
      </c>
      <c r="H56" s="15" t="n">
        <v>604.3</v>
      </c>
      <c r="I56" s="7" t="n">
        <v>1</v>
      </c>
      <c r="J56" s="7" t="s">
        <v>931</v>
      </c>
    </row>
    <row r="57" customFormat="false" ht="15" hidden="false" customHeight="false" outlineLevel="0" collapsed="false">
      <c r="A57" s="3" t="n">
        <v>1</v>
      </c>
      <c r="B57" s="24" t="n">
        <v>46023</v>
      </c>
      <c r="C57" s="3" t="s">
        <v>263</v>
      </c>
      <c r="D57" s="3" t="s">
        <v>222</v>
      </c>
      <c r="E57" s="3" t="s">
        <v>131</v>
      </c>
      <c r="F57" s="15" t="n">
        <v>4651.64</v>
      </c>
      <c r="G57" s="15" t="n">
        <v>0</v>
      </c>
      <c r="H57" s="15" t="n">
        <v>4651.64</v>
      </c>
      <c r="I57" s="7" t="n">
        <v>2</v>
      </c>
      <c r="J57" s="7" t="s">
        <v>932</v>
      </c>
    </row>
    <row r="58" customFormat="false" ht="15" hidden="false" customHeight="false" outlineLevel="0" collapsed="false">
      <c r="A58" s="3" t="n">
        <v>1</v>
      </c>
      <c r="B58" s="24" t="n">
        <v>46023</v>
      </c>
      <c r="C58" s="3" t="s">
        <v>263</v>
      </c>
      <c r="D58" s="3" t="s">
        <v>222</v>
      </c>
      <c r="E58" s="3" t="s">
        <v>127</v>
      </c>
      <c r="F58" s="15" t="n">
        <v>226.94</v>
      </c>
      <c r="G58" s="15" t="n">
        <v>0</v>
      </c>
      <c r="H58" s="15" t="n">
        <v>226.94</v>
      </c>
      <c r="I58" s="7" t="n">
        <v>3</v>
      </c>
      <c r="J58" s="7" t="s">
        <v>933</v>
      </c>
    </row>
    <row r="59" customFormat="false" ht="15" hidden="false" customHeight="false" outlineLevel="0" collapsed="false">
      <c r="A59" s="3" t="n">
        <v>1</v>
      </c>
      <c r="B59" s="24" t="n">
        <v>46023</v>
      </c>
      <c r="C59" s="3" t="s">
        <v>263</v>
      </c>
      <c r="D59" s="3" t="s">
        <v>222</v>
      </c>
      <c r="E59" s="3" t="s">
        <v>129</v>
      </c>
      <c r="F59" s="15" t="n">
        <v>691.69</v>
      </c>
      <c r="G59" s="15" t="n">
        <v>0</v>
      </c>
      <c r="H59" s="15" t="n">
        <v>691.69</v>
      </c>
      <c r="I59" s="7" t="n">
        <v>4</v>
      </c>
      <c r="J59" s="7" t="s">
        <v>934</v>
      </c>
    </row>
    <row r="60" customFormat="false" ht="15" hidden="false" customHeight="false" outlineLevel="0" collapsed="false">
      <c r="A60" s="3" t="n">
        <v>1</v>
      </c>
      <c r="B60" s="24" t="n">
        <v>46023</v>
      </c>
      <c r="C60" s="3" t="s">
        <v>263</v>
      </c>
      <c r="D60" s="3" t="s">
        <v>222</v>
      </c>
      <c r="E60" s="3" t="s">
        <v>116</v>
      </c>
      <c r="F60" s="15" t="n">
        <v>1164.89</v>
      </c>
      <c r="G60" s="15" t="n">
        <v>0</v>
      </c>
      <c r="H60" s="15" t="n">
        <v>1164.89</v>
      </c>
      <c r="I60" s="7" t="n">
        <v>5</v>
      </c>
      <c r="J60" s="7" t="s">
        <v>935</v>
      </c>
    </row>
    <row r="61" customFormat="false" ht="15" hidden="false" customHeight="false" outlineLevel="0" collapsed="false">
      <c r="A61" s="3" t="n">
        <v>1</v>
      </c>
      <c r="B61" s="24" t="n">
        <v>46023</v>
      </c>
      <c r="C61" s="3" t="s">
        <v>263</v>
      </c>
      <c r="D61" s="3" t="s">
        <v>222</v>
      </c>
      <c r="E61" s="3" t="s">
        <v>115</v>
      </c>
      <c r="F61" s="15" t="n">
        <v>1042.49</v>
      </c>
      <c r="G61" s="15" t="n">
        <v>0</v>
      </c>
      <c r="H61" s="15" t="n">
        <v>1042.49</v>
      </c>
      <c r="I61" s="7" t="n">
        <v>6</v>
      </c>
      <c r="J61" s="7" t="s">
        <v>936</v>
      </c>
    </row>
    <row r="62" customFormat="false" ht="15" hidden="false" customHeight="false" outlineLevel="0" collapsed="false">
      <c r="A62" s="3" t="n">
        <v>1</v>
      </c>
      <c r="B62" s="24" t="n">
        <v>46023</v>
      </c>
      <c r="C62" s="3" t="s">
        <v>263</v>
      </c>
      <c r="D62" s="3" t="s">
        <v>222</v>
      </c>
      <c r="E62" s="3" t="s">
        <v>117</v>
      </c>
      <c r="F62" s="15" t="n">
        <v>1461.64</v>
      </c>
      <c r="G62" s="15" t="n">
        <v>0</v>
      </c>
      <c r="H62" s="15" t="n">
        <v>1461.64</v>
      </c>
      <c r="I62" s="7" t="n">
        <v>7</v>
      </c>
      <c r="J62" s="7" t="s">
        <v>937</v>
      </c>
    </row>
    <row r="63" customFormat="false" ht="15" hidden="false" customHeight="false" outlineLevel="0" collapsed="false">
      <c r="A63" s="3" t="n">
        <v>1</v>
      </c>
      <c r="B63" s="24" t="n">
        <v>46023</v>
      </c>
      <c r="C63" s="3" t="s">
        <v>263</v>
      </c>
      <c r="D63" s="3" t="s">
        <v>222</v>
      </c>
      <c r="E63" s="3" t="s">
        <v>150</v>
      </c>
      <c r="F63" s="15" t="n">
        <v>10.95</v>
      </c>
      <c r="G63" s="15" t="n">
        <v>0</v>
      </c>
      <c r="H63" s="15" t="n">
        <v>10.95</v>
      </c>
      <c r="I63" s="7" t="n">
        <v>8</v>
      </c>
      <c r="J63" s="7" t="s">
        <v>938</v>
      </c>
    </row>
    <row r="64" customFormat="false" ht="15" hidden="false" customHeight="false" outlineLevel="0" collapsed="false">
      <c r="A64" s="3" t="n">
        <v>1</v>
      </c>
      <c r="B64" s="24" t="n">
        <v>46023</v>
      </c>
      <c r="C64" s="3" t="s">
        <v>263</v>
      </c>
      <c r="D64" s="3" t="s">
        <v>222</v>
      </c>
      <c r="E64" s="3" t="s">
        <v>108</v>
      </c>
      <c r="F64" s="15" t="n">
        <v>5020.05</v>
      </c>
      <c r="G64" s="15" t="n">
        <v>0</v>
      </c>
      <c r="H64" s="15" t="n">
        <v>5020.05</v>
      </c>
      <c r="I64" s="7" t="n">
        <v>9</v>
      </c>
      <c r="J64" s="7" t="s">
        <v>939</v>
      </c>
    </row>
    <row r="65" customFormat="false" ht="15" hidden="false" customHeight="false" outlineLevel="0" collapsed="false">
      <c r="A65" s="3" t="n">
        <v>1</v>
      </c>
      <c r="B65" s="24" t="n">
        <v>46023</v>
      </c>
      <c r="C65" s="3" t="s">
        <v>263</v>
      </c>
      <c r="D65" s="3" t="s">
        <v>222</v>
      </c>
      <c r="E65" s="3" t="s">
        <v>110</v>
      </c>
      <c r="F65" s="15" t="n">
        <v>2859.87</v>
      </c>
      <c r="G65" s="15" t="n">
        <v>0</v>
      </c>
      <c r="H65" s="15" t="n">
        <v>2859.87</v>
      </c>
      <c r="I65" s="7" t="n">
        <v>10</v>
      </c>
      <c r="J65" s="7" t="s">
        <v>940</v>
      </c>
    </row>
    <row r="66" customFormat="false" ht="15" hidden="false" customHeight="false" outlineLevel="0" collapsed="false">
      <c r="A66" s="3" t="n">
        <v>1</v>
      </c>
      <c r="B66" s="24" t="n">
        <v>46023</v>
      </c>
      <c r="C66" s="3" t="s">
        <v>263</v>
      </c>
      <c r="D66" s="3" t="s">
        <v>222</v>
      </c>
      <c r="E66" s="3" t="s">
        <v>121</v>
      </c>
      <c r="F66" s="15" t="n">
        <v>524.42</v>
      </c>
      <c r="G66" s="15" t="n">
        <v>0</v>
      </c>
      <c r="H66" s="15" t="n">
        <v>524.42</v>
      </c>
      <c r="I66" s="7" t="n">
        <v>11</v>
      </c>
      <c r="J66" s="7" t="s">
        <v>941</v>
      </c>
    </row>
    <row r="67" customFormat="false" ht="15" hidden="false" customHeight="false" outlineLevel="0" collapsed="false">
      <c r="A67" s="3" t="n">
        <v>1</v>
      </c>
      <c r="B67" s="24" t="n">
        <v>46023</v>
      </c>
      <c r="C67" s="3" t="s">
        <v>263</v>
      </c>
      <c r="D67" s="3" t="s">
        <v>222</v>
      </c>
      <c r="E67" s="3" t="s">
        <v>132</v>
      </c>
      <c r="F67" s="15" t="n">
        <v>28.56</v>
      </c>
      <c r="G67" s="15" t="n">
        <v>0</v>
      </c>
      <c r="H67" s="15" t="n">
        <v>28.56</v>
      </c>
      <c r="I67" s="7" t="n">
        <v>12</v>
      </c>
      <c r="J67" s="7" t="s">
        <v>942</v>
      </c>
    </row>
    <row r="68" customFormat="false" ht="15" hidden="false" customHeight="false" outlineLevel="0" collapsed="false">
      <c r="A68" s="3" t="n">
        <v>1</v>
      </c>
      <c r="B68" s="24" t="n">
        <v>46023</v>
      </c>
      <c r="C68" s="3" t="s">
        <v>263</v>
      </c>
      <c r="D68" s="3" t="s">
        <v>222</v>
      </c>
      <c r="E68" s="3" t="s">
        <v>193</v>
      </c>
      <c r="F68" s="15" t="n">
        <v>143.04</v>
      </c>
      <c r="G68" s="15" t="n">
        <v>0</v>
      </c>
      <c r="H68" s="15" t="n">
        <v>143.04</v>
      </c>
      <c r="I68" s="7" t="n">
        <v>13</v>
      </c>
      <c r="J68" s="7" t="s">
        <v>943</v>
      </c>
    </row>
    <row r="69" customFormat="false" ht="15" hidden="false" customHeight="false" outlineLevel="0" collapsed="false">
      <c r="A69" s="3" t="n">
        <v>1</v>
      </c>
      <c r="B69" s="24" t="n">
        <v>46023</v>
      </c>
      <c r="C69" s="3" t="s">
        <v>263</v>
      </c>
      <c r="D69" s="3" t="s">
        <v>222</v>
      </c>
      <c r="E69" s="3" t="s">
        <v>184</v>
      </c>
      <c r="F69" s="15" t="n">
        <v>205.95</v>
      </c>
      <c r="G69" s="15" t="n">
        <v>0</v>
      </c>
      <c r="H69" s="15" t="n">
        <v>205.95</v>
      </c>
      <c r="I69" s="7" t="n">
        <v>14</v>
      </c>
      <c r="J69" s="7" t="s">
        <v>944</v>
      </c>
    </row>
    <row r="70" customFormat="false" ht="15" hidden="false" customHeight="false" outlineLevel="0" collapsed="false">
      <c r="A70" s="3" t="n">
        <v>1</v>
      </c>
      <c r="B70" s="24" t="n">
        <v>46023</v>
      </c>
      <c r="C70" s="3" t="s">
        <v>264</v>
      </c>
      <c r="D70" s="3" t="s">
        <v>222</v>
      </c>
      <c r="E70" s="3" t="s">
        <v>118</v>
      </c>
      <c r="F70" s="15" t="n">
        <v>7798.13</v>
      </c>
      <c r="G70" s="15" t="n">
        <v>0</v>
      </c>
      <c r="H70" s="15" t="n">
        <v>7798.13</v>
      </c>
      <c r="I70" s="7" t="n">
        <v>1</v>
      </c>
      <c r="J70" s="7" t="s">
        <v>945</v>
      </c>
    </row>
    <row r="71" customFormat="false" ht="15" hidden="false" customHeight="false" outlineLevel="0" collapsed="false">
      <c r="A71" s="3" t="n">
        <v>1</v>
      </c>
      <c r="B71" s="24" t="n">
        <v>46023</v>
      </c>
      <c r="C71" s="3" t="s">
        <v>264</v>
      </c>
      <c r="D71" s="3" t="s">
        <v>222</v>
      </c>
      <c r="E71" s="3" t="s">
        <v>113</v>
      </c>
      <c r="F71" s="15" t="n">
        <v>30433.9</v>
      </c>
      <c r="G71" s="15" t="n">
        <v>0</v>
      </c>
      <c r="H71" s="15" t="n">
        <v>30433.9</v>
      </c>
      <c r="I71" s="7" t="n">
        <v>2</v>
      </c>
      <c r="J71" s="7" t="s">
        <v>946</v>
      </c>
    </row>
    <row r="72" customFormat="false" ht="15" hidden="false" customHeight="false" outlineLevel="0" collapsed="false">
      <c r="A72" s="3" t="n">
        <v>1</v>
      </c>
      <c r="B72" s="24" t="n">
        <v>46023</v>
      </c>
      <c r="C72" s="3" t="s">
        <v>264</v>
      </c>
      <c r="D72" s="3" t="s">
        <v>222</v>
      </c>
      <c r="E72" s="3" t="s">
        <v>111</v>
      </c>
      <c r="F72" s="15" t="n">
        <v>23912.4</v>
      </c>
      <c r="G72" s="15" t="n">
        <v>0</v>
      </c>
      <c r="H72" s="15" t="n">
        <v>23912.4</v>
      </c>
      <c r="I72" s="7" t="n">
        <v>3</v>
      </c>
      <c r="J72" s="7" t="s">
        <v>947</v>
      </c>
    </row>
    <row r="73" customFormat="false" ht="15" hidden="false" customHeight="false" outlineLevel="0" collapsed="false">
      <c r="A73" s="3" t="n">
        <v>1</v>
      </c>
      <c r="B73" s="24" t="n">
        <v>46023</v>
      </c>
      <c r="C73" s="3" t="s">
        <v>264</v>
      </c>
      <c r="D73" s="3" t="s">
        <v>222</v>
      </c>
      <c r="E73" s="3" t="s">
        <v>114</v>
      </c>
      <c r="F73" s="15" t="n">
        <v>25321.8</v>
      </c>
      <c r="G73" s="15" t="n">
        <v>0</v>
      </c>
      <c r="H73" s="15" t="n">
        <v>25321.8</v>
      </c>
      <c r="I73" s="7" t="n">
        <v>4</v>
      </c>
      <c r="J73" s="7" t="s">
        <v>948</v>
      </c>
    </row>
    <row r="74" customFormat="false" ht="15" hidden="false" customHeight="false" outlineLevel="0" collapsed="false">
      <c r="A74" s="3" t="n">
        <v>1</v>
      </c>
      <c r="B74" s="24" t="n">
        <v>46023</v>
      </c>
      <c r="C74" s="3" t="s">
        <v>265</v>
      </c>
      <c r="D74" s="3" t="s">
        <v>222</v>
      </c>
      <c r="E74" s="3" t="s">
        <v>191</v>
      </c>
      <c r="F74" s="15" t="n">
        <v>358.6</v>
      </c>
      <c r="G74" s="15" t="n">
        <v>0</v>
      </c>
      <c r="H74" s="15" t="n">
        <v>358.6</v>
      </c>
      <c r="I74" s="7" t="n">
        <v>1</v>
      </c>
      <c r="J74" s="7" t="s">
        <v>949</v>
      </c>
    </row>
    <row r="75" customFormat="false" ht="15" hidden="false" customHeight="false" outlineLevel="0" collapsed="false">
      <c r="A75" s="3" t="n">
        <v>1</v>
      </c>
      <c r="B75" s="24" t="n">
        <v>46023</v>
      </c>
      <c r="C75" s="3" t="s">
        <v>265</v>
      </c>
      <c r="D75" s="3" t="s">
        <v>222</v>
      </c>
      <c r="E75" s="3" t="s">
        <v>125</v>
      </c>
      <c r="F75" s="15" t="n">
        <v>5000.6</v>
      </c>
      <c r="G75" s="15" t="n">
        <v>0</v>
      </c>
      <c r="H75" s="15" t="n">
        <v>5000.6</v>
      </c>
      <c r="I75" s="7" t="n">
        <v>2</v>
      </c>
      <c r="J75" s="7" t="s">
        <v>950</v>
      </c>
    </row>
    <row r="76" customFormat="false" ht="15" hidden="false" customHeight="false" outlineLevel="0" collapsed="false">
      <c r="A76" s="3" t="n">
        <v>1</v>
      </c>
      <c r="B76" s="24" t="n">
        <v>46023</v>
      </c>
      <c r="C76" s="3" t="s">
        <v>265</v>
      </c>
      <c r="D76" s="3" t="s">
        <v>222</v>
      </c>
      <c r="E76" s="3" t="s">
        <v>131</v>
      </c>
      <c r="F76" s="15" t="n">
        <v>4949.2</v>
      </c>
      <c r="G76" s="15" t="n">
        <v>0</v>
      </c>
      <c r="H76" s="15" t="n">
        <v>4949.2</v>
      </c>
      <c r="I76" s="7" t="n">
        <v>3</v>
      </c>
      <c r="J76" s="7" t="s">
        <v>951</v>
      </c>
    </row>
    <row r="77" customFormat="false" ht="15" hidden="false" customHeight="false" outlineLevel="0" collapsed="false">
      <c r="A77" s="3" t="n">
        <v>1</v>
      </c>
      <c r="B77" s="24" t="n">
        <v>46023</v>
      </c>
      <c r="C77" s="3" t="s">
        <v>265</v>
      </c>
      <c r="D77" s="3" t="s">
        <v>222</v>
      </c>
      <c r="E77" s="3" t="s">
        <v>127</v>
      </c>
      <c r="F77" s="15" t="n">
        <v>5845.6</v>
      </c>
      <c r="G77" s="15" t="n">
        <v>0</v>
      </c>
      <c r="H77" s="15" t="n">
        <v>5845.6</v>
      </c>
      <c r="I77" s="7" t="n">
        <v>4</v>
      </c>
      <c r="J77" s="7" t="s">
        <v>952</v>
      </c>
    </row>
    <row r="78" customFormat="false" ht="15" hidden="false" customHeight="false" outlineLevel="0" collapsed="false">
      <c r="A78" s="3" t="n">
        <v>1</v>
      </c>
      <c r="B78" s="24" t="n">
        <v>46023</v>
      </c>
      <c r="C78" s="3" t="s">
        <v>265</v>
      </c>
      <c r="D78" s="3" t="s">
        <v>222</v>
      </c>
      <c r="E78" s="3" t="s">
        <v>129</v>
      </c>
      <c r="F78" s="15" t="n">
        <v>7325.3</v>
      </c>
      <c r="G78" s="15" t="n">
        <v>0</v>
      </c>
      <c r="H78" s="15" t="n">
        <v>7325.3</v>
      </c>
      <c r="I78" s="7" t="n">
        <v>5</v>
      </c>
      <c r="J78" s="7" t="s">
        <v>953</v>
      </c>
    </row>
    <row r="79" customFormat="false" ht="15" hidden="false" customHeight="false" outlineLevel="0" collapsed="false">
      <c r="A79" s="3" t="n">
        <v>1</v>
      </c>
      <c r="B79" s="24" t="n">
        <v>46023</v>
      </c>
      <c r="C79" s="3" t="s">
        <v>265</v>
      </c>
      <c r="D79" s="3" t="s">
        <v>222</v>
      </c>
      <c r="E79" s="3" t="s">
        <v>116</v>
      </c>
      <c r="F79" s="15" t="n">
        <v>22022.4</v>
      </c>
      <c r="G79" s="15" t="n">
        <v>0</v>
      </c>
      <c r="H79" s="15" t="n">
        <v>22022.4</v>
      </c>
      <c r="I79" s="7" t="n">
        <v>6</v>
      </c>
      <c r="J79" s="7" t="s">
        <v>954</v>
      </c>
    </row>
    <row r="80" customFormat="false" ht="15" hidden="false" customHeight="false" outlineLevel="0" collapsed="false">
      <c r="A80" s="3" t="n">
        <v>1</v>
      </c>
      <c r="B80" s="24" t="n">
        <v>46023</v>
      </c>
      <c r="C80" s="3" t="s">
        <v>265</v>
      </c>
      <c r="D80" s="3" t="s">
        <v>222</v>
      </c>
      <c r="E80" s="3" t="s">
        <v>115</v>
      </c>
      <c r="F80" s="15" t="n">
        <v>18521.4</v>
      </c>
      <c r="G80" s="15" t="n">
        <v>0</v>
      </c>
      <c r="H80" s="15" t="n">
        <v>18521.4</v>
      </c>
      <c r="I80" s="7" t="n">
        <v>7</v>
      </c>
      <c r="J80" s="7" t="s">
        <v>955</v>
      </c>
    </row>
    <row r="81" customFormat="false" ht="15" hidden="false" customHeight="false" outlineLevel="0" collapsed="false">
      <c r="A81" s="3" t="n">
        <v>1</v>
      </c>
      <c r="B81" s="24" t="n">
        <v>46023</v>
      </c>
      <c r="C81" s="3" t="s">
        <v>265</v>
      </c>
      <c r="D81" s="3" t="s">
        <v>222</v>
      </c>
      <c r="E81" s="3" t="s">
        <v>117</v>
      </c>
      <c r="F81" s="15" t="n">
        <v>18143</v>
      </c>
      <c r="G81" s="15" t="n">
        <v>0</v>
      </c>
      <c r="H81" s="15" t="n">
        <v>18143</v>
      </c>
      <c r="I81" s="7" t="n">
        <v>8</v>
      </c>
      <c r="J81" s="7" t="s">
        <v>956</v>
      </c>
    </row>
    <row r="82" customFormat="false" ht="15" hidden="false" customHeight="false" outlineLevel="0" collapsed="false">
      <c r="A82" s="3" t="n">
        <v>1</v>
      </c>
      <c r="B82" s="24" t="n">
        <v>46023</v>
      </c>
      <c r="C82" s="3" t="s">
        <v>265</v>
      </c>
      <c r="D82" s="3" t="s">
        <v>222</v>
      </c>
      <c r="E82" s="3" t="s">
        <v>150</v>
      </c>
      <c r="F82" s="15" t="n">
        <v>661.6</v>
      </c>
      <c r="G82" s="15" t="n">
        <v>0</v>
      </c>
      <c r="H82" s="15" t="n">
        <v>661.6</v>
      </c>
      <c r="I82" s="7" t="n">
        <v>9</v>
      </c>
      <c r="J82" s="7" t="s">
        <v>957</v>
      </c>
    </row>
    <row r="83" customFormat="false" ht="15" hidden="false" customHeight="false" outlineLevel="0" collapsed="false">
      <c r="A83" s="3" t="n">
        <v>1</v>
      </c>
      <c r="B83" s="24" t="n">
        <v>46023</v>
      </c>
      <c r="C83" s="3" t="s">
        <v>265</v>
      </c>
      <c r="D83" s="3" t="s">
        <v>222</v>
      </c>
      <c r="E83" s="3" t="s">
        <v>108</v>
      </c>
      <c r="F83" s="15" t="n">
        <v>123483.8</v>
      </c>
      <c r="G83" s="15" t="n">
        <v>0</v>
      </c>
      <c r="H83" s="15" t="n">
        <v>123483.8</v>
      </c>
      <c r="I83" s="7" t="n">
        <v>10</v>
      </c>
      <c r="J83" s="7" t="s">
        <v>958</v>
      </c>
    </row>
    <row r="84" customFormat="false" ht="15" hidden="false" customHeight="false" outlineLevel="0" collapsed="false">
      <c r="A84" s="3" t="n">
        <v>1</v>
      </c>
      <c r="B84" s="24" t="n">
        <v>46023</v>
      </c>
      <c r="C84" s="3" t="s">
        <v>265</v>
      </c>
      <c r="D84" s="3" t="s">
        <v>222</v>
      </c>
      <c r="E84" s="3" t="s">
        <v>110</v>
      </c>
      <c r="F84" s="15" t="n">
        <v>103455.38</v>
      </c>
      <c r="G84" s="15" t="n">
        <v>0</v>
      </c>
      <c r="H84" s="15" t="n">
        <v>103455.38</v>
      </c>
      <c r="I84" s="7" t="n">
        <v>11</v>
      </c>
      <c r="J84" s="7" t="s">
        <v>959</v>
      </c>
    </row>
    <row r="85" customFormat="false" ht="15" hidden="false" customHeight="false" outlineLevel="0" collapsed="false">
      <c r="A85" s="3" t="n">
        <v>1</v>
      </c>
      <c r="B85" s="24" t="n">
        <v>46023</v>
      </c>
      <c r="C85" s="3" t="s">
        <v>265</v>
      </c>
      <c r="D85" s="3" t="s">
        <v>222</v>
      </c>
      <c r="E85" s="3" t="s">
        <v>151</v>
      </c>
      <c r="F85" s="15" t="n">
        <v>382</v>
      </c>
      <c r="G85" s="15" t="n">
        <v>0</v>
      </c>
      <c r="H85" s="15" t="n">
        <v>382</v>
      </c>
      <c r="I85" s="7" t="n">
        <v>12</v>
      </c>
      <c r="J85" s="7" t="s">
        <v>960</v>
      </c>
    </row>
    <row r="86" customFormat="false" ht="15" hidden="false" customHeight="false" outlineLevel="0" collapsed="false">
      <c r="A86" s="3" t="n">
        <v>1</v>
      </c>
      <c r="B86" s="24" t="n">
        <v>46023</v>
      </c>
      <c r="C86" s="3" t="s">
        <v>265</v>
      </c>
      <c r="D86" s="3" t="s">
        <v>222</v>
      </c>
      <c r="E86" s="3" t="s">
        <v>121</v>
      </c>
      <c r="F86" s="15" t="n">
        <v>5074.5</v>
      </c>
      <c r="G86" s="15" t="n">
        <v>0</v>
      </c>
      <c r="H86" s="15" t="n">
        <v>5074.5</v>
      </c>
      <c r="I86" s="7" t="n">
        <v>13</v>
      </c>
      <c r="J86" s="7" t="s">
        <v>961</v>
      </c>
    </row>
    <row r="87" customFormat="false" ht="15" hidden="false" customHeight="false" outlineLevel="0" collapsed="false">
      <c r="A87" s="3" t="n">
        <v>1</v>
      </c>
      <c r="B87" s="24" t="n">
        <v>46023</v>
      </c>
      <c r="C87" s="3" t="s">
        <v>265</v>
      </c>
      <c r="D87" s="3" t="s">
        <v>222</v>
      </c>
      <c r="E87" s="3" t="s">
        <v>132</v>
      </c>
      <c r="F87" s="15" t="n">
        <v>5066.4</v>
      </c>
      <c r="G87" s="15" t="n">
        <v>0</v>
      </c>
      <c r="H87" s="15" t="n">
        <v>5066.4</v>
      </c>
      <c r="I87" s="7" t="n">
        <v>14</v>
      </c>
      <c r="J87" s="7" t="s">
        <v>962</v>
      </c>
    </row>
    <row r="88" customFormat="false" ht="15" hidden="false" customHeight="false" outlineLevel="0" collapsed="false">
      <c r="A88" s="3" t="n">
        <v>1</v>
      </c>
      <c r="B88" s="24" t="n">
        <v>46023</v>
      </c>
      <c r="C88" s="3" t="s">
        <v>266</v>
      </c>
      <c r="D88" s="3" t="s">
        <v>222</v>
      </c>
      <c r="E88" s="3" t="s">
        <v>126</v>
      </c>
      <c r="F88" s="15" t="n">
        <v>4229.3</v>
      </c>
      <c r="G88" s="15" t="n">
        <v>0</v>
      </c>
      <c r="H88" s="15" t="n">
        <v>4229.3</v>
      </c>
      <c r="I88" s="7" t="n">
        <v>1</v>
      </c>
      <c r="J88" s="7" t="s">
        <v>963</v>
      </c>
    </row>
    <row r="89" customFormat="false" ht="15" hidden="false" customHeight="false" outlineLevel="0" collapsed="false">
      <c r="A89" s="3" t="n">
        <v>1</v>
      </c>
      <c r="B89" s="24" t="n">
        <v>46023</v>
      </c>
      <c r="C89" s="3" t="s">
        <v>267</v>
      </c>
      <c r="D89" s="3" t="s">
        <v>237</v>
      </c>
      <c r="E89" s="3" t="s">
        <v>109</v>
      </c>
      <c r="F89" s="15" t="n">
        <v>2024.81</v>
      </c>
      <c r="G89" s="15" t="n">
        <v>0</v>
      </c>
      <c r="H89" s="15" t="n">
        <v>2024.81</v>
      </c>
      <c r="I89" s="7" t="n">
        <v>1</v>
      </c>
      <c r="J89" s="7" t="s">
        <v>964</v>
      </c>
    </row>
    <row r="90" customFormat="false" ht="15" hidden="false" customHeight="false" outlineLevel="0" collapsed="false">
      <c r="A90" s="3" t="n">
        <v>1</v>
      </c>
      <c r="B90" s="24" t="n">
        <v>46023</v>
      </c>
      <c r="C90" s="3" t="s">
        <v>267</v>
      </c>
      <c r="D90" s="3" t="s">
        <v>237</v>
      </c>
      <c r="E90" s="3" t="s">
        <v>133</v>
      </c>
      <c r="F90" s="15" t="n">
        <v>1266.88</v>
      </c>
      <c r="G90" s="15" t="n">
        <v>0</v>
      </c>
      <c r="H90" s="15" t="n">
        <v>1266.88</v>
      </c>
      <c r="I90" s="7" t="n">
        <v>2</v>
      </c>
      <c r="J90" s="7" t="s">
        <v>965</v>
      </c>
    </row>
    <row r="91" customFormat="false" ht="15" hidden="false" customHeight="false" outlineLevel="0" collapsed="false">
      <c r="A91" s="3" t="n">
        <v>1</v>
      </c>
      <c r="B91" s="24" t="n">
        <v>46023</v>
      </c>
      <c r="C91" s="3" t="s">
        <v>268</v>
      </c>
      <c r="D91" s="3" t="s">
        <v>269</v>
      </c>
      <c r="E91" s="3" t="s">
        <v>136</v>
      </c>
      <c r="F91" s="15" t="n">
        <v>5589.17</v>
      </c>
      <c r="G91" s="15" t="n">
        <v>0</v>
      </c>
      <c r="H91" s="15" t="n">
        <v>5589.17</v>
      </c>
      <c r="I91" s="7" t="n">
        <v>1</v>
      </c>
      <c r="J91" s="7" t="s">
        <v>966</v>
      </c>
    </row>
    <row r="92" customFormat="false" ht="15" hidden="false" customHeight="false" outlineLevel="0" collapsed="false">
      <c r="A92" s="3" t="n">
        <v>1</v>
      </c>
      <c r="B92" s="24" t="n">
        <v>46023</v>
      </c>
      <c r="C92" s="3" t="s">
        <v>268</v>
      </c>
      <c r="D92" s="3" t="s">
        <v>269</v>
      </c>
      <c r="E92" s="3" t="s">
        <v>174</v>
      </c>
      <c r="F92" s="15" t="n">
        <v>1330.9</v>
      </c>
      <c r="G92" s="15" t="n">
        <v>0</v>
      </c>
      <c r="H92" s="15" t="n">
        <v>1330.9</v>
      </c>
      <c r="I92" s="7" t="n">
        <v>2</v>
      </c>
      <c r="J92" s="7" t="s">
        <v>967</v>
      </c>
    </row>
    <row r="93" customFormat="false" ht="15" hidden="false" customHeight="false" outlineLevel="0" collapsed="false">
      <c r="A93" s="3" t="n">
        <v>1</v>
      </c>
      <c r="B93" s="24" t="n">
        <v>46023</v>
      </c>
      <c r="C93" s="3" t="s">
        <v>268</v>
      </c>
      <c r="D93" s="3" t="s">
        <v>269</v>
      </c>
      <c r="E93" s="3" t="s">
        <v>182</v>
      </c>
      <c r="F93" s="15" t="n">
        <v>908.7</v>
      </c>
      <c r="G93" s="15" t="n">
        <v>0</v>
      </c>
      <c r="H93" s="15" t="n">
        <v>908.7</v>
      </c>
      <c r="I93" s="7" t="n">
        <v>3</v>
      </c>
      <c r="J93" s="7" t="s">
        <v>968</v>
      </c>
    </row>
    <row r="94" customFormat="false" ht="15" hidden="false" customHeight="false" outlineLevel="0" collapsed="false">
      <c r="A94" s="3" t="n">
        <v>1</v>
      </c>
      <c r="B94" s="24" t="n">
        <v>46023</v>
      </c>
      <c r="C94" s="3" t="s">
        <v>268</v>
      </c>
      <c r="D94" s="3" t="s">
        <v>269</v>
      </c>
      <c r="E94" s="3" t="s">
        <v>169</v>
      </c>
      <c r="F94" s="15" t="n">
        <v>1079.09</v>
      </c>
      <c r="G94" s="15" t="n">
        <v>0</v>
      </c>
      <c r="H94" s="15" t="n">
        <v>1079.09</v>
      </c>
      <c r="I94" s="7" t="n">
        <v>4</v>
      </c>
      <c r="J94" s="7" t="s">
        <v>969</v>
      </c>
    </row>
    <row r="95" customFormat="false" ht="15" hidden="false" customHeight="false" outlineLevel="0" collapsed="false">
      <c r="A95" s="3" t="n">
        <v>1</v>
      </c>
      <c r="B95" s="24" t="n">
        <v>46023</v>
      </c>
      <c r="C95" s="3" t="s">
        <v>268</v>
      </c>
      <c r="D95" s="3" t="s">
        <v>269</v>
      </c>
      <c r="E95" s="3" t="s">
        <v>180</v>
      </c>
      <c r="F95" s="15" t="n">
        <v>692.1</v>
      </c>
      <c r="G95" s="15" t="n">
        <v>0</v>
      </c>
      <c r="H95" s="15" t="n">
        <v>692.1</v>
      </c>
      <c r="I95" s="7" t="n">
        <v>5</v>
      </c>
      <c r="J95" s="7" t="s">
        <v>970</v>
      </c>
    </row>
    <row r="96" customFormat="false" ht="15" hidden="false" customHeight="false" outlineLevel="0" collapsed="false">
      <c r="A96" s="3" t="n">
        <v>1</v>
      </c>
      <c r="B96" s="24" t="n">
        <v>46023</v>
      </c>
      <c r="C96" s="3" t="s">
        <v>270</v>
      </c>
      <c r="D96" s="3" t="s">
        <v>269</v>
      </c>
      <c r="E96" s="3" t="s">
        <v>112</v>
      </c>
      <c r="F96" s="15" t="n">
        <v>9970.49</v>
      </c>
      <c r="G96" s="15" t="n">
        <v>0</v>
      </c>
      <c r="H96" s="15" t="n">
        <v>9970.49</v>
      </c>
      <c r="I96" s="7" t="n">
        <v>1</v>
      </c>
      <c r="J96" s="7" t="s">
        <v>971</v>
      </c>
    </row>
    <row r="97" customFormat="false" ht="15" hidden="false" customHeight="false" outlineLevel="0" collapsed="false">
      <c r="A97" s="3" t="n">
        <v>1</v>
      </c>
      <c r="B97" s="24" t="n">
        <v>46023</v>
      </c>
      <c r="C97" s="3" t="s">
        <v>270</v>
      </c>
      <c r="D97" s="3" t="s">
        <v>269</v>
      </c>
      <c r="E97" s="3" t="s">
        <v>164</v>
      </c>
      <c r="F97" s="15" t="n">
        <v>1673.31</v>
      </c>
      <c r="G97" s="15" t="n">
        <v>0</v>
      </c>
      <c r="H97" s="15" t="n">
        <v>1673.31</v>
      </c>
      <c r="I97" s="7" t="n">
        <v>2</v>
      </c>
      <c r="J97" s="7" t="s">
        <v>972</v>
      </c>
    </row>
    <row r="98" customFormat="false" ht="15" hidden="false" customHeight="false" outlineLevel="0" collapsed="false">
      <c r="A98" s="3" t="n">
        <v>1</v>
      </c>
      <c r="B98" s="24" t="n">
        <v>46023</v>
      </c>
      <c r="C98" s="3" t="s">
        <v>270</v>
      </c>
      <c r="D98" s="3" t="s">
        <v>269</v>
      </c>
      <c r="E98" s="3" t="s">
        <v>157</v>
      </c>
      <c r="F98" s="15" t="n">
        <v>820.78</v>
      </c>
      <c r="G98" s="15" t="n">
        <v>0</v>
      </c>
      <c r="H98" s="15" t="n">
        <v>820.78</v>
      </c>
      <c r="I98" s="7" t="n">
        <v>3</v>
      </c>
      <c r="J98" s="7" t="s">
        <v>973</v>
      </c>
    </row>
    <row r="99" customFormat="false" ht="15" hidden="false" customHeight="false" outlineLevel="0" collapsed="false">
      <c r="A99" s="3" t="n">
        <v>1</v>
      </c>
      <c r="B99" s="24" t="n">
        <v>46023</v>
      </c>
      <c r="C99" s="3" t="s">
        <v>270</v>
      </c>
      <c r="D99" s="3" t="s">
        <v>269</v>
      </c>
      <c r="E99" s="3" t="s">
        <v>162</v>
      </c>
      <c r="F99" s="15" t="n">
        <v>1451.66</v>
      </c>
      <c r="G99" s="15" t="n">
        <v>0</v>
      </c>
      <c r="H99" s="15" t="n">
        <v>1451.66</v>
      </c>
      <c r="I99" s="7" t="n">
        <v>4</v>
      </c>
      <c r="J99" s="7" t="s">
        <v>974</v>
      </c>
    </row>
    <row r="100" customFormat="false" ht="15" hidden="false" customHeight="false" outlineLevel="0" collapsed="false">
      <c r="A100" s="3" t="n">
        <v>1</v>
      </c>
      <c r="B100" s="24" t="n">
        <v>46023</v>
      </c>
      <c r="C100" s="3" t="s">
        <v>270</v>
      </c>
      <c r="D100" s="3" t="s">
        <v>269</v>
      </c>
      <c r="E100" s="3" t="s">
        <v>172</v>
      </c>
      <c r="F100" s="15" t="n">
        <v>710.45</v>
      </c>
      <c r="G100" s="15" t="n">
        <v>0</v>
      </c>
      <c r="H100" s="15" t="n">
        <v>710.45</v>
      </c>
      <c r="I100" s="7" t="n">
        <v>5</v>
      </c>
      <c r="J100" s="7" t="s">
        <v>975</v>
      </c>
    </row>
    <row r="101" customFormat="false" ht="15" hidden="false" customHeight="false" outlineLevel="0" collapsed="false">
      <c r="A101" s="3" t="n">
        <v>1</v>
      </c>
      <c r="B101" s="24" t="n">
        <v>46023</v>
      </c>
      <c r="C101" s="3" t="s">
        <v>271</v>
      </c>
      <c r="D101" s="3" t="s">
        <v>224</v>
      </c>
      <c r="E101" s="3" t="s">
        <v>178</v>
      </c>
      <c r="F101" s="15" t="n">
        <v>1014.23</v>
      </c>
      <c r="G101" s="15" t="n">
        <v>0</v>
      </c>
      <c r="H101" s="15" t="n">
        <v>1014.23</v>
      </c>
      <c r="I101" s="7" t="n">
        <v>1</v>
      </c>
      <c r="J101" s="7" t="s">
        <v>976</v>
      </c>
    </row>
    <row r="102" customFormat="false" ht="15" hidden="false" customHeight="false" outlineLevel="0" collapsed="false">
      <c r="A102" s="3" t="n">
        <v>1</v>
      </c>
      <c r="B102" s="24" t="n">
        <v>46023</v>
      </c>
      <c r="C102" s="3" t="s">
        <v>272</v>
      </c>
      <c r="D102" s="3" t="s">
        <v>226</v>
      </c>
      <c r="E102" s="3" t="s">
        <v>109</v>
      </c>
      <c r="F102" s="15" t="n">
        <v>737.7</v>
      </c>
      <c r="G102" s="15" t="n">
        <v>0</v>
      </c>
      <c r="H102" s="15" t="n">
        <v>737.7</v>
      </c>
      <c r="I102" s="7" t="n">
        <v>1</v>
      </c>
      <c r="J102" s="7" t="s">
        <v>977</v>
      </c>
    </row>
    <row r="103" customFormat="false" ht="15" hidden="false" customHeight="false" outlineLevel="0" collapsed="false">
      <c r="A103" s="3" t="n">
        <v>1</v>
      </c>
      <c r="B103" s="24" t="n">
        <v>46023</v>
      </c>
      <c r="C103" s="3" t="s">
        <v>272</v>
      </c>
      <c r="D103" s="3" t="s">
        <v>226</v>
      </c>
      <c r="E103" s="3" t="s">
        <v>188</v>
      </c>
      <c r="F103" s="15" t="n">
        <v>724.8</v>
      </c>
      <c r="G103" s="15" t="n">
        <v>0</v>
      </c>
      <c r="H103" s="15" t="n">
        <v>724.8</v>
      </c>
      <c r="I103" s="7" t="n">
        <v>2</v>
      </c>
      <c r="J103" s="7" t="s">
        <v>978</v>
      </c>
    </row>
    <row r="104" customFormat="false" ht="15" hidden="false" customHeight="false" outlineLevel="0" collapsed="false">
      <c r="A104" s="3" t="n">
        <v>1</v>
      </c>
      <c r="B104" s="24" t="n">
        <v>46023</v>
      </c>
      <c r="C104" s="3" t="s">
        <v>273</v>
      </c>
      <c r="D104" s="3" t="s">
        <v>212</v>
      </c>
      <c r="E104" s="3" t="s">
        <v>148</v>
      </c>
      <c r="F104" s="15" t="n">
        <v>6765.56</v>
      </c>
      <c r="G104" s="15" t="n">
        <v>2038.6</v>
      </c>
      <c r="H104" s="15" t="n">
        <v>8804.16</v>
      </c>
      <c r="I104" s="7" t="n">
        <v>1</v>
      </c>
      <c r="J104" s="7" t="s">
        <v>979</v>
      </c>
    </row>
    <row r="105" customFormat="false" ht="15" hidden="false" customHeight="false" outlineLevel="0" collapsed="false">
      <c r="A105" s="3" t="n">
        <v>1</v>
      </c>
      <c r="B105" s="24" t="n">
        <v>46023</v>
      </c>
      <c r="C105" s="3" t="s">
        <v>273</v>
      </c>
      <c r="D105" s="3" t="s">
        <v>212</v>
      </c>
      <c r="E105" s="3" t="s">
        <v>183</v>
      </c>
      <c r="F105" s="15" t="n">
        <v>4953.9</v>
      </c>
      <c r="G105" s="15" t="n">
        <v>1522.34</v>
      </c>
      <c r="H105" s="15" t="n">
        <v>6476.24</v>
      </c>
      <c r="I105" s="7" t="n">
        <v>2</v>
      </c>
      <c r="J105" s="7" t="s">
        <v>980</v>
      </c>
    </row>
    <row r="106" customFormat="false" ht="15" hidden="false" customHeight="false" outlineLevel="0" collapsed="false">
      <c r="A106" s="3" t="n">
        <v>1</v>
      </c>
      <c r="B106" s="24" t="n">
        <v>46023</v>
      </c>
      <c r="C106" s="3" t="s">
        <v>273</v>
      </c>
      <c r="D106" s="3" t="s">
        <v>212</v>
      </c>
      <c r="E106" s="3" t="s">
        <v>144</v>
      </c>
      <c r="F106" s="15" t="n">
        <v>14967.25</v>
      </c>
      <c r="G106" s="15" t="n">
        <v>4510.15</v>
      </c>
      <c r="H106" s="15" t="n">
        <v>19477.4</v>
      </c>
      <c r="I106" s="7" t="n">
        <v>3</v>
      </c>
      <c r="J106" s="7" t="s">
        <v>981</v>
      </c>
    </row>
    <row r="107" customFormat="false" ht="15" hidden="false" customHeight="false" outlineLevel="0" collapsed="false">
      <c r="A107" s="3" t="n">
        <v>1</v>
      </c>
      <c r="B107" s="24" t="n">
        <v>46023</v>
      </c>
      <c r="C107" s="3" t="s">
        <v>273</v>
      </c>
      <c r="D107" s="3" t="s">
        <v>212</v>
      </c>
      <c r="E107" s="3" t="s">
        <v>176</v>
      </c>
      <c r="F107" s="15" t="n">
        <v>8628.12</v>
      </c>
      <c r="G107" s="15" t="n">
        <v>2599.41</v>
      </c>
      <c r="H107" s="15" t="n">
        <v>11227.53</v>
      </c>
      <c r="I107" s="7" t="n">
        <v>4</v>
      </c>
      <c r="J107" s="7" t="s">
        <v>982</v>
      </c>
    </row>
    <row r="108" customFormat="false" ht="15" hidden="false" customHeight="false" outlineLevel="0" collapsed="false">
      <c r="A108" s="3" t="n">
        <v>1</v>
      </c>
      <c r="B108" s="24" t="n">
        <v>46023</v>
      </c>
      <c r="C108" s="3" t="s">
        <v>273</v>
      </c>
      <c r="D108" s="3" t="s">
        <v>212</v>
      </c>
      <c r="E108" s="3" t="s">
        <v>119</v>
      </c>
      <c r="F108" s="15" t="n">
        <v>49425.09</v>
      </c>
      <c r="G108" s="15" t="n">
        <v>15136.9</v>
      </c>
      <c r="H108" s="15" t="n">
        <v>64561.99</v>
      </c>
      <c r="I108" s="7" t="n">
        <v>5</v>
      </c>
      <c r="J108" s="7" t="s">
        <v>983</v>
      </c>
    </row>
    <row r="109" customFormat="false" ht="15" hidden="false" customHeight="false" outlineLevel="0" collapsed="false">
      <c r="A109" s="3" t="n">
        <v>1</v>
      </c>
      <c r="B109" s="24" t="n">
        <v>46023</v>
      </c>
      <c r="C109" s="3" t="s">
        <v>273</v>
      </c>
      <c r="D109" s="3" t="s">
        <v>212</v>
      </c>
      <c r="E109" s="3" t="s">
        <v>142</v>
      </c>
      <c r="F109" s="15" t="n">
        <v>7498.8</v>
      </c>
      <c r="G109" s="15" t="n">
        <v>2313.43</v>
      </c>
      <c r="H109" s="15" t="n">
        <v>9812.23</v>
      </c>
      <c r="I109" s="7" t="n">
        <v>6</v>
      </c>
      <c r="J109" s="7" t="s">
        <v>984</v>
      </c>
    </row>
    <row r="110" customFormat="false" ht="15" hidden="false" customHeight="false" outlineLevel="0" collapsed="false">
      <c r="A110" s="3" t="n">
        <v>1</v>
      </c>
      <c r="B110" s="24" t="n">
        <v>46023</v>
      </c>
      <c r="C110" s="3" t="s">
        <v>273</v>
      </c>
      <c r="D110" s="3" t="s">
        <v>212</v>
      </c>
      <c r="E110" s="3" t="s">
        <v>187</v>
      </c>
      <c r="F110" s="15" t="n">
        <v>2115.01</v>
      </c>
      <c r="G110" s="15" t="n">
        <v>669.15</v>
      </c>
      <c r="H110" s="15" t="n">
        <v>2784.16</v>
      </c>
      <c r="I110" s="7" t="n">
        <v>7</v>
      </c>
      <c r="J110" s="7" t="s">
        <v>985</v>
      </c>
    </row>
    <row r="111" customFormat="false" ht="15" hidden="false" customHeight="false" outlineLevel="0" collapsed="false">
      <c r="A111" s="3" t="n">
        <v>1</v>
      </c>
      <c r="B111" s="24" t="n">
        <v>46023</v>
      </c>
      <c r="C111" s="3" t="s">
        <v>274</v>
      </c>
      <c r="D111" s="3" t="s">
        <v>214</v>
      </c>
      <c r="E111" s="3" t="s">
        <v>165</v>
      </c>
      <c r="F111" s="15" t="n">
        <v>1657.28</v>
      </c>
      <c r="G111" s="15" t="n">
        <v>591.98</v>
      </c>
      <c r="H111" s="15" t="n">
        <v>2249.26</v>
      </c>
      <c r="I111" s="7" t="n">
        <v>1</v>
      </c>
      <c r="J111" s="7" t="s">
        <v>986</v>
      </c>
    </row>
    <row r="112" customFormat="false" ht="15" hidden="false" customHeight="false" outlineLevel="0" collapsed="false">
      <c r="A112" s="3" t="n">
        <v>1</v>
      </c>
      <c r="B112" s="24" t="n">
        <v>46023</v>
      </c>
      <c r="C112" s="3" t="s">
        <v>275</v>
      </c>
      <c r="D112" s="3" t="s">
        <v>214</v>
      </c>
      <c r="E112" s="3" t="s">
        <v>112</v>
      </c>
      <c r="F112" s="15" t="n">
        <v>3201.74</v>
      </c>
      <c r="G112" s="15" t="n">
        <v>1191.83</v>
      </c>
      <c r="H112" s="15" t="n">
        <v>4393.57</v>
      </c>
      <c r="I112" s="7" t="n">
        <v>1</v>
      </c>
      <c r="J112" s="7" t="s">
        <v>987</v>
      </c>
    </row>
    <row r="113" customFormat="false" ht="15" hidden="false" customHeight="false" outlineLevel="0" collapsed="false">
      <c r="A113" s="3" t="n">
        <v>1</v>
      </c>
      <c r="B113" s="24" t="n">
        <v>46023</v>
      </c>
      <c r="C113" s="3" t="s">
        <v>276</v>
      </c>
      <c r="D113" s="3" t="s">
        <v>217</v>
      </c>
      <c r="E113" s="3" t="s">
        <v>109</v>
      </c>
      <c r="F113" s="15" t="n">
        <v>15358.81</v>
      </c>
      <c r="G113" s="15" t="n">
        <v>5323.08</v>
      </c>
      <c r="H113" s="15" t="n">
        <v>20681.89</v>
      </c>
      <c r="I113" s="7" t="n">
        <v>1</v>
      </c>
      <c r="J113" s="7" t="s">
        <v>988</v>
      </c>
    </row>
    <row r="114" customFormat="false" ht="15" hidden="false" customHeight="false" outlineLevel="0" collapsed="false">
      <c r="A114" s="3" t="n">
        <v>1</v>
      </c>
      <c r="B114" s="24" t="n">
        <v>46023</v>
      </c>
      <c r="C114" s="3" t="s">
        <v>276</v>
      </c>
      <c r="D114" s="3" t="s">
        <v>217</v>
      </c>
      <c r="E114" s="3" t="s">
        <v>145</v>
      </c>
      <c r="F114" s="15" t="n">
        <v>6638.5</v>
      </c>
      <c r="G114" s="15" t="n">
        <v>2300.79</v>
      </c>
      <c r="H114" s="15" t="n">
        <v>8939.29</v>
      </c>
      <c r="I114" s="7" t="n">
        <v>2</v>
      </c>
      <c r="J114" s="7" t="s">
        <v>989</v>
      </c>
    </row>
    <row r="115" customFormat="false" ht="15" hidden="false" customHeight="false" outlineLevel="0" collapsed="false">
      <c r="A115" s="3" t="n">
        <v>1</v>
      </c>
      <c r="B115" s="24" t="n">
        <v>46023</v>
      </c>
      <c r="C115" s="3" t="s">
        <v>276</v>
      </c>
      <c r="D115" s="3" t="s">
        <v>217</v>
      </c>
      <c r="E115" s="3" t="s">
        <v>185</v>
      </c>
      <c r="F115" s="15" t="n">
        <v>4361.29</v>
      </c>
      <c r="G115" s="15" t="n">
        <v>1564.17</v>
      </c>
      <c r="H115" s="15" t="n">
        <v>5925.46</v>
      </c>
      <c r="I115" s="7" t="n">
        <v>3</v>
      </c>
      <c r="J115" s="7" t="s">
        <v>990</v>
      </c>
    </row>
    <row r="116" customFormat="false" ht="15" hidden="false" customHeight="false" outlineLevel="0" collapsed="false">
      <c r="A116" s="3" t="n">
        <v>1</v>
      </c>
      <c r="B116" s="24" t="n">
        <v>46023</v>
      </c>
      <c r="C116" s="3" t="s">
        <v>277</v>
      </c>
      <c r="D116" s="3" t="s">
        <v>219</v>
      </c>
      <c r="E116" s="3" t="s">
        <v>153</v>
      </c>
      <c r="F116" s="15" t="n">
        <v>5561.88</v>
      </c>
      <c r="G116" s="15" t="n">
        <v>1985.48</v>
      </c>
      <c r="H116" s="15" t="n">
        <v>7547.36</v>
      </c>
      <c r="I116" s="7" t="n">
        <v>1</v>
      </c>
      <c r="J116" s="7" t="s">
        <v>991</v>
      </c>
    </row>
    <row r="117" customFormat="false" ht="15" hidden="false" customHeight="false" outlineLevel="0" collapsed="false">
      <c r="A117" s="3" t="n">
        <v>1</v>
      </c>
      <c r="B117" s="24" t="n">
        <v>46023</v>
      </c>
      <c r="C117" s="3" t="s">
        <v>278</v>
      </c>
      <c r="D117" s="3" t="s">
        <v>219</v>
      </c>
      <c r="E117" s="3" t="s">
        <v>112</v>
      </c>
      <c r="F117" s="15" t="n">
        <v>21150.02</v>
      </c>
      <c r="G117" s="15" t="n">
        <v>7519.48</v>
      </c>
      <c r="H117" s="15" t="n">
        <v>28669.5</v>
      </c>
      <c r="I117" s="7" t="n">
        <v>1</v>
      </c>
      <c r="J117" s="7" t="s">
        <v>992</v>
      </c>
    </row>
    <row r="118" customFormat="false" ht="15" hidden="false" customHeight="false" outlineLevel="0" collapsed="false">
      <c r="A118" s="3" t="n">
        <v>1</v>
      </c>
      <c r="B118" s="24" t="n">
        <v>46023</v>
      </c>
      <c r="C118" s="3" t="s">
        <v>279</v>
      </c>
      <c r="D118" s="3" t="s">
        <v>228</v>
      </c>
      <c r="E118" s="3" t="s">
        <v>122</v>
      </c>
      <c r="F118" s="15" t="n">
        <v>21324.72</v>
      </c>
      <c r="G118" s="15" t="n">
        <v>7396.62</v>
      </c>
      <c r="H118" s="15" t="n">
        <v>28721.34</v>
      </c>
      <c r="I118" s="7" t="n">
        <v>1</v>
      </c>
      <c r="J118" s="7" t="s">
        <v>993</v>
      </c>
    </row>
    <row r="119" customFormat="false" ht="15" hidden="false" customHeight="false" outlineLevel="0" collapsed="false">
      <c r="A119" s="3" t="n">
        <v>1</v>
      </c>
      <c r="B119" s="24" t="n">
        <v>46023</v>
      </c>
      <c r="C119" s="3" t="s">
        <v>280</v>
      </c>
      <c r="D119" s="3" t="s">
        <v>228</v>
      </c>
      <c r="E119" s="3" t="s">
        <v>112</v>
      </c>
      <c r="F119" s="15" t="n">
        <v>20905.91</v>
      </c>
      <c r="G119" s="15" t="n">
        <v>7493.75</v>
      </c>
      <c r="H119" s="15" t="n">
        <v>28399.66</v>
      </c>
      <c r="I119" s="7" t="n">
        <v>1</v>
      </c>
      <c r="J119" s="7" t="s">
        <v>994</v>
      </c>
    </row>
    <row r="120" customFormat="false" ht="15" hidden="false" customHeight="false" outlineLevel="0" collapsed="false">
      <c r="A120" s="3" t="n">
        <v>1</v>
      </c>
      <c r="B120" s="24" t="n">
        <v>46023</v>
      </c>
      <c r="C120" s="3" t="s">
        <v>281</v>
      </c>
      <c r="D120" s="3" t="s">
        <v>231</v>
      </c>
      <c r="E120" s="3" t="s">
        <v>134</v>
      </c>
      <c r="F120" s="15" t="n">
        <v>15784.91</v>
      </c>
      <c r="G120" s="15" t="n">
        <v>5636.21</v>
      </c>
      <c r="H120" s="15" t="n">
        <v>21421.12</v>
      </c>
      <c r="I120" s="7" t="n">
        <v>1</v>
      </c>
      <c r="J120" s="7" t="s">
        <v>995</v>
      </c>
    </row>
    <row r="121" customFormat="false" ht="15" hidden="false" customHeight="false" outlineLevel="0" collapsed="false">
      <c r="A121" s="3" t="n">
        <v>1</v>
      </c>
      <c r="B121" s="24" t="n">
        <v>46023</v>
      </c>
      <c r="C121" s="3" t="s">
        <v>282</v>
      </c>
      <c r="D121" s="3" t="s">
        <v>231</v>
      </c>
      <c r="E121" s="3" t="s">
        <v>112</v>
      </c>
      <c r="F121" s="15" t="n">
        <v>40145.55</v>
      </c>
      <c r="G121" s="15" t="n">
        <v>14411.22</v>
      </c>
      <c r="H121" s="15" t="n">
        <v>54556.77</v>
      </c>
      <c r="I121" s="7" t="n">
        <v>1</v>
      </c>
      <c r="J121" s="7" t="s">
        <v>996</v>
      </c>
    </row>
    <row r="122" customFormat="false" ht="15" hidden="false" customHeight="false" outlineLevel="0" collapsed="false">
      <c r="A122" s="3" t="n">
        <v>1</v>
      </c>
      <c r="B122" s="24" t="n">
        <v>46023</v>
      </c>
      <c r="C122" s="3" t="s">
        <v>283</v>
      </c>
      <c r="D122" s="3" t="s">
        <v>234</v>
      </c>
      <c r="E122" s="3" t="s">
        <v>141</v>
      </c>
      <c r="F122" s="15" t="n">
        <v>13841.54</v>
      </c>
      <c r="G122" s="15" t="n">
        <v>4941.06</v>
      </c>
      <c r="H122" s="15" t="n">
        <v>18782.6</v>
      </c>
      <c r="I122" s="7" t="n">
        <v>1</v>
      </c>
      <c r="J122" s="7" t="s">
        <v>997</v>
      </c>
    </row>
    <row r="123" customFormat="false" ht="15" hidden="false" customHeight="false" outlineLevel="0" collapsed="false">
      <c r="A123" s="3" t="n">
        <v>1</v>
      </c>
      <c r="B123" s="24" t="n">
        <v>46023</v>
      </c>
      <c r="C123" s="3" t="s">
        <v>284</v>
      </c>
      <c r="D123" s="3" t="s">
        <v>234</v>
      </c>
      <c r="E123" s="3" t="s">
        <v>112</v>
      </c>
      <c r="F123" s="15" t="n">
        <v>35264.19</v>
      </c>
      <c r="G123" s="15" t="n">
        <v>12569.19</v>
      </c>
      <c r="H123" s="15" t="n">
        <v>47833.38</v>
      </c>
      <c r="I123" s="7" t="n">
        <v>1</v>
      </c>
      <c r="J123" s="7" t="s">
        <v>998</v>
      </c>
    </row>
    <row r="124" customFormat="false" ht="15" hidden="false" customHeight="false" outlineLevel="0" collapsed="false">
      <c r="A124" s="3" t="n">
        <v>1</v>
      </c>
      <c r="B124" s="24" t="n">
        <v>46023</v>
      </c>
      <c r="C124" s="3" t="s">
        <v>285</v>
      </c>
      <c r="D124" s="3" t="s">
        <v>224</v>
      </c>
      <c r="E124" s="3" t="s">
        <v>143</v>
      </c>
      <c r="F124" s="15" t="n">
        <v>3566.87</v>
      </c>
      <c r="G124" s="15" t="n">
        <v>1228.34</v>
      </c>
      <c r="H124" s="15" t="n">
        <v>4795.21</v>
      </c>
      <c r="I124" s="7" t="n">
        <v>1</v>
      </c>
      <c r="J124" s="7" t="s">
        <v>999</v>
      </c>
    </row>
    <row r="125" customFormat="false" ht="15" hidden="false" customHeight="false" outlineLevel="0" collapsed="false">
      <c r="A125" s="3" t="n">
        <v>1</v>
      </c>
      <c r="B125" s="24" t="n">
        <v>46023</v>
      </c>
      <c r="C125" s="3" t="s">
        <v>286</v>
      </c>
      <c r="D125" s="3" t="s">
        <v>226</v>
      </c>
      <c r="E125" s="3" t="s">
        <v>109</v>
      </c>
      <c r="F125" s="15" t="n">
        <v>29348.46</v>
      </c>
      <c r="G125" s="15" t="n">
        <v>8879.36</v>
      </c>
      <c r="H125" s="15" t="n">
        <v>38227.82</v>
      </c>
      <c r="I125" s="7" t="n">
        <v>1</v>
      </c>
      <c r="J125" s="7" t="s">
        <v>1000</v>
      </c>
    </row>
    <row r="126" customFormat="false" ht="15" hidden="false" customHeight="false" outlineLevel="0" collapsed="false">
      <c r="A126" s="3" t="n">
        <v>1</v>
      </c>
      <c r="B126" s="24" t="n">
        <v>46023</v>
      </c>
      <c r="C126" s="3" t="s">
        <v>286</v>
      </c>
      <c r="D126" s="3" t="s">
        <v>226</v>
      </c>
      <c r="E126" s="3" t="s">
        <v>154</v>
      </c>
      <c r="F126" s="15" t="n">
        <v>13385.88</v>
      </c>
      <c r="G126" s="15" t="n">
        <v>4026.05</v>
      </c>
      <c r="H126" s="15" t="n">
        <v>17411.93</v>
      </c>
      <c r="I126" s="7" t="n">
        <v>2</v>
      </c>
      <c r="J126" s="7" t="s">
        <v>1001</v>
      </c>
    </row>
    <row r="127" customFormat="false" ht="15" hidden="false" customHeight="false" outlineLevel="0" collapsed="false">
      <c r="A127" s="3" t="n">
        <v>1</v>
      </c>
      <c r="B127" s="24" t="n">
        <v>46023</v>
      </c>
      <c r="C127" s="3" t="s">
        <v>287</v>
      </c>
      <c r="D127" s="3" t="s">
        <v>243</v>
      </c>
      <c r="E127" s="3" t="s">
        <v>112</v>
      </c>
      <c r="F127" s="15" t="n">
        <v>10194.65</v>
      </c>
      <c r="G127" s="15" t="n">
        <v>3634.38</v>
      </c>
      <c r="H127" s="15" t="n">
        <v>13829.03</v>
      </c>
      <c r="I127" s="7" t="n">
        <v>1</v>
      </c>
      <c r="J127" s="7" t="s">
        <v>1002</v>
      </c>
    </row>
    <row r="128" customFormat="false" ht="15" hidden="false" customHeight="false" outlineLevel="0" collapsed="false">
      <c r="A128" s="3" t="n">
        <v>1</v>
      </c>
      <c r="B128" s="24" t="n">
        <v>46023</v>
      </c>
      <c r="C128" s="3" t="s">
        <v>288</v>
      </c>
      <c r="D128" s="3" t="s">
        <v>243</v>
      </c>
      <c r="E128" s="3" t="s">
        <v>161</v>
      </c>
      <c r="F128" s="15" t="n">
        <v>4504.34</v>
      </c>
      <c r="G128" s="15" t="n">
        <v>1608.38</v>
      </c>
      <c r="H128" s="15" t="n">
        <v>6112.72</v>
      </c>
      <c r="I128" s="7" t="n">
        <v>1</v>
      </c>
      <c r="J128" s="7" t="s">
        <v>1003</v>
      </c>
    </row>
    <row r="129" customFormat="false" ht="15" hidden="false" customHeight="false" outlineLevel="0" collapsed="false">
      <c r="A129" s="3" t="n">
        <v>1</v>
      </c>
      <c r="B129" s="24" t="n">
        <v>46023</v>
      </c>
      <c r="C129" s="3" t="s">
        <v>289</v>
      </c>
      <c r="D129" s="3" t="s">
        <v>246</v>
      </c>
      <c r="E129" s="3" t="s">
        <v>112</v>
      </c>
      <c r="F129" s="15" t="n">
        <v>4332.65</v>
      </c>
      <c r="G129" s="15" t="n">
        <v>1564.36</v>
      </c>
      <c r="H129" s="15" t="n">
        <v>5897.01</v>
      </c>
      <c r="I129" s="7" t="n">
        <v>1</v>
      </c>
      <c r="J129" s="7" t="s">
        <v>1004</v>
      </c>
    </row>
    <row r="130" customFormat="false" ht="15" hidden="false" customHeight="false" outlineLevel="0" collapsed="false">
      <c r="A130" s="3" t="n">
        <v>1</v>
      </c>
      <c r="B130" s="24" t="n">
        <v>46023</v>
      </c>
      <c r="C130" s="3" t="s">
        <v>290</v>
      </c>
      <c r="D130" s="3" t="s">
        <v>246</v>
      </c>
      <c r="E130" s="3" t="s">
        <v>171</v>
      </c>
      <c r="F130" s="15" t="n">
        <v>4595.41</v>
      </c>
      <c r="G130" s="15" t="n">
        <v>1639.95</v>
      </c>
      <c r="H130" s="15" t="n">
        <v>6235.36</v>
      </c>
      <c r="I130" s="7" t="n">
        <v>1</v>
      </c>
      <c r="J130" s="7" t="s">
        <v>1005</v>
      </c>
    </row>
    <row r="131" customFormat="false" ht="15" hidden="false" customHeight="false" outlineLevel="0" collapsed="false">
      <c r="A131" s="3" t="n">
        <v>1</v>
      </c>
      <c r="B131" s="24" t="n">
        <v>46023</v>
      </c>
      <c r="C131" s="3" t="s">
        <v>291</v>
      </c>
      <c r="D131" s="3" t="s">
        <v>222</v>
      </c>
      <c r="E131" s="3" t="s">
        <v>118</v>
      </c>
      <c r="F131" s="15" t="n">
        <v>173825.58</v>
      </c>
      <c r="G131" s="15" t="n">
        <v>60857.43</v>
      </c>
      <c r="H131" s="15" t="n">
        <v>234683.01</v>
      </c>
      <c r="I131" s="7" t="n">
        <v>1</v>
      </c>
      <c r="J131" s="7" t="s">
        <v>1006</v>
      </c>
    </row>
    <row r="132" customFormat="false" ht="15" hidden="false" customHeight="false" outlineLevel="0" collapsed="false">
      <c r="A132" s="3" t="n">
        <v>1</v>
      </c>
      <c r="B132" s="24" t="n">
        <v>46023</v>
      </c>
      <c r="C132" s="3" t="s">
        <v>291</v>
      </c>
      <c r="D132" s="3" t="s">
        <v>222</v>
      </c>
      <c r="E132" s="3" t="s">
        <v>113</v>
      </c>
      <c r="F132" s="15" t="n">
        <v>347539.26</v>
      </c>
      <c r="G132" s="15" t="n">
        <v>122122.82</v>
      </c>
      <c r="H132" s="15" t="n">
        <v>469662.08</v>
      </c>
      <c r="I132" s="7" t="n">
        <v>2</v>
      </c>
      <c r="J132" s="7" t="s">
        <v>1007</v>
      </c>
    </row>
    <row r="133" customFormat="false" ht="15" hidden="false" customHeight="false" outlineLevel="0" collapsed="false">
      <c r="A133" s="3" t="n">
        <v>1</v>
      </c>
      <c r="B133" s="24" t="n">
        <v>46023</v>
      </c>
      <c r="C133" s="3" t="s">
        <v>291</v>
      </c>
      <c r="D133" s="3" t="s">
        <v>222</v>
      </c>
      <c r="E133" s="3" t="s">
        <v>111</v>
      </c>
      <c r="F133" s="15" t="n">
        <v>347320.4</v>
      </c>
      <c r="G133" s="15" t="n">
        <v>121730.24</v>
      </c>
      <c r="H133" s="15" t="n">
        <v>469050.64</v>
      </c>
      <c r="I133" s="7" t="n">
        <v>3</v>
      </c>
      <c r="J133" s="7" t="s">
        <v>1008</v>
      </c>
    </row>
    <row r="134" customFormat="false" ht="15" hidden="false" customHeight="false" outlineLevel="0" collapsed="false">
      <c r="A134" s="3" t="n">
        <v>1</v>
      </c>
      <c r="B134" s="24" t="n">
        <v>46023</v>
      </c>
      <c r="C134" s="3" t="s">
        <v>291</v>
      </c>
      <c r="D134" s="3" t="s">
        <v>222</v>
      </c>
      <c r="E134" s="3" t="s">
        <v>114</v>
      </c>
      <c r="F134" s="15" t="n">
        <v>267530.49</v>
      </c>
      <c r="G134" s="15" t="n">
        <v>94134.06</v>
      </c>
      <c r="H134" s="15" t="n">
        <v>361664.55</v>
      </c>
      <c r="I134" s="7" t="n">
        <v>4</v>
      </c>
      <c r="J134" s="7" t="s">
        <v>1009</v>
      </c>
    </row>
    <row r="135" customFormat="false" ht="15" hidden="false" customHeight="false" outlineLevel="0" collapsed="false">
      <c r="A135" s="3" t="n">
        <v>1</v>
      </c>
      <c r="B135" s="24" t="n">
        <v>46023</v>
      </c>
      <c r="C135" s="3" t="s">
        <v>291</v>
      </c>
      <c r="D135" s="3" t="s">
        <v>222</v>
      </c>
      <c r="E135" s="3" t="s">
        <v>179</v>
      </c>
      <c r="F135" s="15" t="n">
        <v>10609.75</v>
      </c>
      <c r="G135" s="15" t="n">
        <v>3697.96</v>
      </c>
      <c r="H135" s="15" t="n">
        <v>14307.71</v>
      </c>
      <c r="I135" s="7" t="n">
        <v>5</v>
      </c>
      <c r="J135" s="7" t="s">
        <v>1010</v>
      </c>
    </row>
    <row r="136" customFormat="false" ht="15" hidden="false" customHeight="false" outlineLevel="0" collapsed="false">
      <c r="A136" s="3" t="n">
        <v>1</v>
      </c>
      <c r="B136" s="24" t="n">
        <v>46023</v>
      </c>
      <c r="C136" s="3" t="s">
        <v>292</v>
      </c>
      <c r="D136" s="3" t="s">
        <v>222</v>
      </c>
      <c r="E136" s="3" t="s">
        <v>191</v>
      </c>
      <c r="F136" s="15" t="n">
        <v>1446.03</v>
      </c>
      <c r="G136" s="15" t="n">
        <v>511.1</v>
      </c>
      <c r="H136" s="15" t="n">
        <v>1957.13</v>
      </c>
      <c r="I136" s="7" t="n">
        <v>1</v>
      </c>
      <c r="J136" s="7" t="s">
        <v>1011</v>
      </c>
    </row>
    <row r="137" customFormat="false" ht="15" hidden="false" customHeight="false" outlineLevel="0" collapsed="false">
      <c r="A137" s="3" t="n">
        <v>1</v>
      </c>
      <c r="B137" s="24" t="n">
        <v>46023</v>
      </c>
      <c r="C137" s="3" t="s">
        <v>292</v>
      </c>
      <c r="D137" s="3" t="s">
        <v>222</v>
      </c>
      <c r="E137" s="3" t="s">
        <v>125</v>
      </c>
      <c r="F137" s="15" t="n">
        <v>6884.76</v>
      </c>
      <c r="G137" s="15" t="n">
        <v>2952.32</v>
      </c>
      <c r="H137" s="15" t="n">
        <v>9837.08</v>
      </c>
      <c r="I137" s="7" t="n">
        <v>2</v>
      </c>
      <c r="J137" s="7" t="s">
        <v>1012</v>
      </c>
    </row>
    <row r="138" customFormat="false" ht="15" hidden="false" customHeight="false" outlineLevel="0" collapsed="false">
      <c r="A138" s="3" t="n">
        <v>1</v>
      </c>
      <c r="B138" s="24" t="n">
        <v>46023</v>
      </c>
      <c r="C138" s="3" t="s">
        <v>292</v>
      </c>
      <c r="D138" s="3" t="s">
        <v>222</v>
      </c>
      <c r="E138" s="3" t="s">
        <v>131</v>
      </c>
      <c r="F138" s="15" t="n">
        <v>37276.87</v>
      </c>
      <c r="G138" s="15" t="n">
        <v>13110.39</v>
      </c>
      <c r="H138" s="15" t="n">
        <v>50387.26</v>
      </c>
      <c r="I138" s="7" t="n">
        <v>3</v>
      </c>
      <c r="J138" s="7" t="s">
        <v>1013</v>
      </c>
    </row>
    <row r="139" customFormat="false" ht="15" hidden="false" customHeight="false" outlineLevel="0" collapsed="false">
      <c r="A139" s="3" t="n">
        <v>1</v>
      </c>
      <c r="B139" s="24" t="n">
        <v>46023</v>
      </c>
      <c r="C139" s="3" t="s">
        <v>292</v>
      </c>
      <c r="D139" s="3" t="s">
        <v>222</v>
      </c>
      <c r="E139" s="3" t="s">
        <v>127</v>
      </c>
      <c r="F139" s="15" t="n">
        <v>42078.71</v>
      </c>
      <c r="G139" s="15" t="n">
        <v>14792.28</v>
      </c>
      <c r="H139" s="15" t="n">
        <v>56870.99</v>
      </c>
      <c r="I139" s="7" t="n">
        <v>4</v>
      </c>
      <c r="J139" s="7" t="s">
        <v>1014</v>
      </c>
    </row>
    <row r="140" customFormat="false" ht="15" hidden="false" customHeight="false" outlineLevel="0" collapsed="false">
      <c r="A140" s="3" t="n">
        <v>1</v>
      </c>
      <c r="B140" s="24" t="n">
        <v>46023</v>
      </c>
      <c r="C140" s="3" t="s">
        <v>292</v>
      </c>
      <c r="D140" s="3" t="s">
        <v>222</v>
      </c>
      <c r="E140" s="3" t="s">
        <v>129</v>
      </c>
      <c r="F140" s="15" t="n">
        <v>48928.19</v>
      </c>
      <c r="G140" s="15" t="n">
        <v>17202.3</v>
      </c>
      <c r="H140" s="15" t="n">
        <v>66130.49</v>
      </c>
      <c r="I140" s="7" t="n">
        <v>5</v>
      </c>
      <c r="J140" s="7" t="s">
        <v>1015</v>
      </c>
    </row>
    <row r="141" customFormat="false" ht="15" hidden="false" customHeight="false" outlineLevel="0" collapsed="false">
      <c r="A141" s="3" t="n">
        <v>1</v>
      </c>
      <c r="B141" s="24" t="n">
        <v>46023</v>
      </c>
      <c r="C141" s="3" t="s">
        <v>292</v>
      </c>
      <c r="D141" s="3" t="s">
        <v>222</v>
      </c>
      <c r="E141" s="3" t="s">
        <v>116</v>
      </c>
      <c r="F141" s="15" t="n">
        <v>131131.06</v>
      </c>
      <c r="G141" s="15" t="n">
        <v>46128.13</v>
      </c>
      <c r="H141" s="15" t="n">
        <v>177259.19</v>
      </c>
      <c r="I141" s="7" t="n">
        <v>6</v>
      </c>
      <c r="J141" s="7" t="s">
        <v>1016</v>
      </c>
    </row>
    <row r="142" customFormat="false" ht="15" hidden="false" customHeight="false" outlineLevel="0" collapsed="false">
      <c r="A142" s="3" t="n">
        <v>1</v>
      </c>
      <c r="B142" s="24" t="n">
        <v>46023</v>
      </c>
      <c r="C142" s="3" t="s">
        <v>292</v>
      </c>
      <c r="D142" s="3" t="s">
        <v>222</v>
      </c>
      <c r="E142" s="3" t="s">
        <v>115</v>
      </c>
      <c r="F142" s="15" t="n">
        <v>171622.15</v>
      </c>
      <c r="G142" s="15" t="n">
        <v>60170.8</v>
      </c>
      <c r="H142" s="15" t="n">
        <v>231792.95</v>
      </c>
      <c r="I142" s="7" t="n">
        <v>7</v>
      </c>
      <c r="J142" s="7" t="s">
        <v>1017</v>
      </c>
    </row>
    <row r="143" customFormat="false" ht="15" hidden="false" customHeight="false" outlineLevel="0" collapsed="false">
      <c r="A143" s="3" t="n">
        <v>1</v>
      </c>
      <c r="B143" s="24" t="n">
        <v>46023</v>
      </c>
      <c r="C143" s="3" t="s">
        <v>292</v>
      </c>
      <c r="D143" s="3" t="s">
        <v>222</v>
      </c>
      <c r="E143" s="3" t="s">
        <v>117</v>
      </c>
      <c r="F143" s="15" t="n">
        <v>122057.61</v>
      </c>
      <c r="G143" s="15" t="n">
        <v>42919.04</v>
      </c>
      <c r="H143" s="15" t="n">
        <v>164976.65</v>
      </c>
      <c r="I143" s="7" t="n">
        <v>8</v>
      </c>
      <c r="J143" s="7" t="s">
        <v>1018</v>
      </c>
    </row>
    <row r="144" customFormat="false" ht="15" hidden="false" customHeight="false" outlineLevel="0" collapsed="false">
      <c r="A144" s="3" t="n">
        <v>1</v>
      </c>
      <c r="B144" s="24" t="n">
        <v>46023</v>
      </c>
      <c r="C144" s="3" t="s">
        <v>292</v>
      </c>
      <c r="D144" s="3" t="s">
        <v>222</v>
      </c>
      <c r="E144" s="3" t="s">
        <v>150</v>
      </c>
      <c r="F144" s="15" t="n">
        <v>3749.35</v>
      </c>
      <c r="G144" s="15" t="n">
        <v>1323.45</v>
      </c>
      <c r="H144" s="15" t="n">
        <v>5072.8</v>
      </c>
      <c r="I144" s="7" t="n">
        <v>9</v>
      </c>
      <c r="J144" s="7" t="s">
        <v>1019</v>
      </c>
    </row>
    <row r="145" customFormat="false" ht="15" hidden="false" customHeight="false" outlineLevel="0" collapsed="false">
      <c r="A145" s="3" t="n">
        <v>1</v>
      </c>
      <c r="B145" s="24" t="n">
        <v>46023</v>
      </c>
      <c r="C145" s="3" t="s">
        <v>292</v>
      </c>
      <c r="D145" s="3" t="s">
        <v>222</v>
      </c>
      <c r="E145" s="3" t="s">
        <v>108</v>
      </c>
      <c r="F145" s="15" t="n">
        <v>476038.71</v>
      </c>
      <c r="G145" s="15" t="n">
        <v>168291.36</v>
      </c>
      <c r="H145" s="15" t="n">
        <v>644330.07</v>
      </c>
      <c r="I145" s="7" t="n">
        <v>10</v>
      </c>
      <c r="J145" s="7" t="s">
        <v>1020</v>
      </c>
    </row>
    <row r="146" customFormat="false" ht="15" hidden="false" customHeight="false" outlineLevel="0" collapsed="false">
      <c r="A146" s="3" t="n">
        <v>1</v>
      </c>
      <c r="B146" s="24" t="n">
        <v>46023</v>
      </c>
      <c r="C146" s="3" t="s">
        <v>292</v>
      </c>
      <c r="D146" s="3" t="s">
        <v>222</v>
      </c>
      <c r="E146" s="3" t="s">
        <v>110</v>
      </c>
      <c r="F146" s="15" t="n">
        <v>389889.18</v>
      </c>
      <c r="G146" s="15" t="n">
        <v>137172.86</v>
      </c>
      <c r="H146" s="15" t="n">
        <v>527062.04</v>
      </c>
      <c r="I146" s="7" t="n">
        <v>11</v>
      </c>
      <c r="J146" s="7" t="s">
        <v>1021</v>
      </c>
    </row>
    <row r="147" customFormat="false" ht="15" hidden="false" customHeight="false" outlineLevel="0" collapsed="false">
      <c r="A147" s="3" t="n">
        <v>1</v>
      </c>
      <c r="B147" s="24" t="n">
        <v>46023</v>
      </c>
      <c r="C147" s="3" t="s">
        <v>292</v>
      </c>
      <c r="D147" s="3" t="s">
        <v>222</v>
      </c>
      <c r="E147" s="3" t="s">
        <v>151</v>
      </c>
      <c r="F147" s="15" t="n">
        <v>5455.76</v>
      </c>
      <c r="G147" s="15" t="n">
        <v>1924.07</v>
      </c>
      <c r="H147" s="15" t="n">
        <v>7379.83</v>
      </c>
      <c r="I147" s="7" t="n">
        <v>12</v>
      </c>
      <c r="J147" s="7" t="s">
        <v>1022</v>
      </c>
    </row>
    <row r="148" customFormat="false" ht="15" hidden="false" customHeight="false" outlineLevel="0" collapsed="false">
      <c r="A148" s="3" t="n">
        <v>1</v>
      </c>
      <c r="B148" s="24" t="n">
        <v>46023</v>
      </c>
      <c r="C148" s="3" t="s">
        <v>292</v>
      </c>
      <c r="D148" s="3" t="s">
        <v>222</v>
      </c>
      <c r="E148" s="3" t="s">
        <v>121</v>
      </c>
      <c r="F148" s="15" t="n">
        <v>53033.5</v>
      </c>
      <c r="G148" s="15" t="n">
        <v>18704.65</v>
      </c>
      <c r="H148" s="15" t="n">
        <v>71738.15</v>
      </c>
      <c r="I148" s="7" t="n">
        <v>13</v>
      </c>
      <c r="J148" s="7" t="s">
        <v>1023</v>
      </c>
    </row>
    <row r="149" customFormat="false" ht="15" hidden="false" customHeight="false" outlineLevel="0" collapsed="false">
      <c r="A149" s="3" t="n">
        <v>1</v>
      </c>
      <c r="B149" s="24" t="n">
        <v>46023</v>
      </c>
      <c r="C149" s="3" t="s">
        <v>292</v>
      </c>
      <c r="D149" s="3" t="s">
        <v>222</v>
      </c>
      <c r="E149" s="3" t="s">
        <v>132</v>
      </c>
      <c r="F149" s="15" t="n">
        <v>27727.46</v>
      </c>
      <c r="G149" s="15" t="n">
        <v>9773.11</v>
      </c>
      <c r="H149" s="15" t="n">
        <v>37500.57</v>
      </c>
      <c r="I149" s="7" t="n">
        <v>14</v>
      </c>
      <c r="J149" s="7" t="s">
        <v>1024</v>
      </c>
    </row>
    <row r="150" customFormat="false" ht="15" hidden="false" customHeight="false" outlineLevel="0" collapsed="false">
      <c r="A150" s="3" t="n">
        <v>1</v>
      </c>
      <c r="B150" s="24" t="n">
        <v>46023</v>
      </c>
      <c r="C150" s="3" t="s">
        <v>292</v>
      </c>
      <c r="D150" s="3" t="s">
        <v>222</v>
      </c>
      <c r="E150" s="3" t="s">
        <v>184</v>
      </c>
      <c r="F150" s="15" t="n">
        <v>4439.89</v>
      </c>
      <c r="G150" s="15" t="n">
        <v>1538.95</v>
      </c>
      <c r="H150" s="15" t="n">
        <v>5978.84</v>
      </c>
      <c r="I150" s="7" t="n">
        <v>15</v>
      </c>
      <c r="J150" s="7" t="s">
        <v>1025</v>
      </c>
    </row>
    <row r="151" customFormat="false" ht="15" hidden="false" customHeight="false" outlineLevel="0" collapsed="false">
      <c r="A151" s="3" t="n">
        <v>1</v>
      </c>
      <c r="B151" s="24" t="n">
        <v>46023</v>
      </c>
      <c r="C151" s="3" t="s">
        <v>293</v>
      </c>
      <c r="D151" s="3" t="s">
        <v>249</v>
      </c>
      <c r="E151" s="3" t="s">
        <v>137</v>
      </c>
      <c r="F151" s="15" t="n">
        <v>1.84</v>
      </c>
      <c r="G151" s="15" t="n">
        <v>0.63</v>
      </c>
      <c r="H151" s="15" t="n">
        <v>2.47</v>
      </c>
      <c r="I151" s="7" t="n">
        <v>1</v>
      </c>
      <c r="J151" s="7" t="s">
        <v>1026</v>
      </c>
    </row>
    <row r="152" customFormat="false" ht="15" hidden="false" customHeight="false" outlineLevel="0" collapsed="false">
      <c r="A152" s="3" t="n">
        <v>1</v>
      </c>
      <c r="B152" s="24" t="n">
        <v>46023</v>
      </c>
      <c r="C152" s="3" t="s">
        <v>293</v>
      </c>
      <c r="D152" s="3" t="s">
        <v>249</v>
      </c>
      <c r="E152" s="3" t="s">
        <v>112</v>
      </c>
      <c r="F152" s="15" t="n">
        <v>13596.27</v>
      </c>
      <c r="G152" s="15" t="n">
        <v>4830.91</v>
      </c>
      <c r="H152" s="15" t="n">
        <v>18427.18</v>
      </c>
      <c r="I152" s="7" t="n">
        <v>2</v>
      </c>
      <c r="J152" s="7" t="s">
        <v>1027</v>
      </c>
    </row>
    <row r="153" customFormat="false" ht="15" hidden="false" customHeight="false" outlineLevel="0" collapsed="false">
      <c r="A153" s="3" t="n">
        <v>1</v>
      </c>
      <c r="B153" s="24" t="n">
        <v>46023</v>
      </c>
      <c r="C153" s="3" t="s">
        <v>294</v>
      </c>
      <c r="D153" s="3" t="s">
        <v>249</v>
      </c>
      <c r="E153" s="3" t="s">
        <v>137</v>
      </c>
      <c r="F153" s="15" t="n">
        <v>25452.81</v>
      </c>
      <c r="G153" s="15" t="n">
        <v>9054.22</v>
      </c>
      <c r="H153" s="15" t="n">
        <v>34507.03</v>
      </c>
      <c r="I153" s="7" t="n">
        <v>1</v>
      </c>
      <c r="J153" s="7" t="s">
        <v>1028</v>
      </c>
    </row>
    <row r="154" customFormat="false" ht="15" hidden="false" customHeight="false" outlineLevel="0" collapsed="false">
      <c r="A154" s="3" t="n">
        <v>1</v>
      </c>
      <c r="B154" s="24" t="n">
        <v>46023</v>
      </c>
      <c r="C154" s="3" t="s">
        <v>295</v>
      </c>
      <c r="D154" s="3" t="s">
        <v>252</v>
      </c>
      <c r="E154" s="3" t="s">
        <v>166</v>
      </c>
      <c r="F154" s="15" t="n">
        <v>4495.7</v>
      </c>
      <c r="G154" s="15" t="n">
        <v>1605.4</v>
      </c>
      <c r="H154" s="15" t="n">
        <v>6101.1</v>
      </c>
      <c r="I154" s="7" t="n">
        <v>1</v>
      </c>
      <c r="J154" s="7" t="s">
        <v>1029</v>
      </c>
    </row>
    <row r="155" customFormat="false" ht="15" hidden="false" customHeight="false" outlineLevel="0" collapsed="false">
      <c r="A155" s="3" t="n">
        <v>1</v>
      </c>
      <c r="B155" s="24" t="n">
        <v>46023</v>
      </c>
      <c r="C155" s="3" t="s">
        <v>296</v>
      </c>
      <c r="D155" s="3" t="s">
        <v>252</v>
      </c>
      <c r="E155" s="3" t="s">
        <v>112</v>
      </c>
      <c r="F155" s="15" t="n">
        <v>7113.57</v>
      </c>
      <c r="G155" s="15" t="n">
        <v>2599.76</v>
      </c>
      <c r="H155" s="15" t="n">
        <v>9713.33</v>
      </c>
      <c r="I155" s="7" t="n">
        <v>1</v>
      </c>
      <c r="J155" s="7" t="s">
        <v>1030</v>
      </c>
    </row>
    <row r="156" customFormat="false" ht="15" hidden="false" customHeight="false" outlineLevel="0" collapsed="false">
      <c r="A156" s="3" t="n">
        <v>1</v>
      </c>
      <c r="B156" s="24" t="n">
        <v>46023</v>
      </c>
      <c r="C156" s="3" t="s">
        <v>297</v>
      </c>
      <c r="D156" s="3" t="s">
        <v>255</v>
      </c>
      <c r="E156" s="3" t="s">
        <v>168</v>
      </c>
      <c r="F156" s="15" t="n">
        <v>6614.47</v>
      </c>
      <c r="G156" s="15" t="n">
        <v>2360.36</v>
      </c>
      <c r="H156" s="15" t="n">
        <v>8974.83</v>
      </c>
      <c r="I156" s="7" t="n">
        <v>1</v>
      </c>
      <c r="J156" s="7" t="s">
        <v>1031</v>
      </c>
    </row>
    <row r="157" customFormat="false" ht="15" hidden="false" customHeight="false" outlineLevel="0" collapsed="false">
      <c r="A157" s="3" t="n">
        <v>1</v>
      </c>
      <c r="B157" s="24" t="n">
        <v>46023</v>
      </c>
      <c r="C157" s="3" t="s">
        <v>298</v>
      </c>
      <c r="D157" s="3" t="s">
        <v>255</v>
      </c>
      <c r="E157" s="3" t="s">
        <v>112</v>
      </c>
      <c r="F157" s="15" t="n">
        <v>7341.24</v>
      </c>
      <c r="G157" s="15" t="n">
        <v>2632.96</v>
      </c>
      <c r="H157" s="15" t="n">
        <v>9974.2</v>
      </c>
      <c r="I157" s="7" t="n">
        <v>1</v>
      </c>
      <c r="J157" s="7" t="s">
        <v>1032</v>
      </c>
    </row>
    <row r="158" customFormat="false" ht="15" hidden="false" customHeight="false" outlineLevel="0" collapsed="false">
      <c r="A158" s="3" t="n">
        <v>1</v>
      </c>
      <c r="B158" s="24" t="n">
        <v>46023</v>
      </c>
      <c r="C158" s="3" t="s">
        <v>299</v>
      </c>
      <c r="D158" s="3" t="s">
        <v>258</v>
      </c>
      <c r="E158" s="3" t="s">
        <v>146</v>
      </c>
      <c r="F158" s="15" t="n">
        <v>10711.82</v>
      </c>
      <c r="G158" s="15" t="n">
        <v>3811.13</v>
      </c>
      <c r="H158" s="15" t="n">
        <v>14522.95</v>
      </c>
      <c r="I158" s="7" t="n">
        <v>1</v>
      </c>
      <c r="J158" s="7" t="s">
        <v>1033</v>
      </c>
    </row>
    <row r="159" customFormat="false" ht="15" hidden="false" customHeight="false" outlineLevel="0" collapsed="false">
      <c r="A159" s="3" t="n">
        <v>1</v>
      </c>
      <c r="B159" s="24" t="n">
        <v>46023</v>
      </c>
      <c r="C159" s="3" t="s">
        <v>300</v>
      </c>
      <c r="D159" s="3" t="s">
        <v>258</v>
      </c>
      <c r="E159" s="3" t="s">
        <v>112</v>
      </c>
      <c r="F159" s="15" t="n">
        <v>8053.6</v>
      </c>
      <c r="G159" s="15" t="n">
        <v>2878.4</v>
      </c>
      <c r="H159" s="15" t="n">
        <v>10932</v>
      </c>
      <c r="I159" s="7" t="n">
        <v>1</v>
      </c>
      <c r="J159" s="7" t="s">
        <v>1034</v>
      </c>
    </row>
    <row r="160" customFormat="false" ht="15" hidden="false" customHeight="false" outlineLevel="0" collapsed="false">
      <c r="A160" s="3" t="n">
        <v>1</v>
      </c>
      <c r="B160" s="24" t="n">
        <v>46023</v>
      </c>
      <c r="C160" s="3" t="s">
        <v>301</v>
      </c>
      <c r="D160" s="3" t="s">
        <v>261</v>
      </c>
      <c r="E160" s="3" t="s">
        <v>112</v>
      </c>
      <c r="F160" s="15" t="n">
        <v>2140.73</v>
      </c>
      <c r="G160" s="15" t="n">
        <v>751.04</v>
      </c>
      <c r="H160" s="15" t="n">
        <v>2891.77</v>
      </c>
      <c r="I160" s="7" t="n">
        <v>1</v>
      </c>
      <c r="J160" s="7" t="s">
        <v>1035</v>
      </c>
    </row>
    <row r="161" customFormat="false" ht="15" hidden="false" customHeight="false" outlineLevel="0" collapsed="false">
      <c r="A161" s="3" t="n">
        <v>1</v>
      </c>
      <c r="B161" s="24" t="n">
        <v>46023</v>
      </c>
      <c r="C161" s="3" t="s">
        <v>302</v>
      </c>
      <c r="D161" s="3" t="s">
        <v>222</v>
      </c>
      <c r="E161" s="3" t="s">
        <v>126</v>
      </c>
      <c r="F161" s="15" t="n">
        <v>32461.5</v>
      </c>
      <c r="G161" s="15" t="n">
        <v>11433.4</v>
      </c>
      <c r="H161" s="15" t="n">
        <v>43894.9</v>
      </c>
      <c r="I161" s="7" t="n">
        <v>1</v>
      </c>
      <c r="J161" s="7" t="s">
        <v>1036</v>
      </c>
    </row>
    <row r="162" customFormat="false" ht="15" hidden="false" customHeight="false" outlineLevel="0" collapsed="false">
      <c r="A162" s="3" t="n">
        <v>1</v>
      </c>
      <c r="B162" s="24" t="n">
        <v>46023</v>
      </c>
      <c r="C162" s="3" t="s">
        <v>303</v>
      </c>
      <c r="D162" s="3" t="s">
        <v>222</v>
      </c>
      <c r="E162" s="3" t="s">
        <v>160</v>
      </c>
      <c r="F162" s="15" t="n">
        <v>8017.97</v>
      </c>
      <c r="G162" s="15" t="n">
        <v>2818.68</v>
      </c>
      <c r="H162" s="15" t="n">
        <v>10836.65</v>
      </c>
      <c r="I162" s="7" t="n">
        <v>1</v>
      </c>
      <c r="J162" s="7" t="s">
        <v>1037</v>
      </c>
    </row>
    <row r="163" customFormat="false" ht="15" hidden="false" customHeight="false" outlineLevel="0" collapsed="false">
      <c r="A163" s="3" t="n">
        <v>1</v>
      </c>
      <c r="B163" s="24" t="n">
        <v>46023</v>
      </c>
      <c r="C163" s="3" t="s">
        <v>303</v>
      </c>
      <c r="D163" s="3" t="s">
        <v>222</v>
      </c>
      <c r="E163" s="3" t="s">
        <v>140</v>
      </c>
      <c r="F163" s="15" t="n">
        <v>11062.63</v>
      </c>
      <c r="G163" s="15" t="n">
        <v>3879.73</v>
      </c>
      <c r="H163" s="15" t="n">
        <v>14942.36</v>
      </c>
      <c r="I163" s="7" t="n">
        <v>2</v>
      </c>
      <c r="J163" s="7" t="s">
        <v>1038</v>
      </c>
    </row>
    <row r="164" customFormat="false" ht="15" hidden="false" customHeight="false" outlineLevel="0" collapsed="false">
      <c r="A164" s="3" t="n">
        <v>1</v>
      </c>
      <c r="B164" s="24" t="n">
        <v>46023</v>
      </c>
      <c r="C164" s="3" t="s">
        <v>304</v>
      </c>
      <c r="D164" s="3" t="s">
        <v>237</v>
      </c>
      <c r="E164" s="3" t="s">
        <v>155</v>
      </c>
      <c r="F164" s="15" t="n">
        <v>9781.32</v>
      </c>
      <c r="G164" s="15" t="n">
        <v>3483.55</v>
      </c>
      <c r="H164" s="15" t="n">
        <v>13264.87</v>
      </c>
      <c r="I164" s="7" t="n">
        <v>1</v>
      </c>
      <c r="J164" s="7" t="s">
        <v>1039</v>
      </c>
    </row>
    <row r="165" customFormat="false" ht="15" hidden="false" customHeight="false" outlineLevel="0" collapsed="false">
      <c r="A165" s="3" t="n">
        <v>1</v>
      </c>
      <c r="B165" s="24" t="n">
        <v>46023</v>
      </c>
      <c r="C165" s="3" t="s">
        <v>305</v>
      </c>
      <c r="D165" s="3" t="s">
        <v>237</v>
      </c>
      <c r="E165" s="3" t="s">
        <v>112</v>
      </c>
      <c r="F165" s="15" t="n">
        <v>37360.61</v>
      </c>
      <c r="G165" s="15" t="n">
        <v>13339.47</v>
      </c>
      <c r="H165" s="15" t="n">
        <v>50700.08</v>
      </c>
      <c r="I165" s="7" t="n">
        <v>1</v>
      </c>
      <c r="J165" s="7" t="s">
        <v>1040</v>
      </c>
    </row>
    <row r="166" customFormat="false" ht="15" hidden="false" customHeight="false" outlineLevel="0" collapsed="false">
      <c r="A166" s="3" t="n">
        <v>1</v>
      </c>
      <c r="B166" s="24" t="n">
        <v>46023</v>
      </c>
      <c r="C166" s="3" t="s">
        <v>306</v>
      </c>
      <c r="D166" s="3" t="s">
        <v>237</v>
      </c>
      <c r="E166" s="3" t="s">
        <v>109</v>
      </c>
      <c r="F166" s="15" t="n">
        <v>15203.61</v>
      </c>
      <c r="G166" s="15" t="n">
        <v>5292.68</v>
      </c>
      <c r="H166" s="15" t="n">
        <v>20496.29</v>
      </c>
      <c r="I166" s="7" t="n">
        <v>1</v>
      </c>
      <c r="J166" s="7" t="s">
        <v>1041</v>
      </c>
    </row>
    <row r="167" customFormat="false" ht="15" hidden="false" customHeight="false" outlineLevel="0" collapsed="false">
      <c r="A167" s="3" t="n">
        <v>1</v>
      </c>
      <c r="B167" s="24" t="n">
        <v>46023</v>
      </c>
      <c r="C167" s="3" t="s">
        <v>306</v>
      </c>
      <c r="D167" s="3" t="s">
        <v>237</v>
      </c>
      <c r="E167" s="3" t="s">
        <v>133</v>
      </c>
      <c r="F167" s="15" t="n">
        <v>8603.91</v>
      </c>
      <c r="G167" s="15" t="n">
        <v>2999.49</v>
      </c>
      <c r="H167" s="15" t="n">
        <v>11603.4</v>
      </c>
      <c r="I167" s="7" t="n">
        <v>2</v>
      </c>
      <c r="J167" s="7" t="s">
        <v>1042</v>
      </c>
    </row>
    <row r="168" customFormat="false" ht="15" hidden="false" customHeight="false" outlineLevel="0" collapsed="false">
      <c r="A168" s="3" t="n">
        <v>1</v>
      </c>
      <c r="B168" s="24" t="n">
        <v>46023</v>
      </c>
      <c r="C168" s="3" t="s">
        <v>307</v>
      </c>
      <c r="D168" s="3" t="s">
        <v>269</v>
      </c>
      <c r="E168" s="3" t="s">
        <v>136</v>
      </c>
      <c r="F168" s="15" t="n">
        <v>17856.9</v>
      </c>
      <c r="G168" s="15" t="n">
        <v>6316.81</v>
      </c>
      <c r="H168" s="15" t="n">
        <v>24173.71</v>
      </c>
      <c r="I168" s="7" t="n">
        <v>1</v>
      </c>
      <c r="J168" s="7" t="s">
        <v>1043</v>
      </c>
    </row>
    <row r="169" customFormat="false" ht="15" hidden="false" customHeight="false" outlineLevel="0" collapsed="false">
      <c r="A169" s="3" t="n">
        <v>1</v>
      </c>
      <c r="B169" s="24" t="n">
        <v>46023</v>
      </c>
      <c r="C169" s="3" t="s">
        <v>307</v>
      </c>
      <c r="D169" s="3" t="s">
        <v>269</v>
      </c>
      <c r="E169" s="3" t="s">
        <v>174</v>
      </c>
      <c r="F169" s="15" t="n">
        <v>3555.43</v>
      </c>
      <c r="G169" s="15" t="n">
        <v>1267.44</v>
      </c>
      <c r="H169" s="15" t="n">
        <v>4822.87</v>
      </c>
      <c r="I169" s="7" t="n">
        <v>2</v>
      </c>
      <c r="J169" s="7" t="s">
        <v>1044</v>
      </c>
    </row>
    <row r="170" customFormat="false" ht="15" hidden="false" customHeight="false" outlineLevel="0" collapsed="false">
      <c r="A170" s="3" t="n">
        <v>1</v>
      </c>
      <c r="B170" s="24" t="n">
        <v>46023</v>
      </c>
      <c r="C170" s="3" t="s">
        <v>307</v>
      </c>
      <c r="D170" s="3" t="s">
        <v>269</v>
      </c>
      <c r="E170" s="3" t="s">
        <v>182</v>
      </c>
      <c r="F170" s="15" t="n">
        <v>2411.93</v>
      </c>
      <c r="G170" s="15" t="n">
        <v>859.56</v>
      </c>
      <c r="H170" s="15" t="n">
        <v>3271.49</v>
      </c>
      <c r="I170" s="7" t="n">
        <v>3</v>
      </c>
      <c r="J170" s="7" t="s">
        <v>1045</v>
      </c>
    </row>
    <row r="171" customFormat="false" ht="15" hidden="false" customHeight="false" outlineLevel="0" collapsed="false">
      <c r="A171" s="3" t="n">
        <v>1</v>
      </c>
      <c r="B171" s="24" t="n">
        <v>46023</v>
      </c>
      <c r="C171" s="3" t="s">
        <v>307</v>
      </c>
      <c r="D171" s="3" t="s">
        <v>269</v>
      </c>
      <c r="E171" s="3" t="s">
        <v>169</v>
      </c>
      <c r="F171" s="15" t="n">
        <v>2604.89</v>
      </c>
      <c r="G171" s="15" t="n">
        <v>863.6</v>
      </c>
      <c r="H171" s="15" t="n">
        <v>3468.49</v>
      </c>
      <c r="I171" s="7" t="n">
        <v>4</v>
      </c>
      <c r="J171" s="7" t="s">
        <v>1046</v>
      </c>
    </row>
    <row r="172" customFormat="false" ht="15" hidden="false" customHeight="false" outlineLevel="0" collapsed="false">
      <c r="A172" s="3" t="n">
        <v>1</v>
      </c>
      <c r="B172" s="24" t="n">
        <v>46023</v>
      </c>
      <c r="C172" s="3" t="s">
        <v>307</v>
      </c>
      <c r="D172" s="3" t="s">
        <v>269</v>
      </c>
      <c r="E172" s="3" t="s">
        <v>180</v>
      </c>
      <c r="F172" s="15" t="n">
        <v>2462.45</v>
      </c>
      <c r="G172" s="15" t="n">
        <v>863.19</v>
      </c>
      <c r="H172" s="15" t="n">
        <v>3325.64</v>
      </c>
      <c r="I172" s="7" t="n">
        <v>5</v>
      </c>
      <c r="J172" s="7" t="s">
        <v>1047</v>
      </c>
    </row>
    <row r="173" customFormat="false" ht="15" hidden="false" customHeight="false" outlineLevel="0" collapsed="false">
      <c r="A173" s="3" t="n">
        <v>1</v>
      </c>
      <c r="B173" s="24" t="n">
        <v>46023</v>
      </c>
      <c r="C173" s="3" t="s">
        <v>308</v>
      </c>
      <c r="D173" s="3" t="s">
        <v>269</v>
      </c>
      <c r="E173" s="3" t="s">
        <v>112</v>
      </c>
      <c r="F173" s="15" t="n">
        <v>22611.5</v>
      </c>
      <c r="G173" s="15" t="n">
        <v>8037.16</v>
      </c>
      <c r="H173" s="15" t="n">
        <v>30648.66</v>
      </c>
      <c r="I173" s="7" t="n">
        <v>1</v>
      </c>
      <c r="J173" s="7" t="s">
        <v>1048</v>
      </c>
    </row>
    <row r="174" customFormat="false" ht="15" hidden="false" customHeight="false" outlineLevel="0" collapsed="false">
      <c r="A174" s="3" t="n">
        <v>1</v>
      </c>
      <c r="B174" s="24" t="n">
        <v>46023</v>
      </c>
      <c r="C174" s="3" t="s">
        <v>308</v>
      </c>
      <c r="D174" s="3" t="s">
        <v>269</v>
      </c>
      <c r="E174" s="3" t="s">
        <v>164</v>
      </c>
      <c r="F174" s="15" t="n">
        <v>4611.8</v>
      </c>
      <c r="G174" s="15" t="n">
        <v>1642.16</v>
      </c>
      <c r="H174" s="15" t="n">
        <v>6253.96</v>
      </c>
      <c r="I174" s="7" t="n">
        <v>2</v>
      </c>
      <c r="J174" s="7" t="s">
        <v>1049</v>
      </c>
    </row>
    <row r="175" customFormat="false" ht="15" hidden="false" customHeight="false" outlineLevel="0" collapsed="false">
      <c r="A175" s="3" t="n">
        <v>1</v>
      </c>
      <c r="B175" s="24" t="n">
        <v>46023</v>
      </c>
      <c r="C175" s="3" t="s">
        <v>308</v>
      </c>
      <c r="D175" s="3" t="s">
        <v>269</v>
      </c>
      <c r="E175" s="3" t="s">
        <v>157</v>
      </c>
      <c r="F175" s="15" t="n">
        <v>3518.94</v>
      </c>
      <c r="G175" s="15" t="n">
        <v>1239.01</v>
      </c>
      <c r="H175" s="15" t="n">
        <v>4757.95</v>
      </c>
      <c r="I175" s="7" t="n">
        <v>3</v>
      </c>
      <c r="J175" s="7" t="s">
        <v>1050</v>
      </c>
    </row>
    <row r="176" customFormat="false" ht="15" hidden="false" customHeight="false" outlineLevel="0" collapsed="false">
      <c r="A176" s="3" t="n">
        <v>1</v>
      </c>
      <c r="B176" s="24" t="n">
        <v>46023</v>
      </c>
      <c r="C176" s="3" t="s">
        <v>308</v>
      </c>
      <c r="D176" s="3" t="s">
        <v>269</v>
      </c>
      <c r="E176" s="3" t="s">
        <v>162</v>
      </c>
      <c r="F176" s="15" t="n">
        <v>3349.75</v>
      </c>
      <c r="G176" s="15" t="n">
        <v>1186.36</v>
      </c>
      <c r="H176" s="15" t="n">
        <v>4536.11</v>
      </c>
      <c r="I176" s="7" t="n">
        <v>4</v>
      </c>
      <c r="J176" s="7" t="s">
        <v>1051</v>
      </c>
    </row>
    <row r="177" customFormat="false" ht="15" hidden="false" customHeight="false" outlineLevel="0" collapsed="false">
      <c r="A177" s="3" t="n">
        <v>1</v>
      </c>
      <c r="B177" s="24" t="n">
        <v>46023</v>
      </c>
      <c r="C177" s="3" t="s">
        <v>308</v>
      </c>
      <c r="D177" s="3" t="s">
        <v>269</v>
      </c>
      <c r="E177" s="3" t="s">
        <v>172</v>
      </c>
      <c r="F177" s="15" t="n">
        <v>1666.86</v>
      </c>
      <c r="G177" s="15" t="n">
        <v>595.1</v>
      </c>
      <c r="H177" s="15" t="n">
        <v>2261.96</v>
      </c>
      <c r="I177" s="7" t="n">
        <v>5</v>
      </c>
      <c r="J177" s="7" t="s">
        <v>1052</v>
      </c>
    </row>
    <row r="178" customFormat="false" ht="15" hidden="false" customHeight="false" outlineLevel="0" collapsed="false">
      <c r="A178" s="3" t="n">
        <v>1</v>
      </c>
      <c r="B178" s="24" t="n">
        <v>46023</v>
      </c>
      <c r="C178" s="3" t="s">
        <v>309</v>
      </c>
      <c r="D178" s="3" t="s">
        <v>224</v>
      </c>
      <c r="E178" s="3" t="s">
        <v>152</v>
      </c>
      <c r="F178" s="15" t="n">
        <v>7771.3</v>
      </c>
      <c r="G178" s="15" t="n">
        <v>2769.87</v>
      </c>
      <c r="H178" s="15" t="n">
        <v>10541.17</v>
      </c>
      <c r="I178" s="7" t="n">
        <v>1</v>
      </c>
      <c r="J178" s="7" t="s">
        <v>1053</v>
      </c>
    </row>
    <row r="179" customFormat="false" ht="15" hidden="false" customHeight="false" outlineLevel="0" collapsed="false">
      <c r="A179" s="3" t="n">
        <v>1</v>
      </c>
      <c r="B179" s="24" t="n">
        <v>46023</v>
      </c>
      <c r="C179" s="3" t="s">
        <v>310</v>
      </c>
      <c r="D179" s="3" t="s">
        <v>224</v>
      </c>
      <c r="E179" s="3" t="s">
        <v>178</v>
      </c>
      <c r="F179" s="15" t="n">
        <v>11662.76</v>
      </c>
      <c r="G179" s="15" t="n">
        <v>4052.35</v>
      </c>
      <c r="H179" s="15" t="n">
        <v>15715.11</v>
      </c>
      <c r="I179" s="7" t="n">
        <v>1</v>
      </c>
      <c r="J179" s="7" t="s">
        <v>1054</v>
      </c>
    </row>
    <row r="180" customFormat="false" ht="15" hidden="false" customHeight="false" outlineLevel="0" collapsed="false">
      <c r="A180" s="3" t="n">
        <v>1</v>
      </c>
      <c r="B180" s="24" t="n">
        <v>46023</v>
      </c>
      <c r="C180" s="3" t="s">
        <v>311</v>
      </c>
      <c r="D180" s="3" t="s">
        <v>224</v>
      </c>
      <c r="E180" s="3" t="s">
        <v>128</v>
      </c>
      <c r="F180" s="15" t="n">
        <v>8603.91</v>
      </c>
      <c r="G180" s="15" t="n">
        <v>2999.49</v>
      </c>
      <c r="H180" s="15" t="n">
        <v>11603.4</v>
      </c>
      <c r="I180" s="7" t="n">
        <v>1</v>
      </c>
      <c r="J180" s="7" t="s">
        <v>1055</v>
      </c>
    </row>
    <row r="181" customFormat="false" ht="15" hidden="false" customHeight="false" outlineLevel="0" collapsed="false">
      <c r="A181" s="3" t="n">
        <v>2</v>
      </c>
      <c r="B181" s="24" t="n">
        <v>46054</v>
      </c>
      <c r="C181" s="3" t="s">
        <v>312</v>
      </c>
      <c r="D181" s="3" t="s">
        <v>255</v>
      </c>
      <c r="E181" s="3" t="s">
        <v>112</v>
      </c>
      <c r="F181" s="15" t="n">
        <v>4951.73</v>
      </c>
      <c r="G181" s="15" t="n">
        <v>0</v>
      </c>
      <c r="H181" s="15" t="n">
        <v>4951.73</v>
      </c>
      <c r="I181" s="7" t="n">
        <v>1</v>
      </c>
      <c r="J181" s="7" t="s">
        <v>1056</v>
      </c>
    </row>
    <row r="182" customFormat="false" ht="15" hidden="false" customHeight="false" outlineLevel="0" collapsed="false">
      <c r="A182" s="3" t="n">
        <v>2</v>
      </c>
      <c r="B182" s="24" t="n">
        <v>46054</v>
      </c>
      <c r="C182" s="3" t="s">
        <v>313</v>
      </c>
      <c r="D182" s="3" t="s">
        <v>222</v>
      </c>
      <c r="E182" s="3" t="s">
        <v>118</v>
      </c>
      <c r="F182" s="15" t="n">
        <v>126561.95</v>
      </c>
      <c r="G182" s="15" t="n">
        <v>44466.17</v>
      </c>
      <c r="H182" s="15" t="n">
        <v>171028.12</v>
      </c>
      <c r="I182" s="7" t="n">
        <v>1</v>
      </c>
      <c r="J182" s="7" t="s">
        <v>1057</v>
      </c>
    </row>
    <row r="183" customFormat="false" ht="15" hidden="false" customHeight="false" outlineLevel="0" collapsed="false">
      <c r="A183" s="3" t="n">
        <v>2</v>
      </c>
      <c r="B183" s="24" t="n">
        <v>46054</v>
      </c>
      <c r="C183" s="3" t="s">
        <v>313</v>
      </c>
      <c r="D183" s="3" t="s">
        <v>222</v>
      </c>
      <c r="E183" s="3" t="s">
        <v>113</v>
      </c>
      <c r="F183" s="15" t="n">
        <v>303932.49</v>
      </c>
      <c r="G183" s="15" t="n">
        <v>107335.42</v>
      </c>
      <c r="H183" s="15" t="n">
        <v>411267.91</v>
      </c>
      <c r="I183" s="7" t="n">
        <v>2</v>
      </c>
      <c r="J183" s="7" t="s">
        <v>1058</v>
      </c>
    </row>
    <row r="184" customFormat="false" ht="15" hidden="false" customHeight="false" outlineLevel="0" collapsed="false">
      <c r="A184" s="3" t="n">
        <v>2</v>
      </c>
      <c r="B184" s="24" t="n">
        <v>46054</v>
      </c>
      <c r="C184" s="3" t="s">
        <v>313</v>
      </c>
      <c r="D184" s="3" t="s">
        <v>222</v>
      </c>
      <c r="E184" s="3" t="s">
        <v>111</v>
      </c>
      <c r="F184" s="15" t="n">
        <v>337708.89</v>
      </c>
      <c r="G184" s="15" t="n">
        <v>118675.09</v>
      </c>
      <c r="H184" s="15" t="n">
        <v>456383.98</v>
      </c>
      <c r="I184" s="7" t="n">
        <v>3</v>
      </c>
      <c r="J184" s="7" t="s">
        <v>1059</v>
      </c>
    </row>
    <row r="185" customFormat="false" ht="15" hidden="false" customHeight="false" outlineLevel="0" collapsed="false">
      <c r="A185" s="3" t="n">
        <v>2</v>
      </c>
      <c r="B185" s="24" t="n">
        <v>46054</v>
      </c>
      <c r="C185" s="3" t="s">
        <v>313</v>
      </c>
      <c r="D185" s="3" t="s">
        <v>222</v>
      </c>
      <c r="E185" s="3" t="s">
        <v>114</v>
      </c>
      <c r="F185" s="15" t="n">
        <v>282658.7</v>
      </c>
      <c r="G185" s="15" t="n">
        <v>100250.32</v>
      </c>
      <c r="H185" s="15" t="n">
        <v>382909.02</v>
      </c>
      <c r="I185" s="7" t="n">
        <v>4</v>
      </c>
      <c r="J185" s="7" t="s">
        <v>1060</v>
      </c>
    </row>
    <row r="186" customFormat="false" ht="15" hidden="false" customHeight="false" outlineLevel="0" collapsed="false">
      <c r="A186" s="3" t="n">
        <v>2</v>
      </c>
      <c r="B186" s="24" t="n">
        <v>46054</v>
      </c>
      <c r="C186" s="3" t="s">
        <v>314</v>
      </c>
      <c r="D186" s="3" t="s">
        <v>222</v>
      </c>
      <c r="E186" s="3" t="s">
        <v>124</v>
      </c>
      <c r="F186" s="15" t="n">
        <v>43528.58</v>
      </c>
      <c r="G186" s="15" t="n">
        <v>15276.35</v>
      </c>
      <c r="H186" s="15" t="n">
        <v>58804.93</v>
      </c>
      <c r="I186" s="7" t="n">
        <v>1</v>
      </c>
      <c r="J186" s="7" t="s">
        <v>1061</v>
      </c>
    </row>
    <row r="187" customFormat="false" ht="15" hidden="false" customHeight="false" outlineLevel="0" collapsed="false">
      <c r="A187" s="3" t="n">
        <v>2</v>
      </c>
      <c r="B187" s="24" t="n">
        <v>46054</v>
      </c>
      <c r="C187" s="3" t="s">
        <v>314</v>
      </c>
      <c r="D187" s="3" t="s">
        <v>222</v>
      </c>
      <c r="E187" s="3" t="s">
        <v>125</v>
      </c>
      <c r="F187" s="15" t="n">
        <v>49715.66</v>
      </c>
      <c r="G187" s="15" t="n">
        <v>17554.57</v>
      </c>
      <c r="H187" s="15" t="n">
        <v>67270.23</v>
      </c>
      <c r="I187" s="7" t="n">
        <v>2</v>
      </c>
      <c r="J187" s="7" t="s">
        <v>1062</v>
      </c>
    </row>
    <row r="188" customFormat="false" ht="15" hidden="false" customHeight="false" outlineLevel="0" collapsed="false">
      <c r="A188" s="3" t="n">
        <v>2</v>
      </c>
      <c r="B188" s="24" t="n">
        <v>46054</v>
      </c>
      <c r="C188" s="3" t="s">
        <v>314</v>
      </c>
      <c r="D188" s="3" t="s">
        <v>222</v>
      </c>
      <c r="E188" s="3" t="s">
        <v>131</v>
      </c>
      <c r="F188" s="15" t="n">
        <v>48883.05</v>
      </c>
      <c r="G188" s="15" t="n">
        <v>17135.03</v>
      </c>
      <c r="H188" s="15" t="n">
        <v>66018.08</v>
      </c>
      <c r="I188" s="7" t="n">
        <v>3</v>
      </c>
      <c r="J188" s="7" t="s">
        <v>1063</v>
      </c>
    </row>
    <row r="189" customFormat="false" ht="15" hidden="false" customHeight="false" outlineLevel="0" collapsed="false">
      <c r="A189" s="3" t="n">
        <v>2</v>
      </c>
      <c r="B189" s="24" t="n">
        <v>46054</v>
      </c>
      <c r="C189" s="3" t="s">
        <v>314</v>
      </c>
      <c r="D189" s="3" t="s">
        <v>222</v>
      </c>
      <c r="E189" s="3" t="s">
        <v>127</v>
      </c>
      <c r="F189" s="15" t="n">
        <v>59939.46</v>
      </c>
      <c r="G189" s="15" t="n">
        <v>21078.38</v>
      </c>
      <c r="H189" s="15" t="n">
        <v>81017.84</v>
      </c>
      <c r="I189" s="7" t="n">
        <v>4</v>
      </c>
      <c r="J189" s="7" t="s">
        <v>1064</v>
      </c>
    </row>
    <row r="190" customFormat="false" ht="15" hidden="false" customHeight="false" outlineLevel="0" collapsed="false">
      <c r="A190" s="3" t="n">
        <v>2</v>
      </c>
      <c r="B190" s="24" t="n">
        <v>46054</v>
      </c>
      <c r="C190" s="3" t="s">
        <v>314</v>
      </c>
      <c r="D190" s="3" t="s">
        <v>222</v>
      </c>
      <c r="E190" s="3" t="s">
        <v>129</v>
      </c>
      <c r="F190" s="15" t="n">
        <v>56788.2</v>
      </c>
      <c r="G190" s="15" t="n">
        <v>19965.29</v>
      </c>
      <c r="H190" s="15" t="n">
        <v>76753.49</v>
      </c>
      <c r="I190" s="7" t="n">
        <v>5</v>
      </c>
      <c r="J190" s="7" t="s">
        <v>1065</v>
      </c>
    </row>
    <row r="191" customFormat="false" ht="15" hidden="false" customHeight="false" outlineLevel="0" collapsed="false">
      <c r="A191" s="3" t="n">
        <v>2</v>
      </c>
      <c r="B191" s="24" t="n">
        <v>46054</v>
      </c>
      <c r="C191" s="3" t="s">
        <v>314</v>
      </c>
      <c r="D191" s="3" t="s">
        <v>222</v>
      </c>
      <c r="E191" s="3" t="s">
        <v>116</v>
      </c>
      <c r="F191" s="15" t="n">
        <v>138949.49</v>
      </c>
      <c r="G191" s="15" t="n">
        <v>48935.27</v>
      </c>
      <c r="H191" s="15" t="n">
        <v>187884.76</v>
      </c>
      <c r="I191" s="7" t="n">
        <v>6</v>
      </c>
      <c r="J191" s="7" t="s">
        <v>1066</v>
      </c>
    </row>
    <row r="192" customFormat="false" ht="15" hidden="false" customHeight="false" outlineLevel="0" collapsed="false">
      <c r="A192" s="3" t="n">
        <v>2</v>
      </c>
      <c r="B192" s="24" t="n">
        <v>46054</v>
      </c>
      <c r="C192" s="3" t="s">
        <v>314</v>
      </c>
      <c r="D192" s="3" t="s">
        <v>222</v>
      </c>
      <c r="E192" s="3" t="s">
        <v>115</v>
      </c>
      <c r="F192" s="15" t="n">
        <v>209789.86</v>
      </c>
      <c r="G192" s="15" t="n">
        <v>73427.38</v>
      </c>
      <c r="H192" s="15" t="n">
        <v>283217.24</v>
      </c>
      <c r="I192" s="7" t="n">
        <v>7</v>
      </c>
      <c r="J192" s="7" t="s">
        <v>1067</v>
      </c>
    </row>
    <row r="193" customFormat="false" ht="15" hidden="false" customHeight="false" outlineLevel="0" collapsed="false">
      <c r="A193" s="3" t="n">
        <v>2</v>
      </c>
      <c r="B193" s="24" t="n">
        <v>46054</v>
      </c>
      <c r="C193" s="3" t="s">
        <v>314</v>
      </c>
      <c r="D193" s="3" t="s">
        <v>222</v>
      </c>
      <c r="E193" s="3" t="s">
        <v>117</v>
      </c>
      <c r="F193" s="15" t="n">
        <v>117384.86</v>
      </c>
      <c r="G193" s="15" t="n">
        <v>41464.13</v>
      </c>
      <c r="H193" s="15" t="n">
        <v>158848.99</v>
      </c>
      <c r="I193" s="7" t="n">
        <v>8</v>
      </c>
      <c r="J193" s="7" t="s">
        <v>1068</v>
      </c>
    </row>
    <row r="194" customFormat="false" ht="15" hidden="false" customHeight="false" outlineLevel="0" collapsed="false">
      <c r="A194" s="3" t="n">
        <v>2</v>
      </c>
      <c r="B194" s="24" t="n">
        <v>46054</v>
      </c>
      <c r="C194" s="3" t="s">
        <v>314</v>
      </c>
      <c r="D194" s="3" t="s">
        <v>222</v>
      </c>
      <c r="E194" s="3" t="s">
        <v>150</v>
      </c>
      <c r="F194" s="15" t="n">
        <v>4761.06</v>
      </c>
      <c r="G194" s="15" t="n">
        <v>1674.1</v>
      </c>
      <c r="H194" s="15" t="n">
        <v>6435.16</v>
      </c>
      <c r="I194" s="7" t="n">
        <v>9</v>
      </c>
      <c r="J194" s="7" t="s">
        <v>1069</v>
      </c>
    </row>
    <row r="195" customFormat="false" ht="15" hidden="false" customHeight="false" outlineLevel="0" collapsed="false">
      <c r="A195" s="3" t="n">
        <v>2</v>
      </c>
      <c r="B195" s="24" t="n">
        <v>46054</v>
      </c>
      <c r="C195" s="3" t="s">
        <v>314</v>
      </c>
      <c r="D195" s="3" t="s">
        <v>222</v>
      </c>
      <c r="E195" s="3" t="s">
        <v>108</v>
      </c>
      <c r="F195" s="15" t="n">
        <v>447124.89</v>
      </c>
      <c r="G195" s="15" t="n">
        <v>158623.59</v>
      </c>
      <c r="H195" s="15" t="n">
        <v>605748.48</v>
      </c>
      <c r="I195" s="7" t="n">
        <v>10</v>
      </c>
      <c r="J195" s="7" t="s">
        <v>1070</v>
      </c>
    </row>
    <row r="196" customFormat="false" ht="15" hidden="false" customHeight="false" outlineLevel="0" collapsed="false">
      <c r="A196" s="3" t="n">
        <v>2</v>
      </c>
      <c r="B196" s="24" t="n">
        <v>46054</v>
      </c>
      <c r="C196" s="3" t="s">
        <v>314</v>
      </c>
      <c r="D196" s="3" t="s">
        <v>222</v>
      </c>
      <c r="E196" s="3" t="s">
        <v>110</v>
      </c>
      <c r="F196" s="15" t="n">
        <v>310646.67</v>
      </c>
      <c r="G196" s="15" t="n">
        <v>110357.44</v>
      </c>
      <c r="H196" s="15" t="n">
        <v>421004.11</v>
      </c>
      <c r="I196" s="7" t="n">
        <v>11</v>
      </c>
      <c r="J196" s="7" t="s">
        <v>1071</v>
      </c>
    </row>
    <row r="197" customFormat="false" ht="15" hidden="false" customHeight="false" outlineLevel="0" collapsed="false">
      <c r="A197" s="3" t="n">
        <v>2</v>
      </c>
      <c r="B197" s="24" t="n">
        <v>46054</v>
      </c>
      <c r="C197" s="3" t="s">
        <v>314</v>
      </c>
      <c r="D197" s="3" t="s">
        <v>222</v>
      </c>
      <c r="E197" s="3" t="s">
        <v>151</v>
      </c>
      <c r="F197" s="15" t="n">
        <v>6586.09</v>
      </c>
      <c r="G197" s="15" t="n">
        <v>2315.32</v>
      </c>
      <c r="H197" s="15" t="n">
        <v>8901.41</v>
      </c>
      <c r="I197" s="7" t="n">
        <v>12</v>
      </c>
      <c r="J197" s="7" t="s">
        <v>1072</v>
      </c>
    </row>
    <row r="198" customFormat="false" ht="15" hidden="false" customHeight="false" outlineLevel="0" collapsed="false">
      <c r="A198" s="3" t="n">
        <v>2</v>
      </c>
      <c r="B198" s="24" t="n">
        <v>46054</v>
      </c>
      <c r="C198" s="3" t="s">
        <v>314</v>
      </c>
      <c r="D198" s="3" t="s">
        <v>222</v>
      </c>
      <c r="E198" s="3" t="s">
        <v>121</v>
      </c>
      <c r="F198" s="15" t="n">
        <v>57330.18</v>
      </c>
      <c r="G198" s="15" t="n">
        <v>20231.51</v>
      </c>
      <c r="H198" s="15" t="n">
        <v>77561.69</v>
      </c>
      <c r="I198" s="7" t="n">
        <v>13</v>
      </c>
      <c r="J198" s="7" t="s">
        <v>1073</v>
      </c>
    </row>
    <row r="199" customFormat="false" ht="15" hidden="false" customHeight="false" outlineLevel="0" collapsed="false">
      <c r="A199" s="3" t="n">
        <v>2</v>
      </c>
      <c r="B199" s="24" t="n">
        <v>46054</v>
      </c>
      <c r="C199" s="3" t="s">
        <v>314</v>
      </c>
      <c r="D199" s="3" t="s">
        <v>222</v>
      </c>
      <c r="E199" s="3" t="s">
        <v>132</v>
      </c>
      <c r="F199" s="15" t="n">
        <v>31183.32</v>
      </c>
      <c r="G199" s="15" t="n">
        <v>10950.91</v>
      </c>
      <c r="H199" s="15" t="n">
        <v>42134.23</v>
      </c>
      <c r="I199" s="7" t="n">
        <v>14</v>
      </c>
      <c r="J199" s="7" t="s">
        <v>1074</v>
      </c>
    </row>
    <row r="200" customFormat="false" ht="15" hidden="false" customHeight="false" outlineLevel="0" collapsed="false">
      <c r="A200" s="3" t="n">
        <v>2</v>
      </c>
      <c r="B200" s="24" t="n">
        <v>46054</v>
      </c>
      <c r="C200" s="3" t="s">
        <v>315</v>
      </c>
      <c r="D200" s="3" t="s">
        <v>222</v>
      </c>
      <c r="E200" s="3" t="s">
        <v>160</v>
      </c>
      <c r="F200" s="15" t="n">
        <v>8720.62</v>
      </c>
      <c r="G200" s="15" t="n">
        <v>3061.34</v>
      </c>
      <c r="H200" s="15" t="n">
        <v>11781.96</v>
      </c>
      <c r="I200" s="7" t="n">
        <v>1</v>
      </c>
      <c r="J200" s="7" t="s">
        <v>1075</v>
      </c>
    </row>
    <row r="201" customFormat="false" ht="15" hidden="false" customHeight="false" outlineLevel="0" collapsed="false">
      <c r="A201" s="3" t="n">
        <v>2</v>
      </c>
      <c r="B201" s="24" t="n">
        <v>46054</v>
      </c>
      <c r="C201" s="3" t="s">
        <v>315</v>
      </c>
      <c r="D201" s="3" t="s">
        <v>222</v>
      </c>
      <c r="E201" s="3" t="s">
        <v>140</v>
      </c>
      <c r="F201" s="15" t="n">
        <v>10470.01</v>
      </c>
      <c r="G201" s="15" t="n">
        <v>3673.65</v>
      </c>
      <c r="H201" s="15" t="n">
        <v>14143.66</v>
      </c>
      <c r="I201" s="7" t="n">
        <v>2</v>
      </c>
      <c r="J201" s="7" t="s">
        <v>1076</v>
      </c>
    </row>
    <row r="202" customFormat="false" ht="15" hidden="false" customHeight="false" outlineLevel="0" collapsed="false">
      <c r="A202" s="3" t="n">
        <v>2</v>
      </c>
      <c r="B202" s="24" t="n">
        <v>46054</v>
      </c>
      <c r="C202" s="3" t="s">
        <v>316</v>
      </c>
      <c r="D202" s="3" t="s">
        <v>212</v>
      </c>
      <c r="E202" s="3" t="s">
        <v>109</v>
      </c>
      <c r="F202" s="15" t="n">
        <v>27914.89</v>
      </c>
      <c r="G202" s="15" t="n">
        <v>8387.88</v>
      </c>
      <c r="H202" s="15" t="n">
        <v>36302.77</v>
      </c>
      <c r="I202" s="7" t="n">
        <v>1</v>
      </c>
      <c r="J202" s="7" t="s">
        <v>1077</v>
      </c>
    </row>
    <row r="203" customFormat="false" ht="15" hidden="false" customHeight="false" outlineLevel="0" collapsed="false">
      <c r="A203" s="3" t="n">
        <v>2</v>
      </c>
      <c r="B203" s="24" t="n">
        <v>46054</v>
      </c>
      <c r="C203" s="3" t="s">
        <v>316</v>
      </c>
      <c r="D203" s="3" t="s">
        <v>212</v>
      </c>
      <c r="E203" s="3" t="s">
        <v>148</v>
      </c>
      <c r="F203" s="15" t="n">
        <v>6523.56</v>
      </c>
      <c r="G203" s="15" t="n">
        <v>1967.76</v>
      </c>
      <c r="H203" s="15" t="n">
        <v>8491.32</v>
      </c>
      <c r="I203" s="7" t="n">
        <v>2</v>
      </c>
      <c r="J203" s="7" t="s">
        <v>1078</v>
      </c>
    </row>
    <row r="204" customFormat="false" ht="15" hidden="false" customHeight="false" outlineLevel="0" collapsed="false">
      <c r="A204" s="3" t="n">
        <v>2</v>
      </c>
      <c r="B204" s="24" t="n">
        <v>46054</v>
      </c>
      <c r="C204" s="3" t="s">
        <v>316</v>
      </c>
      <c r="D204" s="3" t="s">
        <v>212</v>
      </c>
      <c r="E204" s="3" t="s">
        <v>183</v>
      </c>
      <c r="F204" s="15" t="n">
        <v>1012.49</v>
      </c>
      <c r="G204" s="15" t="n">
        <v>362.76</v>
      </c>
      <c r="H204" s="15" t="n">
        <v>1375.25</v>
      </c>
      <c r="I204" s="7" t="n">
        <v>3</v>
      </c>
      <c r="J204" s="7" t="s">
        <v>1079</v>
      </c>
    </row>
    <row r="205" customFormat="false" ht="15" hidden="false" customHeight="false" outlineLevel="0" collapsed="false">
      <c r="A205" s="3" t="n">
        <v>2</v>
      </c>
      <c r="B205" s="24" t="n">
        <v>46054</v>
      </c>
      <c r="C205" s="3" t="s">
        <v>316</v>
      </c>
      <c r="D205" s="3" t="s">
        <v>212</v>
      </c>
      <c r="E205" s="3" t="s">
        <v>144</v>
      </c>
      <c r="F205" s="15" t="n">
        <v>6624.82</v>
      </c>
      <c r="G205" s="15" t="n">
        <v>1998.13</v>
      </c>
      <c r="H205" s="15" t="n">
        <v>8622.95</v>
      </c>
      <c r="I205" s="7" t="n">
        <v>4</v>
      </c>
      <c r="J205" s="7" t="s">
        <v>1080</v>
      </c>
    </row>
    <row r="206" customFormat="false" ht="15" hidden="false" customHeight="false" outlineLevel="0" collapsed="false">
      <c r="A206" s="3" t="n">
        <v>2</v>
      </c>
      <c r="B206" s="24" t="n">
        <v>46054</v>
      </c>
      <c r="C206" s="3" t="s">
        <v>316</v>
      </c>
      <c r="D206" s="3" t="s">
        <v>212</v>
      </c>
      <c r="E206" s="3" t="s">
        <v>135</v>
      </c>
      <c r="F206" s="15" t="n">
        <v>15014.23</v>
      </c>
      <c r="G206" s="15" t="n">
        <v>4512.57</v>
      </c>
      <c r="H206" s="15" t="n">
        <v>19526.8</v>
      </c>
      <c r="I206" s="7" t="n">
        <v>5</v>
      </c>
      <c r="J206" s="7" t="s">
        <v>1081</v>
      </c>
    </row>
    <row r="207" customFormat="false" ht="15" hidden="false" customHeight="false" outlineLevel="0" collapsed="false">
      <c r="A207" s="3" t="n">
        <v>2</v>
      </c>
      <c r="B207" s="24" t="n">
        <v>46054</v>
      </c>
      <c r="C207" s="3" t="s">
        <v>316</v>
      </c>
      <c r="D207" s="3" t="s">
        <v>212</v>
      </c>
      <c r="E207" s="3" t="s">
        <v>176</v>
      </c>
      <c r="F207" s="15" t="n">
        <v>8974.94</v>
      </c>
      <c r="G207" s="15" t="n">
        <v>2702.82</v>
      </c>
      <c r="H207" s="15" t="n">
        <v>11677.76</v>
      </c>
      <c r="I207" s="7" t="n">
        <v>6</v>
      </c>
      <c r="J207" s="7" t="s">
        <v>1082</v>
      </c>
    </row>
    <row r="208" customFormat="false" ht="15" hidden="false" customHeight="false" outlineLevel="0" collapsed="false">
      <c r="A208" s="3" t="n">
        <v>2</v>
      </c>
      <c r="B208" s="24" t="n">
        <v>46054</v>
      </c>
      <c r="C208" s="3" t="s">
        <v>316</v>
      </c>
      <c r="D208" s="3" t="s">
        <v>212</v>
      </c>
      <c r="E208" s="3" t="s">
        <v>119</v>
      </c>
      <c r="F208" s="15" t="n">
        <v>122076</v>
      </c>
      <c r="G208" s="15" t="n">
        <v>37587.16</v>
      </c>
      <c r="H208" s="15" t="n">
        <v>159663.16</v>
      </c>
      <c r="I208" s="7" t="n">
        <v>7</v>
      </c>
      <c r="J208" s="7" t="s">
        <v>1083</v>
      </c>
    </row>
    <row r="209" customFormat="false" ht="15" hidden="false" customHeight="false" outlineLevel="0" collapsed="false">
      <c r="A209" s="3" t="n">
        <v>2</v>
      </c>
      <c r="B209" s="24" t="n">
        <v>46054</v>
      </c>
      <c r="C209" s="3" t="s">
        <v>316</v>
      </c>
      <c r="D209" s="3" t="s">
        <v>212</v>
      </c>
      <c r="E209" s="3" t="s">
        <v>142</v>
      </c>
      <c r="F209" s="15" t="n">
        <v>8739.98</v>
      </c>
      <c r="G209" s="15" t="n">
        <v>2693.36</v>
      </c>
      <c r="H209" s="15" t="n">
        <v>11433.34</v>
      </c>
      <c r="I209" s="7" t="n">
        <v>8</v>
      </c>
      <c r="J209" s="7" t="s">
        <v>1084</v>
      </c>
    </row>
    <row r="210" customFormat="false" ht="15" hidden="false" customHeight="false" outlineLevel="0" collapsed="false">
      <c r="A210" s="3" t="n">
        <v>2</v>
      </c>
      <c r="B210" s="24" t="n">
        <v>46054</v>
      </c>
      <c r="C210" s="3" t="s">
        <v>317</v>
      </c>
      <c r="D210" s="3" t="s">
        <v>222</v>
      </c>
      <c r="E210" s="3" t="s">
        <v>118</v>
      </c>
      <c r="F210" s="15" t="n">
        <v>15311.58</v>
      </c>
      <c r="G210" s="15" t="n">
        <v>5360.59</v>
      </c>
      <c r="H210" s="15" t="n">
        <v>20672.17</v>
      </c>
      <c r="I210" s="7" t="n">
        <v>1</v>
      </c>
      <c r="J210" s="7" t="s">
        <v>1085</v>
      </c>
    </row>
    <row r="211" customFormat="false" ht="15" hidden="false" customHeight="false" outlineLevel="0" collapsed="false">
      <c r="A211" s="3" t="n">
        <v>2</v>
      </c>
      <c r="B211" s="24" t="n">
        <v>46054</v>
      </c>
      <c r="C211" s="3" t="s">
        <v>317</v>
      </c>
      <c r="D211" s="3" t="s">
        <v>222</v>
      </c>
      <c r="E211" s="3" t="s">
        <v>120</v>
      </c>
      <c r="F211" s="15" t="n">
        <v>22397.1</v>
      </c>
      <c r="G211" s="15" t="n">
        <v>7897.2</v>
      </c>
      <c r="H211" s="15" t="n">
        <v>30294.3</v>
      </c>
      <c r="I211" s="7" t="n">
        <v>2</v>
      </c>
      <c r="J211" s="7" t="s">
        <v>1086</v>
      </c>
    </row>
    <row r="212" customFormat="false" ht="15" hidden="false" customHeight="false" outlineLevel="0" collapsed="false">
      <c r="A212" s="3" t="n">
        <v>2</v>
      </c>
      <c r="B212" s="24" t="n">
        <v>46054</v>
      </c>
      <c r="C212" s="3" t="s">
        <v>317</v>
      </c>
      <c r="D212" s="3" t="s">
        <v>222</v>
      </c>
      <c r="E212" s="3" t="s">
        <v>126</v>
      </c>
      <c r="F212" s="15" t="n">
        <v>35656.2</v>
      </c>
      <c r="G212" s="15" t="n">
        <v>12538.66</v>
      </c>
      <c r="H212" s="15" t="n">
        <v>48194.86</v>
      </c>
      <c r="I212" s="7" t="n">
        <v>3</v>
      </c>
      <c r="J212" s="7" t="s">
        <v>1087</v>
      </c>
    </row>
    <row r="213" customFormat="false" ht="15" hidden="false" customHeight="false" outlineLevel="0" collapsed="false">
      <c r="A213" s="3" t="n">
        <v>2</v>
      </c>
      <c r="B213" s="24" t="n">
        <v>46054</v>
      </c>
      <c r="C213" s="3" t="s">
        <v>317</v>
      </c>
      <c r="D213" s="3" t="s">
        <v>222</v>
      </c>
      <c r="E213" s="3" t="s">
        <v>158</v>
      </c>
      <c r="F213" s="15" t="n">
        <v>10148.05</v>
      </c>
      <c r="G213" s="15" t="n">
        <v>3572.45</v>
      </c>
      <c r="H213" s="15" t="n">
        <v>13720.5</v>
      </c>
      <c r="I213" s="7" t="n">
        <v>4</v>
      </c>
      <c r="J213" s="7" t="s">
        <v>1088</v>
      </c>
    </row>
    <row r="214" customFormat="false" ht="15" hidden="false" customHeight="false" outlineLevel="0" collapsed="false">
      <c r="A214" s="3" t="n">
        <v>2</v>
      </c>
      <c r="B214" s="24" t="n">
        <v>46054</v>
      </c>
      <c r="C214" s="3" t="s">
        <v>318</v>
      </c>
      <c r="D214" s="3" t="s">
        <v>214</v>
      </c>
      <c r="E214" s="3" t="s">
        <v>112</v>
      </c>
      <c r="F214" s="15" t="n">
        <v>2320.91</v>
      </c>
      <c r="G214" s="15" t="n">
        <v>828.8</v>
      </c>
      <c r="H214" s="15" t="n">
        <v>3149.71</v>
      </c>
      <c r="I214" s="7" t="n">
        <v>1</v>
      </c>
      <c r="J214" s="7" t="s">
        <v>1089</v>
      </c>
    </row>
    <row r="215" customFormat="false" ht="15" hidden="false" customHeight="false" outlineLevel="0" collapsed="false">
      <c r="A215" s="3" t="n">
        <v>2</v>
      </c>
      <c r="B215" s="24" t="n">
        <v>46054</v>
      </c>
      <c r="C215" s="3" t="s">
        <v>319</v>
      </c>
      <c r="D215" s="3" t="s">
        <v>214</v>
      </c>
      <c r="E215" s="3" t="s">
        <v>165</v>
      </c>
      <c r="F215" s="15" t="n">
        <v>5827.44</v>
      </c>
      <c r="G215" s="15" t="n">
        <v>2056.07</v>
      </c>
      <c r="H215" s="15" t="n">
        <v>7883.51</v>
      </c>
      <c r="I215" s="7" t="n">
        <v>1</v>
      </c>
      <c r="J215" s="7" t="s">
        <v>1090</v>
      </c>
    </row>
    <row r="216" customFormat="false" ht="15" hidden="false" customHeight="false" outlineLevel="0" collapsed="false">
      <c r="A216" s="3" t="n">
        <v>2</v>
      </c>
      <c r="B216" s="24" t="n">
        <v>46054</v>
      </c>
      <c r="C216" s="3" t="s">
        <v>320</v>
      </c>
      <c r="D216" s="3" t="s">
        <v>321</v>
      </c>
      <c r="E216" s="3" t="s">
        <v>186</v>
      </c>
      <c r="F216" s="15" t="n">
        <v>214</v>
      </c>
      <c r="G216" s="15" t="n">
        <v>89.86</v>
      </c>
      <c r="H216" s="15" t="n">
        <v>303.86</v>
      </c>
      <c r="I216" s="7" t="n">
        <v>1</v>
      </c>
      <c r="J216" s="7" t="s">
        <v>1091</v>
      </c>
    </row>
    <row r="217" customFormat="false" ht="15" hidden="false" customHeight="false" outlineLevel="0" collapsed="false">
      <c r="A217" s="3" t="n">
        <v>2</v>
      </c>
      <c r="B217" s="24" t="n">
        <v>46054</v>
      </c>
      <c r="C217" s="3" t="s">
        <v>320</v>
      </c>
      <c r="D217" s="3" t="s">
        <v>321</v>
      </c>
      <c r="E217" s="3" t="s">
        <v>181</v>
      </c>
      <c r="F217" s="15" t="n">
        <v>9464.86</v>
      </c>
      <c r="G217" s="15" t="n">
        <v>3176.61</v>
      </c>
      <c r="H217" s="15" t="n">
        <v>12641.47</v>
      </c>
      <c r="I217" s="7" t="n">
        <v>2</v>
      </c>
      <c r="J217" s="7" t="s">
        <v>1092</v>
      </c>
    </row>
    <row r="218" customFormat="false" ht="15" hidden="false" customHeight="false" outlineLevel="0" collapsed="false">
      <c r="A218" s="3" t="n">
        <v>2</v>
      </c>
      <c r="B218" s="24" t="n">
        <v>46054</v>
      </c>
      <c r="C218" s="3" t="s">
        <v>320</v>
      </c>
      <c r="D218" s="3" t="s">
        <v>321</v>
      </c>
      <c r="E218" s="3" t="s">
        <v>109</v>
      </c>
      <c r="F218" s="15" t="n">
        <v>24657.3</v>
      </c>
      <c r="G218" s="15" t="n">
        <v>8187.74</v>
      </c>
      <c r="H218" s="15" t="n">
        <v>32845.04</v>
      </c>
      <c r="I218" s="7" t="n">
        <v>3</v>
      </c>
      <c r="J218" s="7" t="s">
        <v>1093</v>
      </c>
    </row>
    <row r="219" customFormat="false" ht="15" hidden="false" customHeight="false" outlineLevel="0" collapsed="false">
      <c r="A219" s="3" t="n">
        <v>2</v>
      </c>
      <c r="B219" s="24" t="n">
        <v>46054</v>
      </c>
      <c r="C219" s="3" t="s">
        <v>322</v>
      </c>
      <c r="D219" s="3" t="s">
        <v>231</v>
      </c>
      <c r="E219" s="3" t="s">
        <v>134</v>
      </c>
      <c r="F219" s="15" t="n">
        <v>17993.89</v>
      </c>
      <c r="G219" s="15" t="n">
        <v>6412.59</v>
      </c>
      <c r="H219" s="15" t="n">
        <v>24406.48</v>
      </c>
      <c r="I219" s="7" t="n">
        <v>1</v>
      </c>
      <c r="J219" s="7" t="s">
        <v>1094</v>
      </c>
    </row>
    <row r="220" customFormat="false" ht="15" hidden="false" customHeight="false" outlineLevel="0" collapsed="false">
      <c r="A220" s="3" t="n">
        <v>2</v>
      </c>
      <c r="B220" s="24" t="n">
        <v>46054</v>
      </c>
      <c r="C220" s="3" t="s">
        <v>323</v>
      </c>
      <c r="D220" s="3" t="s">
        <v>231</v>
      </c>
      <c r="E220" s="3" t="s">
        <v>112</v>
      </c>
      <c r="F220" s="15" t="n">
        <v>56947.54</v>
      </c>
      <c r="G220" s="15" t="n">
        <v>20231.21</v>
      </c>
      <c r="H220" s="15" t="n">
        <v>77178.75</v>
      </c>
      <c r="I220" s="7" t="n">
        <v>1</v>
      </c>
      <c r="J220" s="7" t="s">
        <v>1095</v>
      </c>
    </row>
    <row r="221" customFormat="false" ht="15" hidden="false" customHeight="false" outlineLevel="0" collapsed="false">
      <c r="A221" s="3" t="n">
        <v>2</v>
      </c>
      <c r="B221" s="24" t="n">
        <v>46054</v>
      </c>
      <c r="C221" s="3" t="s">
        <v>324</v>
      </c>
      <c r="D221" s="3" t="s">
        <v>234</v>
      </c>
      <c r="E221" s="3" t="s">
        <v>141</v>
      </c>
      <c r="F221" s="15" t="n">
        <v>17190.37</v>
      </c>
      <c r="G221" s="15" t="n">
        <v>6108.94</v>
      </c>
      <c r="H221" s="15" t="n">
        <v>23299.31</v>
      </c>
      <c r="I221" s="7" t="n">
        <v>1</v>
      </c>
      <c r="J221" s="7" t="s">
        <v>1096</v>
      </c>
    </row>
    <row r="222" customFormat="false" ht="15" hidden="false" customHeight="false" outlineLevel="0" collapsed="false">
      <c r="A222" s="3" t="n">
        <v>2</v>
      </c>
      <c r="B222" s="24" t="n">
        <v>46054</v>
      </c>
      <c r="C222" s="3" t="s">
        <v>325</v>
      </c>
      <c r="D222" s="3" t="s">
        <v>234</v>
      </c>
      <c r="E222" s="3" t="s">
        <v>112</v>
      </c>
      <c r="F222" s="15" t="n">
        <v>42979.49</v>
      </c>
      <c r="G222" s="15" t="n">
        <v>15252.14</v>
      </c>
      <c r="H222" s="15" t="n">
        <v>58231.63</v>
      </c>
      <c r="I222" s="7" t="n">
        <v>1</v>
      </c>
      <c r="J222" s="7" t="s">
        <v>1097</v>
      </c>
    </row>
    <row r="223" customFormat="false" ht="15" hidden="false" customHeight="false" outlineLevel="0" collapsed="false">
      <c r="A223" s="3" t="n">
        <v>2</v>
      </c>
      <c r="B223" s="24" t="n">
        <v>46054</v>
      </c>
      <c r="C223" s="3" t="s">
        <v>326</v>
      </c>
      <c r="D223" s="3" t="s">
        <v>237</v>
      </c>
      <c r="E223" s="3" t="s">
        <v>155</v>
      </c>
      <c r="F223" s="15" t="n">
        <v>11523.12</v>
      </c>
      <c r="G223" s="15" t="n">
        <v>4094.44</v>
      </c>
      <c r="H223" s="15" t="n">
        <v>15617.56</v>
      </c>
      <c r="I223" s="7" t="n">
        <v>1</v>
      </c>
      <c r="J223" s="7" t="s">
        <v>1098</v>
      </c>
    </row>
    <row r="224" customFormat="false" ht="15" hidden="false" customHeight="false" outlineLevel="0" collapsed="false">
      <c r="A224" s="3" t="n">
        <v>2</v>
      </c>
      <c r="B224" s="24" t="n">
        <v>46054</v>
      </c>
      <c r="C224" s="3" t="s">
        <v>327</v>
      </c>
      <c r="D224" s="3" t="s">
        <v>237</v>
      </c>
      <c r="E224" s="3" t="s">
        <v>112</v>
      </c>
      <c r="F224" s="15" t="n">
        <v>51146.78</v>
      </c>
      <c r="G224" s="15" t="n">
        <v>18194.15</v>
      </c>
      <c r="H224" s="15" t="n">
        <v>69340.93</v>
      </c>
      <c r="I224" s="7" t="n">
        <v>1</v>
      </c>
      <c r="J224" s="7" t="s">
        <v>1099</v>
      </c>
    </row>
    <row r="225" customFormat="false" ht="15" hidden="false" customHeight="false" outlineLevel="0" collapsed="false">
      <c r="A225" s="3" t="n">
        <v>2</v>
      </c>
      <c r="B225" s="24" t="n">
        <v>46054</v>
      </c>
      <c r="C225" s="3" t="s">
        <v>328</v>
      </c>
      <c r="D225" s="3" t="s">
        <v>237</v>
      </c>
      <c r="E225" s="3" t="s">
        <v>109</v>
      </c>
      <c r="F225" s="15" t="n">
        <v>74394.1</v>
      </c>
      <c r="G225" s="15" t="n">
        <v>25902.62</v>
      </c>
      <c r="H225" s="15" t="n">
        <v>100296.72</v>
      </c>
      <c r="I225" s="7" t="n">
        <v>1</v>
      </c>
      <c r="J225" s="7" t="s">
        <v>1100</v>
      </c>
    </row>
    <row r="226" customFormat="false" ht="15" hidden="false" customHeight="false" outlineLevel="0" collapsed="false">
      <c r="A226" s="3" t="n">
        <v>2</v>
      </c>
      <c r="B226" s="24" t="n">
        <v>46054</v>
      </c>
      <c r="C226" s="3" t="s">
        <v>328</v>
      </c>
      <c r="D226" s="3" t="s">
        <v>237</v>
      </c>
      <c r="E226" s="3" t="s">
        <v>133</v>
      </c>
      <c r="F226" s="15" t="n">
        <v>15562.74</v>
      </c>
      <c r="G226" s="15" t="n">
        <v>5423.01</v>
      </c>
      <c r="H226" s="15" t="n">
        <v>20985.75</v>
      </c>
      <c r="I226" s="7" t="n">
        <v>2</v>
      </c>
      <c r="J226" s="7" t="s">
        <v>1101</v>
      </c>
    </row>
    <row r="227" customFormat="false" ht="15" hidden="false" customHeight="false" outlineLevel="0" collapsed="false">
      <c r="A227" s="3" t="n">
        <v>2</v>
      </c>
      <c r="B227" s="24" t="n">
        <v>46054</v>
      </c>
      <c r="C227" s="3" t="s">
        <v>328</v>
      </c>
      <c r="D227" s="3" t="s">
        <v>237</v>
      </c>
      <c r="E227" s="3" t="s">
        <v>130</v>
      </c>
      <c r="F227" s="15" t="n">
        <v>8005.1</v>
      </c>
      <c r="G227" s="15" t="n">
        <v>2783.69</v>
      </c>
      <c r="H227" s="15" t="n">
        <v>10788.79</v>
      </c>
      <c r="I227" s="7" t="n">
        <v>3</v>
      </c>
      <c r="J227" s="7" t="s">
        <v>1102</v>
      </c>
    </row>
    <row r="228" customFormat="false" ht="15" hidden="false" customHeight="false" outlineLevel="0" collapsed="false">
      <c r="A228" s="3" t="n">
        <v>2</v>
      </c>
      <c r="B228" s="24" t="n">
        <v>46054</v>
      </c>
      <c r="C228" s="3" t="s">
        <v>329</v>
      </c>
      <c r="D228" s="3" t="s">
        <v>226</v>
      </c>
      <c r="E228" s="3" t="s">
        <v>109</v>
      </c>
      <c r="F228" s="15" t="n">
        <v>99817.21</v>
      </c>
      <c r="G228" s="15" t="n">
        <v>30152.103032</v>
      </c>
      <c r="H228" s="15" t="n">
        <v>129969.313032</v>
      </c>
      <c r="I228" s="7" t="n">
        <v>1</v>
      </c>
      <c r="J228" s="7" t="s">
        <v>1103</v>
      </c>
    </row>
    <row r="229" customFormat="false" ht="15" hidden="false" customHeight="false" outlineLevel="0" collapsed="false">
      <c r="A229" s="3" t="n">
        <v>2</v>
      </c>
      <c r="B229" s="24" t="n">
        <v>46054</v>
      </c>
      <c r="C229" s="3" t="s">
        <v>329</v>
      </c>
      <c r="D229" s="3" t="s">
        <v>226</v>
      </c>
      <c r="E229" s="3" t="s">
        <v>154</v>
      </c>
      <c r="F229" s="15" t="n">
        <v>21342.79</v>
      </c>
      <c r="G229" s="15" t="n">
        <v>6449.009048</v>
      </c>
      <c r="H229" s="15" t="n">
        <v>27791.799048</v>
      </c>
      <c r="I229" s="7" t="n">
        <v>2</v>
      </c>
      <c r="J229" s="7" t="s">
        <v>1104</v>
      </c>
    </row>
    <row r="230" customFormat="false" ht="15" hidden="false" customHeight="false" outlineLevel="0" collapsed="false">
      <c r="A230" s="3" t="n">
        <v>2</v>
      </c>
      <c r="B230" s="24" t="n">
        <v>46054</v>
      </c>
      <c r="C230" s="3" t="s">
        <v>329</v>
      </c>
      <c r="D230" s="3" t="s">
        <v>226</v>
      </c>
      <c r="E230" s="3" t="s">
        <v>138</v>
      </c>
      <c r="F230" s="15" t="n">
        <v>16026.56</v>
      </c>
      <c r="G230" s="15" t="n">
        <v>4821.950176</v>
      </c>
      <c r="H230" s="15" t="n">
        <v>20848.510176</v>
      </c>
      <c r="I230" s="7" t="n">
        <v>3</v>
      </c>
      <c r="J230" s="7" t="s">
        <v>1105</v>
      </c>
    </row>
    <row r="231" customFormat="false" ht="15" hidden="false" customHeight="false" outlineLevel="0" collapsed="false">
      <c r="A231" s="3" t="n">
        <v>2</v>
      </c>
      <c r="B231" s="24" t="n">
        <v>46054</v>
      </c>
      <c r="C231" s="3" t="s">
        <v>329</v>
      </c>
      <c r="D231" s="3" t="s">
        <v>226</v>
      </c>
      <c r="E231" s="3" t="s">
        <v>192</v>
      </c>
      <c r="F231" s="15" t="n">
        <v>473.18</v>
      </c>
      <c r="G231" s="15" t="n">
        <v>147.71404</v>
      </c>
      <c r="H231" s="15" t="n">
        <v>620.89404</v>
      </c>
      <c r="I231" s="7" t="n">
        <v>4</v>
      </c>
      <c r="J231" s="7" t="s">
        <v>1106</v>
      </c>
    </row>
    <row r="232" customFormat="false" ht="15" hidden="false" customHeight="false" outlineLevel="0" collapsed="false">
      <c r="A232" s="3" t="n">
        <v>2</v>
      </c>
      <c r="B232" s="24" t="n">
        <v>46054</v>
      </c>
      <c r="C232" s="3" t="s">
        <v>329</v>
      </c>
      <c r="D232" s="3" t="s">
        <v>226</v>
      </c>
      <c r="E232" s="3" t="s">
        <v>163</v>
      </c>
      <c r="F232" s="15" t="n">
        <v>7188.98</v>
      </c>
      <c r="G232" s="15" t="n">
        <v>2172.534448</v>
      </c>
      <c r="H232" s="15" t="n">
        <v>9361.514448</v>
      </c>
      <c r="I232" s="7" t="n">
        <v>5</v>
      </c>
      <c r="J232" s="7" t="s">
        <v>1107</v>
      </c>
    </row>
    <row r="233" customFormat="false" ht="15" hidden="false" customHeight="false" outlineLevel="0" collapsed="false">
      <c r="A233" s="3" t="n">
        <v>2</v>
      </c>
      <c r="B233" s="24" t="n">
        <v>46054</v>
      </c>
      <c r="C233" s="3" t="s">
        <v>330</v>
      </c>
      <c r="D233" s="3" t="s">
        <v>226</v>
      </c>
      <c r="E233" s="3" t="s">
        <v>112</v>
      </c>
      <c r="F233" s="15" t="n">
        <v>5670.62</v>
      </c>
      <c r="G233" s="15" t="n">
        <v>1756.073872</v>
      </c>
      <c r="H233" s="15" t="n">
        <v>7426.693872</v>
      </c>
      <c r="I233" s="7" t="n">
        <v>1</v>
      </c>
      <c r="J233" s="7" t="s">
        <v>1108</v>
      </c>
    </row>
    <row r="234" customFormat="false" ht="15" hidden="false" customHeight="false" outlineLevel="0" collapsed="false">
      <c r="A234" s="3" t="n">
        <v>2</v>
      </c>
      <c r="B234" s="24" t="n">
        <v>46054</v>
      </c>
      <c r="C234" s="3" t="s">
        <v>331</v>
      </c>
      <c r="D234" s="3" t="s">
        <v>243</v>
      </c>
      <c r="E234" s="3" t="s">
        <v>112</v>
      </c>
      <c r="F234" s="15" t="n">
        <v>17518.28</v>
      </c>
      <c r="G234" s="15" t="n">
        <v>6360.02</v>
      </c>
      <c r="H234" s="15" t="n">
        <v>23878.3</v>
      </c>
      <c r="I234" s="7" t="n">
        <v>1</v>
      </c>
      <c r="J234" s="7" t="s">
        <v>1109</v>
      </c>
    </row>
    <row r="235" customFormat="false" ht="15" hidden="false" customHeight="false" outlineLevel="0" collapsed="false">
      <c r="A235" s="3" t="n">
        <v>2</v>
      </c>
      <c r="B235" s="24" t="n">
        <v>46054</v>
      </c>
      <c r="C235" s="3" t="s">
        <v>332</v>
      </c>
      <c r="D235" s="3" t="s">
        <v>243</v>
      </c>
      <c r="E235" s="3" t="s">
        <v>161</v>
      </c>
      <c r="F235" s="15" t="n">
        <v>5390.71</v>
      </c>
      <c r="G235" s="15" t="n">
        <v>1968.47</v>
      </c>
      <c r="H235" s="15" t="n">
        <v>7359.18</v>
      </c>
      <c r="I235" s="7" t="n">
        <v>1</v>
      </c>
      <c r="J235" s="7" t="s">
        <v>1110</v>
      </c>
    </row>
    <row r="236" customFormat="false" ht="15" hidden="false" customHeight="false" outlineLevel="0" collapsed="false">
      <c r="A236" s="3" t="n">
        <v>2</v>
      </c>
      <c r="B236" s="24" t="n">
        <v>46054</v>
      </c>
      <c r="C236" s="3" t="s">
        <v>333</v>
      </c>
      <c r="D236" s="3" t="s">
        <v>246</v>
      </c>
      <c r="E236" s="3" t="s">
        <v>171</v>
      </c>
      <c r="F236" s="15" t="n">
        <v>5011.55</v>
      </c>
      <c r="G236" s="15" t="n">
        <v>1798.76</v>
      </c>
      <c r="H236" s="15" t="n">
        <v>6810.31</v>
      </c>
      <c r="I236" s="7" t="n">
        <v>1</v>
      </c>
      <c r="J236" s="7" t="s">
        <v>1111</v>
      </c>
    </row>
    <row r="237" customFormat="false" ht="15" hidden="false" customHeight="false" outlineLevel="0" collapsed="false">
      <c r="A237" s="3" t="n">
        <v>2</v>
      </c>
      <c r="B237" s="24" t="n">
        <v>46054</v>
      </c>
      <c r="C237" s="3" t="s">
        <v>334</v>
      </c>
      <c r="D237" s="3" t="s">
        <v>246</v>
      </c>
      <c r="E237" s="3" t="s">
        <v>112</v>
      </c>
      <c r="F237" s="15" t="n">
        <v>1046.09</v>
      </c>
      <c r="G237" s="15" t="n">
        <v>444.24</v>
      </c>
      <c r="H237" s="15" t="n">
        <v>1490.33</v>
      </c>
      <c r="I237" s="7" t="n">
        <v>1</v>
      </c>
      <c r="J237" s="7" t="s">
        <v>1112</v>
      </c>
    </row>
    <row r="238" customFormat="false" ht="15" hidden="false" customHeight="false" outlineLevel="0" collapsed="false">
      <c r="A238" s="3" t="n">
        <v>2</v>
      </c>
      <c r="B238" s="24" t="n">
        <v>46054</v>
      </c>
      <c r="C238" s="3" t="s">
        <v>335</v>
      </c>
      <c r="D238" s="3" t="s">
        <v>249</v>
      </c>
      <c r="E238" s="3" t="s">
        <v>137</v>
      </c>
      <c r="F238" s="15" t="n">
        <v>20024.64</v>
      </c>
      <c r="G238" s="15" t="n">
        <v>7096.91</v>
      </c>
      <c r="H238" s="15" t="n">
        <v>27121.55</v>
      </c>
      <c r="I238" s="7" t="n">
        <v>1</v>
      </c>
      <c r="J238" s="7" t="s">
        <v>1113</v>
      </c>
    </row>
    <row r="239" customFormat="false" ht="15" hidden="false" customHeight="false" outlineLevel="0" collapsed="false">
      <c r="A239" s="3" t="n">
        <v>2</v>
      </c>
      <c r="B239" s="24" t="n">
        <v>46054</v>
      </c>
      <c r="C239" s="3" t="s">
        <v>336</v>
      </c>
      <c r="D239" s="3" t="s">
        <v>249</v>
      </c>
      <c r="E239" s="3" t="s">
        <v>112</v>
      </c>
      <c r="F239" s="15" t="n">
        <v>14914.31</v>
      </c>
      <c r="G239" s="15" t="n">
        <v>5266.67</v>
      </c>
      <c r="H239" s="15" t="n">
        <v>20180.98</v>
      </c>
      <c r="I239" s="7" t="n">
        <v>1</v>
      </c>
      <c r="J239" s="7" t="s">
        <v>1114</v>
      </c>
    </row>
    <row r="240" customFormat="false" ht="15" hidden="false" customHeight="false" outlineLevel="0" collapsed="false">
      <c r="A240" s="3" t="n">
        <v>2</v>
      </c>
      <c r="B240" s="24" t="n">
        <v>46054</v>
      </c>
      <c r="C240" s="3" t="s">
        <v>337</v>
      </c>
      <c r="D240" s="3" t="s">
        <v>252</v>
      </c>
      <c r="E240" s="3" t="s">
        <v>166</v>
      </c>
      <c r="F240" s="15" t="n">
        <v>5104.7</v>
      </c>
      <c r="G240" s="15" t="n">
        <v>1819.55</v>
      </c>
      <c r="H240" s="15" t="n">
        <v>6924.25</v>
      </c>
      <c r="I240" s="7" t="n">
        <v>1</v>
      </c>
      <c r="J240" s="7" t="s">
        <v>1115</v>
      </c>
    </row>
    <row r="241" customFormat="false" ht="15" hidden="false" customHeight="false" outlineLevel="0" collapsed="false">
      <c r="A241" s="3" t="n">
        <v>2</v>
      </c>
      <c r="B241" s="24" t="n">
        <v>46054</v>
      </c>
      <c r="C241" s="3" t="s">
        <v>338</v>
      </c>
      <c r="D241" s="3" t="s">
        <v>252</v>
      </c>
      <c r="E241" s="3" t="s">
        <v>112</v>
      </c>
      <c r="F241" s="15" t="n">
        <v>5793.2</v>
      </c>
      <c r="G241" s="15" t="n">
        <v>2056.63</v>
      </c>
      <c r="H241" s="15" t="n">
        <v>7849.83</v>
      </c>
      <c r="I241" s="7" t="n">
        <v>1</v>
      </c>
      <c r="J241" s="7" t="s">
        <v>1116</v>
      </c>
    </row>
    <row r="242" customFormat="false" ht="15" hidden="false" customHeight="false" outlineLevel="0" collapsed="false">
      <c r="A242" s="3" t="n">
        <v>2</v>
      </c>
      <c r="B242" s="24" t="n">
        <v>46054</v>
      </c>
      <c r="C242" s="3" t="s">
        <v>339</v>
      </c>
      <c r="D242" s="3" t="s">
        <v>255</v>
      </c>
      <c r="E242" s="3" t="s">
        <v>168</v>
      </c>
      <c r="F242" s="15" t="n">
        <v>6381.88</v>
      </c>
      <c r="G242" s="15" t="n">
        <v>2262.21</v>
      </c>
      <c r="H242" s="15" t="n">
        <v>8644.09</v>
      </c>
      <c r="I242" s="7" t="n">
        <v>1</v>
      </c>
      <c r="J242" s="7" t="s">
        <v>1117</v>
      </c>
    </row>
    <row r="243" customFormat="false" ht="15" hidden="false" customHeight="false" outlineLevel="0" collapsed="false">
      <c r="A243" s="3" t="n">
        <v>2</v>
      </c>
      <c r="B243" s="24" t="n">
        <v>46054</v>
      </c>
      <c r="C243" s="3" t="s">
        <v>340</v>
      </c>
      <c r="D243" s="3" t="s">
        <v>255</v>
      </c>
      <c r="E243" s="3" t="s">
        <v>112</v>
      </c>
      <c r="F243" s="15" t="n">
        <v>13430.88</v>
      </c>
      <c r="G243" s="15" t="n">
        <v>4765.22</v>
      </c>
      <c r="H243" s="15" t="n">
        <v>18196.1</v>
      </c>
      <c r="I243" s="7" t="n">
        <v>1</v>
      </c>
      <c r="J243" s="7" t="s">
        <v>1118</v>
      </c>
    </row>
    <row r="244" customFormat="false" ht="15" hidden="false" customHeight="false" outlineLevel="0" collapsed="false">
      <c r="A244" s="3" t="n">
        <v>2</v>
      </c>
      <c r="B244" s="24" t="n">
        <v>46054</v>
      </c>
      <c r="C244" s="3" t="s">
        <v>341</v>
      </c>
      <c r="D244" s="3" t="s">
        <v>258</v>
      </c>
      <c r="E244" s="3" t="s">
        <v>146</v>
      </c>
      <c r="F244" s="15" t="n">
        <v>11436.72</v>
      </c>
      <c r="G244" s="15" t="n">
        <v>4064.5</v>
      </c>
      <c r="H244" s="15" t="n">
        <v>15501.22</v>
      </c>
      <c r="I244" s="7" t="n">
        <v>1</v>
      </c>
      <c r="J244" s="7" t="s">
        <v>1119</v>
      </c>
    </row>
    <row r="245" customFormat="false" ht="15" hidden="false" customHeight="false" outlineLevel="0" collapsed="false">
      <c r="A245" s="3" t="n">
        <v>2</v>
      </c>
      <c r="B245" s="24" t="n">
        <v>46054</v>
      </c>
      <c r="C245" s="3" t="s">
        <v>342</v>
      </c>
      <c r="D245" s="3" t="s">
        <v>258</v>
      </c>
      <c r="E245" s="3" t="s">
        <v>112</v>
      </c>
      <c r="F245" s="15" t="n">
        <v>15308.26</v>
      </c>
      <c r="G245" s="15" t="n">
        <v>5465.73</v>
      </c>
      <c r="H245" s="15" t="n">
        <v>20773.99</v>
      </c>
      <c r="I245" s="7" t="n">
        <v>1</v>
      </c>
      <c r="J245" s="7" t="s">
        <v>1120</v>
      </c>
    </row>
    <row r="246" customFormat="false" ht="15" hidden="false" customHeight="false" outlineLevel="0" collapsed="false">
      <c r="A246" s="3" t="n">
        <v>2</v>
      </c>
      <c r="B246" s="24" t="n">
        <v>46054</v>
      </c>
      <c r="C246" s="3" t="s">
        <v>343</v>
      </c>
      <c r="D246" s="3" t="s">
        <v>344</v>
      </c>
      <c r="E246" s="3" t="s">
        <v>167</v>
      </c>
      <c r="F246" s="15" t="n">
        <v>12084.39</v>
      </c>
      <c r="G246" s="15" t="n">
        <v>4318.75</v>
      </c>
      <c r="H246" s="15" t="n">
        <v>16403.14</v>
      </c>
      <c r="I246" s="7" t="n">
        <v>1</v>
      </c>
      <c r="J246" s="7" t="s">
        <v>1121</v>
      </c>
    </row>
    <row r="247" customFormat="false" ht="15" hidden="false" customHeight="false" outlineLevel="0" collapsed="false">
      <c r="A247" s="3" t="n">
        <v>2</v>
      </c>
      <c r="B247" s="24" t="n">
        <v>46054</v>
      </c>
      <c r="C247" s="3" t="s">
        <v>345</v>
      </c>
      <c r="D247" s="3" t="s">
        <v>344</v>
      </c>
      <c r="E247" s="3" t="s">
        <v>112</v>
      </c>
      <c r="F247" s="15" t="n">
        <v>17120.09</v>
      </c>
      <c r="G247" s="15" t="n">
        <v>6074.103484</v>
      </c>
      <c r="H247" s="15" t="n">
        <v>23194.193484</v>
      </c>
      <c r="I247" s="7" t="n">
        <v>1</v>
      </c>
      <c r="J247" s="7" t="s">
        <v>1122</v>
      </c>
    </row>
    <row r="248" customFormat="false" ht="15" hidden="false" customHeight="false" outlineLevel="0" collapsed="false">
      <c r="A248" s="3" t="n">
        <v>2</v>
      </c>
      <c r="B248" s="24" t="n">
        <v>46054</v>
      </c>
      <c r="C248" s="3" t="s">
        <v>346</v>
      </c>
      <c r="D248" s="3" t="s">
        <v>217</v>
      </c>
      <c r="E248" s="3" t="s">
        <v>159</v>
      </c>
      <c r="F248" s="15" t="n">
        <v>4957.96</v>
      </c>
      <c r="G248" s="15" t="n">
        <v>1775.22</v>
      </c>
      <c r="H248" s="15" t="n">
        <v>6733.18</v>
      </c>
      <c r="I248" s="7" t="n">
        <v>1</v>
      </c>
      <c r="J248" s="7" t="s">
        <v>1123</v>
      </c>
    </row>
    <row r="249" customFormat="false" ht="15" hidden="false" customHeight="false" outlineLevel="0" collapsed="false">
      <c r="A249" s="3" t="n">
        <v>2</v>
      </c>
      <c r="B249" s="24" t="n">
        <v>46054</v>
      </c>
      <c r="C249" s="3" t="s">
        <v>347</v>
      </c>
      <c r="D249" s="3" t="s">
        <v>217</v>
      </c>
      <c r="E249" s="3" t="s">
        <v>109</v>
      </c>
      <c r="F249" s="15" t="n">
        <v>31747.09</v>
      </c>
      <c r="G249" s="15" t="n">
        <v>11066.08</v>
      </c>
      <c r="H249" s="15" t="n">
        <v>42813.17</v>
      </c>
      <c r="I249" s="7" t="n">
        <v>1</v>
      </c>
      <c r="J249" s="7" t="s">
        <v>1124</v>
      </c>
    </row>
    <row r="250" customFormat="false" ht="15" hidden="false" customHeight="false" outlineLevel="0" collapsed="false">
      <c r="A250" s="3" t="n">
        <v>2</v>
      </c>
      <c r="B250" s="24" t="n">
        <v>46054</v>
      </c>
      <c r="C250" s="3" t="s">
        <v>347</v>
      </c>
      <c r="D250" s="3" t="s">
        <v>217</v>
      </c>
      <c r="E250" s="3" t="s">
        <v>145</v>
      </c>
      <c r="F250" s="15" t="n">
        <v>11634.7</v>
      </c>
      <c r="G250" s="15" t="n">
        <v>4045.4</v>
      </c>
      <c r="H250" s="15" t="n">
        <v>15680.1</v>
      </c>
      <c r="I250" s="7" t="n">
        <v>2</v>
      </c>
      <c r="J250" s="7" t="s">
        <v>1125</v>
      </c>
    </row>
    <row r="251" customFormat="false" ht="15" hidden="false" customHeight="false" outlineLevel="0" collapsed="false">
      <c r="A251" s="3" t="n">
        <v>2</v>
      </c>
      <c r="B251" s="24" t="n">
        <v>46054</v>
      </c>
      <c r="C251" s="3" t="s">
        <v>348</v>
      </c>
      <c r="D251" s="3" t="s">
        <v>219</v>
      </c>
      <c r="E251" s="3" t="s">
        <v>153</v>
      </c>
      <c r="F251" s="15" t="n">
        <v>13114.52</v>
      </c>
      <c r="G251" s="15" t="n">
        <v>4725.72</v>
      </c>
      <c r="H251" s="15" t="n">
        <v>17840.24</v>
      </c>
      <c r="I251" s="7" t="n">
        <v>1</v>
      </c>
      <c r="J251" s="7" t="s">
        <v>1126</v>
      </c>
    </row>
    <row r="252" customFormat="false" ht="15" hidden="false" customHeight="false" outlineLevel="0" collapsed="false">
      <c r="A252" s="3" t="n">
        <v>2</v>
      </c>
      <c r="B252" s="24" t="n">
        <v>46054</v>
      </c>
      <c r="C252" s="3" t="s">
        <v>349</v>
      </c>
      <c r="D252" s="3" t="s">
        <v>219</v>
      </c>
      <c r="E252" s="3" t="s">
        <v>112</v>
      </c>
      <c r="F252" s="15" t="n">
        <v>37633.37</v>
      </c>
      <c r="G252" s="15" t="n">
        <v>13590.48</v>
      </c>
      <c r="H252" s="15" t="n">
        <v>51223.85</v>
      </c>
      <c r="I252" s="7" t="n">
        <v>1</v>
      </c>
      <c r="J252" s="7" t="s">
        <v>1127</v>
      </c>
    </row>
    <row r="253" customFormat="false" ht="15" hidden="false" customHeight="false" outlineLevel="0" collapsed="false">
      <c r="A253" s="3" t="n">
        <v>2</v>
      </c>
      <c r="B253" s="24" t="n">
        <v>46054</v>
      </c>
      <c r="C253" s="3" t="s">
        <v>350</v>
      </c>
      <c r="D253" s="3" t="s">
        <v>219</v>
      </c>
      <c r="E253" s="3" t="s">
        <v>130</v>
      </c>
      <c r="F253" s="15" t="n">
        <v>9703.14</v>
      </c>
      <c r="G253" s="15" t="n">
        <v>3371.23</v>
      </c>
      <c r="H253" s="15" t="n">
        <v>13074.37</v>
      </c>
      <c r="I253" s="7" t="n">
        <v>1</v>
      </c>
      <c r="J253" s="7" t="s">
        <v>1128</v>
      </c>
    </row>
    <row r="254" customFormat="false" ht="15" hidden="false" customHeight="false" outlineLevel="0" collapsed="false">
      <c r="A254" s="3" t="n">
        <v>2</v>
      </c>
      <c r="B254" s="24" t="n">
        <v>46054</v>
      </c>
      <c r="C254" s="3" t="s">
        <v>351</v>
      </c>
      <c r="D254" s="3" t="s">
        <v>228</v>
      </c>
      <c r="E254" s="3" t="s">
        <v>112</v>
      </c>
      <c r="F254" s="15" t="n">
        <v>19555.23</v>
      </c>
      <c r="G254" s="15" t="n">
        <v>7044.97</v>
      </c>
      <c r="H254" s="15" t="n">
        <v>26600.2</v>
      </c>
      <c r="I254" s="7" t="n">
        <v>1</v>
      </c>
      <c r="J254" s="7" t="s">
        <v>1129</v>
      </c>
    </row>
    <row r="255" customFormat="false" ht="15" hidden="false" customHeight="false" outlineLevel="0" collapsed="false">
      <c r="A255" s="3" t="n">
        <v>2</v>
      </c>
      <c r="B255" s="24" t="n">
        <v>46054</v>
      </c>
      <c r="C255" s="3" t="s">
        <v>352</v>
      </c>
      <c r="D255" s="3" t="s">
        <v>261</v>
      </c>
      <c r="E255" s="3" t="s">
        <v>190</v>
      </c>
      <c r="F255" s="15" t="n">
        <v>1133.28</v>
      </c>
      <c r="G255" s="15" t="n">
        <v>366.28</v>
      </c>
      <c r="H255" s="15" t="n">
        <v>1499.56</v>
      </c>
      <c r="I255" s="7" t="n">
        <v>1</v>
      </c>
      <c r="J255" s="7" t="s">
        <v>1130</v>
      </c>
    </row>
    <row r="256" customFormat="false" ht="15" hidden="false" customHeight="false" outlineLevel="0" collapsed="false">
      <c r="A256" s="3" t="n">
        <v>2</v>
      </c>
      <c r="B256" s="24" t="n">
        <v>46054</v>
      </c>
      <c r="C256" s="3" t="s">
        <v>352</v>
      </c>
      <c r="D256" s="3" t="s">
        <v>261</v>
      </c>
      <c r="E256" s="3" t="s">
        <v>175</v>
      </c>
      <c r="F256" s="15" t="n">
        <v>5210.21</v>
      </c>
      <c r="G256" s="15" t="n">
        <v>1840.18</v>
      </c>
      <c r="H256" s="15" t="n">
        <v>7050.39</v>
      </c>
      <c r="I256" s="7" t="n">
        <v>2</v>
      </c>
      <c r="J256" s="7" t="s">
        <v>1131</v>
      </c>
    </row>
    <row r="257" customFormat="false" ht="15" hidden="false" customHeight="false" outlineLevel="0" collapsed="false">
      <c r="A257" s="3" t="n">
        <v>2</v>
      </c>
      <c r="B257" s="24" t="n">
        <v>46054</v>
      </c>
      <c r="C257" s="3" t="s">
        <v>353</v>
      </c>
      <c r="D257" s="3" t="s">
        <v>261</v>
      </c>
      <c r="E257" s="3" t="s">
        <v>112</v>
      </c>
      <c r="F257" s="15" t="n">
        <v>5851.9</v>
      </c>
      <c r="G257" s="15" t="n">
        <v>2100.05</v>
      </c>
      <c r="H257" s="15" t="n">
        <v>7951.95</v>
      </c>
      <c r="I257" s="7" t="n">
        <v>1</v>
      </c>
      <c r="J257" s="7" t="s">
        <v>1132</v>
      </c>
    </row>
    <row r="258" customFormat="false" ht="15" hidden="false" customHeight="false" outlineLevel="0" collapsed="false">
      <c r="A258" s="3" t="n">
        <v>2</v>
      </c>
      <c r="B258" s="24" t="n">
        <v>46054</v>
      </c>
      <c r="C258" s="3" t="s">
        <v>354</v>
      </c>
      <c r="D258" s="3" t="s">
        <v>269</v>
      </c>
      <c r="E258" s="3" t="s">
        <v>109</v>
      </c>
      <c r="F258" s="15" t="n">
        <v>106673.58</v>
      </c>
      <c r="G258" s="15" t="n">
        <v>37131.57</v>
      </c>
      <c r="H258" s="15" t="n">
        <v>143805.15</v>
      </c>
      <c r="I258" s="7" t="n">
        <v>1</v>
      </c>
      <c r="J258" s="7" t="s">
        <v>1133</v>
      </c>
    </row>
    <row r="259" customFormat="false" ht="15" hidden="false" customHeight="false" outlineLevel="0" collapsed="false">
      <c r="A259" s="3" t="n">
        <v>2</v>
      </c>
      <c r="B259" s="24" t="n">
        <v>46054</v>
      </c>
      <c r="C259" s="3" t="s">
        <v>355</v>
      </c>
      <c r="D259" s="3" t="s">
        <v>269</v>
      </c>
      <c r="E259" s="3" t="s">
        <v>112</v>
      </c>
      <c r="F259" s="15" t="n">
        <v>37152.14</v>
      </c>
      <c r="G259" s="15" t="n">
        <v>13156.09</v>
      </c>
      <c r="H259" s="15" t="n">
        <v>50308.23</v>
      </c>
      <c r="I259" s="7" t="n">
        <v>1</v>
      </c>
      <c r="J259" s="7" t="s">
        <v>1134</v>
      </c>
    </row>
    <row r="260" customFormat="false" ht="15" hidden="false" customHeight="false" outlineLevel="0" collapsed="false">
      <c r="A260" s="3" t="n">
        <v>2</v>
      </c>
      <c r="B260" s="24" t="n">
        <v>46054</v>
      </c>
      <c r="C260" s="3" t="s">
        <v>355</v>
      </c>
      <c r="D260" s="3" t="s">
        <v>269</v>
      </c>
      <c r="E260" s="3" t="s">
        <v>164</v>
      </c>
      <c r="F260" s="15" t="n">
        <v>6037.76</v>
      </c>
      <c r="G260" s="15" t="n">
        <v>2142.4</v>
      </c>
      <c r="H260" s="15" t="n">
        <v>8180.16</v>
      </c>
      <c r="I260" s="7" t="n">
        <v>2</v>
      </c>
      <c r="J260" s="7" t="s">
        <v>1135</v>
      </c>
    </row>
    <row r="261" customFormat="false" ht="15" hidden="false" customHeight="false" outlineLevel="0" collapsed="false">
      <c r="A261" s="3" t="n">
        <v>2</v>
      </c>
      <c r="B261" s="24" t="n">
        <v>46054</v>
      </c>
      <c r="C261" s="3" t="s">
        <v>355</v>
      </c>
      <c r="D261" s="3" t="s">
        <v>269</v>
      </c>
      <c r="E261" s="3" t="s">
        <v>157</v>
      </c>
      <c r="F261" s="15" t="n">
        <v>5538.73</v>
      </c>
      <c r="G261" s="15" t="n">
        <v>1954.28</v>
      </c>
      <c r="H261" s="15" t="n">
        <v>7493.01</v>
      </c>
      <c r="I261" s="7" t="n">
        <v>3</v>
      </c>
      <c r="J261" s="7" t="s">
        <v>1136</v>
      </c>
    </row>
    <row r="262" customFormat="false" ht="15" hidden="false" customHeight="false" outlineLevel="0" collapsed="false">
      <c r="A262" s="3" t="n">
        <v>2</v>
      </c>
      <c r="B262" s="24" t="n">
        <v>46054</v>
      </c>
      <c r="C262" s="3" t="s">
        <v>355</v>
      </c>
      <c r="D262" s="3" t="s">
        <v>269</v>
      </c>
      <c r="E262" s="3" t="s">
        <v>162</v>
      </c>
      <c r="F262" s="15" t="n">
        <v>8448.75</v>
      </c>
      <c r="G262" s="15" t="n">
        <v>2991.43</v>
      </c>
      <c r="H262" s="15" t="n">
        <v>11440.18</v>
      </c>
      <c r="I262" s="7" t="n">
        <v>4</v>
      </c>
      <c r="J262" s="7" t="s">
        <v>1137</v>
      </c>
    </row>
    <row r="263" customFormat="false" ht="15" hidden="false" customHeight="false" outlineLevel="0" collapsed="false">
      <c r="A263" s="3" t="n">
        <v>2</v>
      </c>
      <c r="B263" s="24" t="n">
        <v>46054</v>
      </c>
      <c r="C263" s="3" t="s">
        <v>355</v>
      </c>
      <c r="D263" s="3" t="s">
        <v>269</v>
      </c>
      <c r="E263" s="3" t="s">
        <v>172</v>
      </c>
      <c r="F263" s="15" t="n">
        <v>3378.26</v>
      </c>
      <c r="G263" s="15" t="n">
        <v>1195.75</v>
      </c>
      <c r="H263" s="15" t="n">
        <v>4574.01</v>
      </c>
      <c r="I263" s="7" t="n">
        <v>5</v>
      </c>
      <c r="J263" s="7" t="s">
        <v>1138</v>
      </c>
    </row>
    <row r="264" customFormat="false" ht="15" hidden="false" customHeight="false" outlineLevel="0" collapsed="false">
      <c r="A264" s="3" t="n">
        <v>2</v>
      </c>
      <c r="B264" s="24" t="n">
        <v>46054</v>
      </c>
      <c r="C264" s="3" t="s">
        <v>356</v>
      </c>
      <c r="D264" s="3" t="s">
        <v>269</v>
      </c>
      <c r="E264" s="3" t="s">
        <v>136</v>
      </c>
      <c r="F264" s="15" t="n">
        <v>17321</v>
      </c>
      <c r="G264" s="15" t="n">
        <v>6131.97</v>
      </c>
      <c r="H264" s="15" t="n">
        <v>23452.97</v>
      </c>
      <c r="I264" s="7" t="n">
        <v>1</v>
      </c>
      <c r="J264" s="7" t="s">
        <v>1139</v>
      </c>
    </row>
    <row r="265" customFormat="false" ht="15" hidden="false" customHeight="false" outlineLevel="0" collapsed="false">
      <c r="A265" s="3" t="n">
        <v>2</v>
      </c>
      <c r="B265" s="24" t="n">
        <v>46054</v>
      </c>
      <c r="C265" s="3" t="s">
        <v>356</v>
      </c>
      <c r="D265" s="3" t="s">
        <v>269</v>
      </c>
      <c r="E265" s="3" t="s">
        <v>174</v>
      </c>
      <c r="F265" s="15" t="n">
        <v>6809.38</v>
      </c>
      <c r="G265" s="15" t="n">
        <v>2410.37</v>
      </c>
      <c r="H265" s="15" t="n">
        <v>9219.75</v>
      </c>
      <c r="I265" s="7" t="n">
        <v>2</v>
      </c>
      <c r="J265" s="7" t="s">
        <v>1140</v>
      </c>
    </row>
    <row r="266" customFormat="false" ht="15" hidden="false" customHeight="false" outlineLevel="0" collapsed="false">
      <c r="A266" s="3" t="n">
        <v>2</v>
      </c>
      <c r="B266" s="24" t="n">
        <v>46054</v>
      </c>
      <c r="C266" s="3" t="s">
        <v>356</v>
      </c>
      <c r="D266" s="3" t="s">
        <v>269</v>
      </c>
      <c r="E266" s="3" t="s">
        <v>182</v>
      </c>
      <c r="F266" s="15" t="n">
        <v>2865.71</v>
      </c>
      <c r="G266" s="15" t="n">
        <v>1018.38</v>
      </c>
      <c r="H266" s="15" t="n">
        <v>3884.09</v>
      </c>
      <c r="I266" s="7" t="n">
        <v>3</v>
      </c>
      <c r="J266" s="7" t="s">
        <v>1141</v>
      </c>
    </row>
    <row r="267" customFormat="false" ht="15" hidden="false" customHeight="false" outlineLevel="0" collapsed="false">
      <c r="A267" s="3" t="n">
        <v>2</v>
      </c>
      <c r="B267" s="24" t="n">
        <v>46054</v>
      </c>
      <c r="C267" s="3" t="s">
        <v>356</v>
      </c>
      <c r="D267" s="3" t="s">
        <v>269</v>
      </c>
      <c r="E267" s="3" t="s">
        <v>169</v>
      </c>
      <c r="F267" s="15" t="n">
        <v>7796.56</v>
      </c>
      <c r="G267" s="15" t="n">
        <v>2762.07</v>
      </c>
      <c r="H267" s="15" t="n">
        <v>10558.63</v>
      </c>
      <c r="I267" s="7" t="n">
        <v>4</v>
      </c>
      <c r="J267" s="7" t="s">
        <v>1142</v>
      </c>
    </row>
    <row r="268" customFormat="false" ht="15" hidden="false" customHeight="false" outlineLevel="0" collapsed="false">
      <c r="A268" s="3" t="n">
        <v>2</v>
      </c>
      <c r="B268" s="24" t="n">
        <v>46054</v>
      </c>
      <c r="C268" s="3" t="s">
        <v>356</v>
      </c>
      <c r="D268" s="3" t="s">
        <v>269</v>
      </c>
      <c r="E268" s="3" t="s">
        <v>180</v>
      </c>
      <c r="F268" s="15" t="n">
        <v>2906.97</v>
      </c>
      <c r="G268" s="15" t="n">
        <v>1017.26</v>
      </c>
      <c r="H268" s="15" t="n">
        <v>3924.23</v>
      </c>
      <c r="I268" s="7" t="n">
        <v>5</v>
      </c>
      <c r="J268" s="7" t="s">
        <v>1143</v>
      </c>
    </row>
    <row r="269" customFormat="false" ht="15" hidden="false" customHeight="false" outlineLevel="0" collapsed="false">
      <c r="A269" s="3" t="n">
        <v>2</v>
      </c>
      <c r="B269" s="24" t="n">
        <v>46054</v>
      </c>
      <c r="C269" s="3" t="s">
        <v>357</v>
      </c>
      <c r="D269" s="3" t="s">
        <v>224</v>
      </c>
      <c r="E269" s="3" t="s">
        <v>152</v>
      </c>
      <c r="F269" s="15" t="n">
        <v>8467.15</v>
      </c>
      <c r="G269" s="15" t="n">
        <v>3001.44</v>
      </c>
      <c r="H269" s="15" t="n">
        <v>11468.59</v>
      </c>
      <c r="I269" s="7" t="n">
        <v>1</v>
      </c>
      <c r="J269" s="7" t="s">
        <v>1144</v>
      </c>
    </row>
    <row r="270" customFormat="false" ht="15" hidden="false" customHeight="false" outlineLevel="0" collapsed="false">
      <c r="A270" s="3" t="n">
        <v>2</v>
      </c>
      <c r="B270" s="24" t="n">
        <v>46054</v>
      </c>
      <c r="C270" s="3" t="s">
        <v>358</v>
      </c>
      <c r="D270" s="3" t="s">
        <v>224</v>
      </c>
      <c r="E270" s="3" t="s">
        <v>143</v>
      </c>
      <c r="F270" s="15" t="n">
        <v>4745.32</v>
      </c>
      <c r="G270" s="15" t="n">
        <v>1784.72</v>
      </c>
      <c r="H270" s="15" t="n">
        <v>6530.04</v>
      </c>
      <c r="I270" s="7" t="n">
        <v>1</v>
      </c>
      <c r="J270" s="7" t="s">
        <v>1145</v>
      </c>
    </row>
    <row r="271" customFormat="false" ht="15" hidden="false" customHeight="false" outlineLevel="0" collapsed="false">
      <c r="A271" s="3" t="n">
        <v>2</v>
      </c>
      <c r="B271" s="24" t="n">
        <v>46054</v>
      </c>
      <c r="C271" s="3" t="s">
        <v>359</v>
      </c>
      <c r="D271" s="3" t="s">
        <v>224</v>
      </c>
      <c r="E271" s="3" t="s">
        <v>128</v>
      </c>
      <c r="F271" s="15" t="n">
        <v>32385.85</v>
      </c>
      <c r="G271" s="15" t="n">
        <v>11268.24</v>
      </c>
      <c r="H271" s="15" t="n">
        <v>43654.09</v>
      </c>
      <c r="I271" s="7" t="n">
        <v>1</v>
      </c>
      <c r="J271" s="7" t="s">
        <v>1146</v>
      </c>
    </row>
    <row r="272" customFormat="false" ht="15" hidden="false" customHeight="false" outlineLevel="0" collapsed="false">
      <c r="A272" s="3" t="n">
        <v>2</v>
      </c>
      <c r="B272" s="24" t="n">
        <v>46054</v>
      </c>
      <c r="C272" s="3" t="s">
        <v>360</v>
      </c>
      <c r="D272" s="3" t="s">
        <v>224</v>
      </c>
      <c r="E272" s="3" t="s">
        <v>178</v>
      </c>
      <c r="F272" s="15" t="n">
        <v>442.22</v>
      </c>
      <c r="G272" s="15" t="n">
        <v>153.27</v>
      </c>
      <c r="H272" s="15" t="n">
        <v>595.49</v>
      </c>
      <c r="I272" s="7" t="n">
        <v>1</v>
      </c>
      <c r="J272" s="7" t="s">
        <v>1147</v>
      </c>
    </row>
    <row r="273" customFormat="false" ht="15" hidden="false" customHeight="false" outlineLevel="0" collapsed="false">
      <c r="A273" s="3" t="n">
        <v>2</v>
      </c>
      <c r="B273" s="24" t="n">
        <v>46054</v>
      </c>
      <c r="C273" s="3" t="s">
        <v>361</v>
      </c>
      <c r="D273" s="3" t="s">
        <v>237</v>
      </c>
      <c r="E273" s="3" t="s">
        <v>130</v>
      </c>
      <c r="F273" s="15" t="n">
        <v>8005.1</v>
      </c>
      <c r="G273" s="15" t="n">
        <v>2783.69</v>
      </c>
      <c r="H273" s="15" t="n">
        <v>10788.79</v>
      </c>
      <c r="I273" s="7" t="n">
        <v>1</v>
      </c>
      <c r="J273" s="7" t="s">
        <v>1148</v>
      </c>
    </row>
    <row r="274" customFormat="false" ht="15" hidden="false" customHeight="false" outlineLevel="0" collapsed="false">
      <c r="A274" s="3" t="n">
        <v>2</v>
      </c>
      <c r="B274" s="24" t="n">
        <v>46054</v>
      </c>
      <c r="C274" s="3" t="s">
        <v>362</v>
      </c>
      <c r="D274" s="3" t="s">
        <v>228</v>
      </c>
      <c r="E274" s="3" t="s">
        <v>122</v>
      </c>
      <c r="F274" s="15" t="n">
        <v>52795.39</v>
      </c>
      <c r="G274" s="15" t="n">
        <v>18388.04</v>
      </c>
      <c r="H274" s="15" t="n">
        <v>71183.43</v>
      </c>
      <c r="I274" s="7" t="n">
        <v>1</v>
      </c>
      <c r="J274" s="7" t="s">
        <v>1149</v>
      </c>
    </row>
    <row r="275" customFormat="false" ht="15" hidden="false" customHeight="false" outlineLevel="0" collapsed="false">
      <c r="A275" s="3" t="n">
        <v>2</v>
      </c>
      <c r="B275" s="24" t="n">
        <v>46054</v>
      </c>
      <c r="C275" s="3" t="s">
        <v>362</v>
      </c>
      <c r="D275" s="3" t="s">
        <v>228</v>
      </c>
      <c r="E275" s="3" t="s">
        <v>109</v>
      </c>
      <c r="F275" s="15" t="n">
        <v>5694.06</v>
      </c>
      <c r="G275" s="15" t="n">
        <v>1984.23</v>
      </c>
      <c r="H275" s="15" t="n">
        <v>7678.29</v>
      </c>
      <c r="I275" s="7" t="n">
        <v>2</v>
      </c>
      <c r="J275" s="7" t="s">
        <v>1150</v>
      </c>
    </row>
    <row r="276" customFormat="false" ht="15" hidden="false" customHeight="false" outlineLevel="0" collapsed="false">
      <c r="A276" s="3" t="n">
        <v>2</v>
      </c>
      <c r="B276" s="24" t="n">
        <v>46054</v>
      </c>
      <c r="C276" s="3" t="s">
        <v>363</v>
      </c>
      <c r="D276" s="3" t="s">
        <v>212</v>
      </c>
      <c r="E276" s="3" t="s">
        <v>147</v>
      </c>
      <c r="F276" s="15" t="n">
        <v>9290.45</v>
      </c>
      <c r="G276" s="15" t="n">
        <v>2795.22</v>
      </c>
      <c r="H276" s="15" t="n">
        <v>12085.67</v>
      </c>
      <c r="I276" s="7" t="n">
        <v>1</v>
      </c>
      <c r="J276" s="7" t="s">
        <v>1151</v>
      </c>
    </row>
    <row r="277" customFormat="false" ht="15" hidden="false" customHeight="false" outlineLevel="0" collapsed="false">
      <c r="A277" s="3" t="n">
        <v>2</v>
      </c>
      <c r="B277" s="24" t="n">
        <v>46054</v>
      </c>
      <c r="C277" s="3" t="s">
        <v>364</v>
      </c>
      <c r="D277" s="3" t="s">
        <v>226</v>
      </c>
      <c r="E277" s="3" t="s">
        <v>109</v>
      </c>
      <c r="F277" s="15" t="n">
        <v>28823.02</v>
      </c>
      <c r="G277" s="15" t="n">
        <v>8684.08</v>
      </c>
      <c r="H277" s="15" t="n">
        <v>37507.1</v>
      </c>
      <c r="I277" s="7" t="n">
        <v>1</v>
      </c>
      <c r="J277" s="7" t="s">
        <v>1152</v>
      </c>
    </row>
    <row r="278" customFormat="false" ht="15" hidden="false" customHeight="false" outlineLevel="0" collapsed="false">
      <c r="A278" s="3" t="n">
        <v>2</v>
      </c>
      <c r="B278" s="24" t="n">
        <v>46054</v>
      </c>
      <c r="C278" s="3" t="s">
        <v>365</v>
      </c>
      <c r="D278" s="3" t="s">
        <v>222</v>
      </c>
      <c r="E278" s="3" t="s">
        <v>118</v>
      </c>
      <c r="F278" s="15" t="n">
        <v>6166.4</v>
      </c>
      <c r="G278" s="15" t="n">
        <v>0</v>
      </c>
      <c r="H278" s="15" t="n">
        <v>6166.4</v>
      </c>
      <c r="I278" s="7" t="n">
        <v>1</v>
      </c>
      <c r="J278" s="7" t="s">
        <v>1153</v>
      </c>
    </row>
    <row r="279" customFormat="false" ht="15" hidden="false" customHeight="false" outlineLevel="0" collapsed="false">
      <c r="A279" s="3" t="n">
        <v>2</v>
      </c>
      <c r="B279" s="24" t="n">
        <v>46054</v>
      </c>
      <c r="C279" s="3" t="s">
        <v>365</v>
      </c>
      <c r="D279" s="3" t="s">
        <v>222</v>
      </c>
      <c r="E279" s="3" t="s">
        <v>113</v>
      </c>
      <c r="F279" s="15" t="n">
        <v>24455.3</v>
      </c>
      <c r="G279" s="15" t="n">
        <v>0</v>
      </c>
      <c r="H279" s="15" t="n">
        <v>24455.3</v>
      </c>
      <c r="I279" s="7" t="n">
        <v>2</v>
      </c>
      <c r="J279" s="7" t="s">
        <v>1154</v>
      </c>
    </row>
    <row r="280" customFormat="false" ht="15" hidden="false" customHeight="false" outlineLevel="0" collapsed="false">
      <c r="A280" s="3" t="n">
        <v>2</v>
      </c>
      <c r="B280" s="24" t="n">
        <v>46054</v>
      </c>
      <c r="C280" s="3" t="s">
        <v>365</v>
      </c>
      <c r="D280" s="3" t="s">
        <v>222</v>
      </c>
      <c r="E280" s="3" t="s">
        <v>111</v>
      </c>
      <c r="F280" s="15" t="n">
        <v>16827.3</v>
      </c>
      <c r="G280" s="15" t="n">
        <v>0</v>
      </c>
      <c r="H280" s="15" t="n">
        <v>16827.3</v>
      </c>
      <c r="I280" s="7" t="n">
        <v>3</v>
      </c>
      <c r="J280" s="7" t="s">
        <v>1155</v>
      </c>
    </row>
    <row r="281" customFormat="false" ht="15" hidden="false" customHeight="false" outlineLevel="0" collapsed="false">
      <c r="A281" s="3" t="n">
        <v>2</v>
      </c>
      <c r="B281" s="24" t="n">
        <v>46054</v>
      </c>
      <c r="C281" s="3" t="s">
        <v>365</v>
      </c>
      <c r="D281" s="3" t="s">
        <v>222</v>
      </c>
      <c r="E281" s="3" t="s">
        <v>114</v>
      </c>
      <c r="F281" s="15" t="n">
        <v>19830.2</v>
      </c>
      <c r="G281" s="15" t="n">
        <v>0</v>
      </c>
      <c r="H281" s="15" t="n">
        <v>19830.2</v>
      </c>
      <c r="I281" s="7" t="n">
        <v>4</v>
      </c>
      <c r="J281" s="7" t="s">
        <v>1156</v>
      </c>
    </row>
    <row r="282" customFormat="false" ht="15" hidden="false" customHeight="false" outlineLevel="0" collapsed="false">
      <c r="A282" s="3" t="n">
        <v>2</v>
      </c>
      <c r="B282" s="24" t="n">
        <v>46054</v>
      </c>
      <c r="C282" s="3" t="s">
        <v>366</v>
      </c>
      <c r="D282" s="3" t="s">
        <v>222</v>
      </c>
      <c r="E282" s="3" t="s">
        <v>118</v>
      </c>
      <c r="F282" s="15" t="n">
        <v>296.82</v>
      </c>
      <c r="G282" s="15" t="n">
        <v>0</v>
      </c>
      <c r="H282" s="15" t="n">
        <v>296.82</v>
      </c>
      <c r="I282" s="7" t="n">
        <v>1</v>
      </c>
      <c r="J282" s="7" t="s">
        <v>1157</v>
      </c>
    </row>
    <row r="283" customFormat="false" ht="15" hidden="false" customHeight="false" outlineLevel="0" collapsed="false">
      <c r="A283" s="3" t="n">
        <v>2</v>
      </c>
      <c r="B283" s="24" t="n">
        <v>46054</v>
      </c>
      <c r="C283" s="3" t="s">
        <v>366</v>
      </c>
      <c r="D283" s="3" t="s">
        <v>222</v>
      </c>
      <c r="E283" s="3" t="s">
        <v>113</v>
      </c>
      <c r="F283" s="15" t="n">
        <v>2314.72</v>
      </c>
      <c r="G283" s="15" t="n">
        <v>0</v>
      </c>
      <c r="H283" s="15" t="n">
        <v>2314.72</v>
      </c>
      <c r="I283" s="7" t="n">
        <v>2</v>
      </c>
      <c r="J283" s="7" t="s">
        <v>1158</v>
      </c>
    </row>
    <row r="284" customFormat="false" ht="15" hidden="false" customHeight="false" outlineLevel="0" collapsed="false">
      <c r="A284" s="3" t="n">
        <v>2</v>
      </c>
      <c r="B284" s="24" t="n">
        <v>46054</v>
      </c>
      <c r="C284" s="3" t="s">
        <v>366</v>
      </c>
      <c r="D284" s="3" t="s">
        <v>222</v>
      </c>
      <c r="E284" s="3" t="s">
        <v>111</v>
      </c>
      <c r="F284" s="15" t="n">
        <v>723.35</v>
      </c>
      <c r="G284" s="15" t="n">
        <v>0</v>
      </c>
      <c r="H284" s="15" t="n">
        <v>723.35</v>
      </c>
      <c r="I284" s="7" t="n">
        <v>3</v>
      </c>
      <c r="J284" s="7" t="s">
        <v>1159</v>
      </c>
    </row>
    <row r="285" customFormat="false" ht="15" hidden="false" customHeight="false" outlineLevel="0" collapsed="false">
      <c r="A285" s="3" t="n">
        <v>2</v>
      </c>
      <c r="B285" s="24" t="n">
        <v>46054</v>
      </c>
      <c r="C285" s="3" t="s">
        <v>366</v>
      </c>
      <c r="D285" s="3" t="s">
        <v>222</v>
      </c>
      <c r="E285" s="3" t="s">
        <v>114</v>
      </c>
      <c r="F285" s="15" t="n">
        <v>1591.37</v>
      </c>
      <c r="G285" s="15" t="n">
        <v>0</v>
      </c>
      <c r="H285" s="15" t="n">
        <v>1591.37</v>
      </c>
      <c r="I285" s="7" t="n">
        <v>4</v>
      </c>
      <c r="J285" s="7" t="s">
        <v>1160</v>
      </c>
    </row>
    <row r="286" customFormat="false" ht="15" hidden="false" customHeight="false" outlineLevel="0" collapsed="false">
      <c r="A286" s="3" t="n">
        <v>2</v>
      </c>
      <c r="B286" s="24" t="n">
        <v>46054</v>
      </c>
      <c r="C286" s="3" t="s">
        <v>367</v>
      </c>
      <c r="D286" s="3" t="s">
        <v>222</v>
      </c>
      <c r="E286" s="3" t="s">
        <v>124</v>
      </c>
      <c r="F286" s="15" t="n">
        <v>4386.6</v>
      </c>
      <c r="G286" s="15" t="n">
        <v>0</v>
      </c>
      <c r="H286" s="15" t="n">
        <v>4386.6</v>
      </c>
      <c r="I286" s="7" t="n">
        <v>1</v>
      </c>
      <c r="J286" s="7" t="s">
        <v>1161</v>
      </c>
    </row>
    <row r="287" customFormat="false" ht="15" hidden="false" customHeight="false" outlineLevel="0" collapsed="false">
      <c r="A287" s="3" t="n">
        <v>2</v>
      </c>
      <c r="B287" s="24" t="n">
        <v>46054</v>
      </c>
      <c r="C287" s="3" t="s">
        <v>367</v>
      </c>
      <c r="D287" s="3" t="s">
        <v>222</v>
      </c>
      <c r="E287" s="3" t="s">
        <v>125</v>
      </c>
      <c r="F287" s="15" t="n">
        <v>3399.3</v>
      </c>
      <c r="G287" s="15" t="n">
        <v>0</v>
      </c>
      <c r="H287" s="15" t="n">
        <v>3399.3</v>
      </c>
      <c r="I287" s="7" t="n">
        <v>2</v>
      </c>
      <c r="J287" s="7" t="s">
        <v>1162</v>
      </c>
    </row>
    <row r="288" customFormat="false" ht="15" hidden="false" customHeight="false" outlineLevel="0" collapsed="false">
      <c r="A288" s="3" t="n">
        <v>2</v>
      </c>
      <c r="B288" s="24" t="n">
        <v>46054</v>
      </c>
      <c r="C288" s="3" t="s">
        <v>367</v>
      </c>
      <c r="D288" s="3" t="s">
        <v>222</v>
      </c>
      <c r="E288" s="3" t="s">
        <v>131</v>
      </c>
      <c r="F288" s="15" t="n">
        <v>3516.6</v>
      </c>
      <c r="G288" s="15" t="n">
        <v>0</v>
      </c>
      <c r="H288" s="15" t="n">
        <v>3516.6</v>
      </c>
      <c r="I288" s="7" t="n">
        <v>3</v>
      </c>
      <c r="J288" s="7" t="s">
        <v>1163</v>
      </c>
    </row>
    <row r="289" customFormat="false" ht="15" hidden="false" customHeight="false" outlineLevel="0" collapsed="false">
      <c r="A289" s="3" t="n">
        <v>2</v>
      </c>
      <c r="B289" s="24" t="n">
        <v>46054</v>
      </c>
      <c r="C289" s="3" t="s">
        <v>367</v>
      </c>
      <c r="D289" s="3" t="s">
        <v>222</v>
      </c>
      <c r="E289" s="3" t="s">
        <v>127</v>
      </c>
      <c r="F289" s="15" t="n">
        <v>3103.4</v>
      </c>
      <c r="G289" s="15" t="n">
        <v>0</v>
      </c>
      <c r="H289" s="15" t="n">
        <v>3103.4</v>
      </c>
      <c r="I289" s="7" t="n">
        <v>4</v>
      </c>
      <c r="J289" s="7" t="s">
        <v>1164</v>
      </c>
    </row>
    <row r="290" customFormat="false" ht="15" hidden="false" customHeight="false" outlineLevel="0" collapsed="false">
      <c r="A290" s="3" t="n">
        <v>2</v>
      </c>
      <c r="B290" s="24" t="n">
        <v>46054</v>
      </c>
      <c r="C290" s="3" t="s">
        <v>367</v>
      </c>
      <c r="D290" s="3" t="s">
        <v>222</v>
      </c>
      <c r="E290" s="3" t="s">
        <v>129</v>
      </c>
      <c r="F290" s="15" t="n">
        <v>5891.4</v>
      </c>
      <c r="G290" s="15" t="n">
        <v>0</v>
      </c>
      <c r="H290" s="15" t="n">
        <v>5891.4</v>
      </c>
      <c r="I290" s="7" t="n">
        <v>5</v>
      </c>
      <c r="J290" s="7" t="s">
        <v>1165</v>
      </c>
    </row>
    <row r="291" customFormat="false" ht="15" hidden="false" customHeight="false" outlineLevel="0" collapsed="false">
      <c r="A291" s="3" t="n">
        <v>2</v>
      </c>
      <c r="B291" s="24" t="n">
        <v>46054</v>
      </c>
      <c r="C291" s="3" t="s">
        <v>367</v>
      </c>
      <c r="D291" s="3" t="s">
        <v>222</v>
      </c>
      <c r="E291" s="3" t="s">
        <v>116</v>
      </c>
      <c r="F291" s="15" t="n">
        <v>17212.4</v>
      </c>
      <c r="G291" s="15" t="n">
        <v>0</v>
      </c>
      <c r="H291" s="15" t="n">
        <v>17212.4</v>
      </c>
      <c r="I291" s="7" t="n">
        <v>6</v>
      </c>
      <c r="J291" s="7" t="s">
        <v>1166</v>
      </c>
    </row>
    <row r="292" customFormat="false" ht="15" hidden="false" customHeight="false" outlineLevel="0" collapsed="false">
      <c r="A292" s="3" t="n">
        <v>2</v>
      </c>
      <c r="B292" s="24" t="n">
        <v>46054</v>
      </c>
      <c r="C292" s="3" t="s">
        <v>367</v>
      </c>
      <c r="D292" s="3" t="s">
        <v>222</v>
      </c>
      <c r="E292" s="3" t="s">
        <v>115</v>
      </c>
      <c r="F292" s="15" t="n">
        <v>16359.4</v>
      </c>
      <c r="G292" s="15" t="n">
        <v>0</v>
      </c>
      <c r="H292" s="15" t="n">
        <v>16359.4</v>
      </c>
      <c r="I292" s="7" t="n">
        <v>7</v>
      </c>
      <c r="J292" s="7" t="s">
        <v>1167</v>
      </c>
    </row>
    <row r="293" customFormat="false" ht="15" hidden="false" customHeight="false" outlineLevel="0" collapsed="false">
      <c r="A293" s="3" t="n">
        <v>2</v>
      </c>
      <c r="B293" s="24" t="n">
        <v>46054</v>
      </c>
      <c r="C293" s="3" t="s">
        <v>367</v>
      </c>
      <c r="D293" s="3" t="s">
        <v>222</v>
      </c>
      <c r="E293" s="3" t="s">
        <v>117</v>
      </c>
      <c r="F293" s="15" t="n">
        <v>15175</v>
      </c>
      <c r="G293" s="15" t="n">
        <v>0</v>
      </c>
      <c r="H293" s="15" t="n">
        <v>15175</v>
      </c>
      <c r="I293" s="7" t="n">
        <v>8</v>
      </c>
      <c r="J293" s="7" t="s">
        <v>1168</v>
      </c>
    </row>
    <row r="294" customFormat="false" ht="15" hidden="false" customHeight="false" outlineLevel="0" collapsed="false">
      <c r="A294" s="3" t="n">
        <v>2</v>
      </c>
      <c r="B294" s="24" t="n">
        <v>46054</v>
      </c>
      <c r="C294" s="3" t="s">
        <v>367</v>
      </c>
      <c r="D294" s="3" t="s">
        <v>222</v>
      </c>
      <c r="E294" s="3" t="s">
        <v>150</v>
      </c>
      <c r="F294" s="15" t="n">
        <v>546.6</v>
      </c>
      <c r="G294" s="15" t="n">
        <v>0</v>
      </c>
      <c r="H294" s="15" t="n">
        <v>546.6</v>
      </c>
      <c r="I294" s="7" t="n">
        <v>9</v>
      </c>
      <c r="J294" s="7" t="s">
        <v>1169</v>
      </c>
    </row>
    <row r="295" customFormat="false" ht="15" hidden="false" customHeight="false" outlineLevel="0" collapsed="false">
      <c r="A295" s="3" t="n">
        <v>2</v>
      </c>
      <c r="B295" s="24" t="n">
        <v>46054</v>
      </c>
      <c r="C295" s="3" t="s">
        <v>367</v>
      </c>
      <c r="D295" s="3" t="s">
        <v>222</v>
      </c>
      <c r="E295" s="3" t="s">
        <v>108</v>
      </c>
      <c r="F295" s="15" t="n">
        <v>83132.5</v>
      </c>
      <c r="G295" s="15" t="n">
        <v>0</v>
      </c>
      <c r="H295" s="15" t="n">
        <v>83132.5</v>
      </c>
      <c r="I295" s="7" t="n">
        <v>10</v>
      </c>
      <c r="J295" s="7" t="s">
        <v>1170</v>
      </c>
    </row>
    <row r="296" customFormat="false" ht="15" hidden="false" customHeight="false" outlineLevel="0" collapsed="false">
      <c r="A296" s="3" t="n">
        <v>2</v>
      </c>
      <c r="B296" s="24" t="n">
        <v>46054</v>
      </c>
      <c r="C296" s="3" t="s">
        <v>367</v>
      </c>
      <c r="D296" s="3" t="s">
        <v>222</v>
      </c>
      <c r="E296" s="3" t="s">
        <v>110</v>
      </c>
      <c r="F296" s="15" t="n">
        <v>55391.14</v>
      </c>
      <c r="G296" s="15" t="n">
        <v>0</v>
      </c>
      <c r="H296" s="15" t="n">
        <v>55391.14</v>
      </c>
      <c r="I296" s="7" t="n">
        <v>11</v>
      </c>
      <c r="J296" s="7" t="s">
        <v>1171</v>
      </c>
    </row>
    <row r="297" customFormat="false" ht="15" hidden="false" customHeight="false" outlineLevel="0" collapsed="false">
      <c r="A297" s="3" t="n">
        <v>2</v>
      </c>
      <c r="B297" s="24" t="n">
        <v>46054</v>
      </c>
      <c r="C297" s="3" t="s">
        <v>367</v>
      </c>
      <c r="D297" s="3" t="s">
        <v>222</v>
      </c>
      <c r="E297" s="3" t="s">
        <v>151</v>
      </c>
      <c r="F297" s="15" t="n">
        <v>321.8</v>
      </c>
      <c r="G297" s="15" t="n">
        <v>0</v>
      </c>
      <c r="H297" s="15" t="n">
        <v>321.8</v>
      </c>
      <c r="I297" s="7" t="n">
        <v>12</v>
      </c>
      <c r="J297" s="7" t="s">
        <v>1172</v>
      </c>
    </row>
    <row r="298" customFormat="false" ht="15" hidden="false" customHeight="false" outlineLevel="0" collapsed="false">
      <c r="A298" s="3" t="n">
        <v>2</v>
      </c>
      <c r="B298" s="24" t="n">
        <v>46054</v>
      </c>
      <c r="C298" s="3" t="s">
        <v>367</v>
      </c>
      <c r="D298" s="3" t="s">
        <v>222</v>
      </c>
      <c r="E298" s="3" t="s">
        <v>121</v>
      </c>
      <c r="F298" s="15" t="n">
        <v>4099.5</v>
      </c>
      <c r="G298" s="15" t="n">
        <v>0</v>
      </c>
      <c r="H298" s="15" t="n">
        <v>4099.5</v>
      </c>
      <c r="I298" s="7" t="n">
        <v>13</v>
      </c>
      <c r="J298" s="7" t="s">
        <v>1173</v>
      </c>
    </row>
    <row r="299" customFormat="false" ht="15" hidden="false" customHeight="false" outlineLevel="0" collapsed="false">
      <c r="A299" s="3" t="n">
        <v>2</v>
      </c>
      <c r="B299" s="24" t="n">
        <v>46054</v>
      </c>
      <c r="C299" s="3" t="s">
        <v>367</v>
      </c>
      <c r="D299" s="3" t="s">
        <v>222</v>
      </c>
      <c r="E299" s="3" t="s">
        <v>132</v>
      </c>
      <c r="F299" s="15" t="n">
        <v>4345.4</v>
      </c>
      <c r="G299" s="15" t="n">
        <v>0</v>
      </c>
      <c r="H299" s="15" t="n">
        <v>4345.4</v>
      </c>
      <c r="I299" s="7" t="n">
        <v>14</v>
      </c>
      <c r="J299" s="7" t="s">
        <v>1174</v>
      </c>
    </row>
    <row r="300" customFormat="false" ht="15" hidden="false" customHeight="false" outlineLevel="0" collapsed="false">
      <c r="A300" s="3" t="n">
        <v>2</v>
      </c>
      <c r="B300" s="24" t="n">
        <v>46054</v>
      </c>
      <c r="C300" s="3" t="s">
        <v>368</v>
      </c>
      <c r="D300" s="3" t="s">
        <v>222</v>
      </c>
      <c r="E300" s="3" t="s">
        <v>124</v>
      </c>
      <c r="F300" s="15" t="n">
        <v>1157.36</v>
      </c>
      <c r="G300" s="15" t="n">
        <v>0</v>
      </c>
      <c r="H300" s="15" t="n">
        <v>1157.36</v>
      </c>
      <c r="I300" s="7" t="n">
        <v>1</v>
      </c>
      <c r="J300" s="7" t="s">
        <v>1175</v>
      </c>
    </row>
    <row r="301" customFormat="false" ht="15" hidden="false" customHeight="false" outlineLevel="0" collapsed="false">
      <c r="A301" s="3" t="n">
        <v>2</v>
      </c>
      <c r="B301" s="24" t="n">
        <v>46054</v>
      </c>
      <c r="C301" s="3" t="s">
        <v>368</v>
      </c>
      <c r="D301" s="3" t="s">
        <v>222</v>
      </c>
      <c r="E301" s="3" t="s">
        <v>125</v>
      </c>
      <c r="F301" s="15" t="n">
        <v>578.68</v>
      </c>
      <c r="G301" s="15" t="n">
        <v>0</v>
      </c>
      <c r="H301" s="15" t="n">
        <v>578.68</v>
      </c>
      <c r="I301" s="7" t="n">
        <v>2</v>
      </c>
      <c r="J301" s="7" t="s">
        <v>1176</v>
      </c>
    </row>
    <row r="302" customFormat="false" ht="15" hidden="false" customHeight="false" outlineLevel="0" collapsed="false">
      <c r="A302" s="3" t="n">
        <v>2</v>
      </c>
      <c r="B302" s="24" t="n">
        <v>46054</v>
      </c>
      <c r="C302" s="3" t="s">
        <v>368</v>
      </c>
      <c r="D302" s="3" t="s">
        <v>222</v>
      </c>
      <c r="E302" s="3" t="s">
        <v>127</v>
      </c>
      <c r="F302" s="15" t="n">
        <v>144.67</v>
      </c>
      <c r="G302" s="15" t="n">
        <v>0</v>
      </c>
      <c r="H302" s="15" t="n">
        <v>144.67</v>
      </c>
      <c r="I302" s="7" t="n">
        <v>3</v>
      </c>
      <c r="J302" s="7" t="s">
        <v>1177</v>
      </c>
    </row>
    <row r="303" customFormat="false" ht="15" hidden="false" customHeight="false" outlineLevel="0" collapsed="false">
      <c r="A303" s="3" t="n">
        <v>2</v>
      </c>
      <c r="B303" s="24" t="n">
        <v>46054</v>
      </c>
      <c r="C303" s="3" t="s">
        <v>368</v>
      </c>
      <c r="D303" s="3" t="s">
        <v>222</v>
      </c>
      <c r="E303" s="3" t="s">
        <v>129</v>
      </c>
      <c r="F303" s="15" t="n">
        <v>144.67</v>
      </c>
      <c r="G303" s="15" t="n">
        <v>0</v>
      </c>
      <c r="H303" s="15" t="n">
        <v>144.67</v>
      </c>
      <c r="I303" s="7" t="n">
        <v>4</v>
      </c>
      <c r="J303" s="7" t="s">
        <v>1178</v>
      </c>
    </row>
    <row r="304" customFormat="false" ht="15" hidden="false" customHeight="false" outlineLevel="0" collapsed="false">
      <c r="A304" s="3" t="n">
        <v>2</v>
      </c>
      <c r="B304" s="24" t="n">
        <v>46054</v>
      </c>
      <c r="C304" s="3" t="s">
        <v>368</v>
      </c>
      <c r="D304" s="3" t="s">
        <v>222</v>
      </c>
      <c r="E304" s="3" t="s">
        <v>116</v>
      </c>
      <c r="F304" s="15" t="n">
        <v>578.68</v>
      </c>
      <c r="G304" s="15" t="n">
        <v>0</v>
      </c>
      <c r="H304" s="15" t="n">
        <v>578.68</v>
      </c>
      <c r="I304" s="7" t="n">
        <v>5</v>
      </c>
      <c r="J304" s="7" t="s">
        <v>1179</v>
      </c>
    </row>
    <row r="305" customFormat="false" ht="15" hidden="false" customHeight="false" outlineLevel="0" collapsed="false">
      <c r="A305" s="3" t="n">
        <v>2</v>
      </c>
      <c r="B305" s="24" t="n">
        <v>46054</v>
      </c>
      <c r="C305" s="3" t="s">
        <v>368</v>
      </c>
      <c r="D305" s="3" t="s">
        <v>222</v>
      </c>
      <c r="E305" s="3" t="s">
        <v>115</v>
      </c>
      <c r="F305" s="15" t="n">
        <v>723.35</v>
      </c>
      <c r="G305" s="15" t="n">
        <v>0</v>
      </c>
      <c r="H305" s="15" t="n">
        <v>723.35</v>
      </c>
      <c r="I305" s="7" t="n">
        <v>6</v>
      </c>
      <c r="J305" s="7" t="s">
        <v>1180</v>
      </c>
    </row>
    <row r="306" customFormat="false" ht="15" hidden="false" customHeight="false" outlineLevel="0" collapsed="false">
      <c r="A306" s="3" t="n">
        <v>2</v>
      </c>
      <c r="B306" s="24" t="n">
        <v>46054</v>
      </c>
      <c r="C306" s="3" t="s">
        <v>368</v>
      </c>
      <c r="D306" s="3" t="s">
        <v>222</v>
      </c>
      <c r="E306" s="3" t="s">
        <v>117</v>
      </c>
      <c r="F306" s="15" t="n">
        <v>868.02</v>
      </c>
      <c r="G306" s="15" t="n">
        <v>0</v>
      </c>
      <c r="H306" s="15" t="n">
        <v>868.02</v>
      </c>
      <c r="I306" s="7" t="n">
        <v>7</v>
      </c>
      <c r="J306" s="7" t="s">
        <v>1181</v>
      </c>
    </row>
    <row r="307" customFormat="false" ht="15" hidden="false" customHeight="false" outlineLevel="0" collapsed="false">
      <c r="A307" s="3" t="n">
        <v>2</v>
      </c>
      <c r="B307" s="24" t="n">
        <v>46054</v>
      </c>
      <c r="C307" s="3" t="s">
        <v>368</v>
      </c>
      <c r="D307" s="3" t="s">
        <v>222</v>
      </c>
      <c r="E307" s="3" t="s">
        <v>108</v>
      </c>
      <c r="F307" s="15" t="n">
        <v>4774.11</v>
      </c>
      <c r="G307" s="15" t="n">
        <v>0</v>
      </c>
      <c r="H307" s="15" t="n">
        <v>4774.11</v>
      </c>
      <c r="I307" s="7" t="n">
        <v>8</v>
      </c>
      <c r="J307" s="7" t="s">
        <v>1182</v>
      </c>
    </row>
    <row r="308" customFormat="false" ht="15" hidden="false" customHeight="false" outlineLevel="0" collapsed="false">
      <c r="A308" s="3" t="n">
        <v>2</v>
      </c>
      <c r="B308" s="24" t="n">
        <v>46054</v>
      </c>
      <c r="C308" s="3" t="s">
        <v>368</v>
      </c>
      <c r="D308" s="3" t="s">
        <v>222</v>
      </c>
      <c r="E308" s="3" t="s">
        <v>110</v>
      </c>
      <c r="F308" s="15" t="n">
        <v>5953.47</v>
      </c>
      <c r="G308" s="15" t="n">
        <v>0</v>
      </c>
      <c r="H308" s="15" t="n">
        <v>5953.47</v>
      </c>
      <c r="I308" s="7" t="n">
        <v>9</v>
      </c>
      <c r="J308" s="7" t="s">
        <v>1183</v>
      </c>
    </row>
    <row r="309" customFormat="false" ht="15" hidden="false" customHeight="false" outlineLevel="0" collapsed="false">
      <c r="A309" s="3" t="n">
        <v>2</v>
      </c>
      <c r="B309" s="24" t="n">
        <v>46054</v>
      </c>
      <c r="C309" s="3" t="s">
        <v>368</v>
      </c>
      <c r="D309" s="3" t="s">
        <v>222</v>
      </c>
      <c r="E309" s="3" t="s">
        <v>121</v>
      </c>
      <c r="F309" s="15" t="n">
        <v>289.34</v>
      </c>
      <c r="G309" s="15" t="n">
        <v>0</v>
      </c>
      <c r="H309" s="15" t="n">
        <v>289.34</v>
      </c>
      <c r="I309" s="7" t="n">
        <v>10</v>
      </c>
      <c r="J309" s="7" t="s">
        <v>1184</v>
      </c>
    </row>
    <row r="310" customFormat="false" ht="15" hidden="false" customHeight="false" outlineLevel="0" collapsed="false">
      <c r="A310" s="3" t="n">
        <v>2</v>
      </c>
      <c r="B310" s="24" t="n">
        <v>46054</v>
      </c>
      <c r="C310" s="3" t="s">
        <v>369</v>
      </c>
      <c r="D310" s="3" t="s">
        <v>222</v>
      </c>
      <c r="E310" s="3" t="s">
        <v>160</v>
      </c>
      <c r="F310" s="15" t="n">
        <v>600.3</v>
      </c>
      <c r="G310" s="15" t="n">
        <v>0</v>
      </c>
      <c r="H310" s="15" t="n">
        <v>600.3</v>
      </c>
      <c r="I310" s="7" t="n">
        <v>1</v>
      </c>
      <c r="J310" s="7" t="s">
        <v>1185</v>
      </c>
    </row>
    <row r="311" customFormat="false" ht="15" hidden="false" customHeight="false" outlineLevel="0" collapsed="false">
      <c r="A311" s="3" t="n">
        <v>2</v>
      </c>
      <c r="B311" s="24" t="n">
        <v>46054</v>
      </c>
      <c r="C311" s="3" t="s">
        <v>369</v>
      </c>
      <c r="D311" s="3" t="s">
        <v>222</v>
      </c>
      <c r="E311" s="3" t="s">
        <v>140</v>
      </c>
      <c r="F311" s="15" t="n">
        <v>753.72</v>
      </c>
      <c r="G311" s="15" t="n">
        <v>0</v>
      </c>
      <c r="H311" s="15" t="n">
        <v>753.72</v>
      </c>
      <c r="I311" s="7" t="n">
        <v>2</v>
      </c>
      <c r="J311" s="7" t="s">
        <v>1186</v>
      </c>
    </row>
    <row r="312" customFormat="false" ht="15" hidden="false" customHeight="false" outlineLevel="0" collapsed="false">
      <c r="A312" s="3" t="n">
        <v>2</v>
      </c>
      <c r="B312" s="24" t="n">
        <v>46054</v>
      </c>
      <c r="C312" s="3" t="s">
        <v>370</v>
      </c>
      <c r="D312" s="3" t="s">
        <v>212</v>
      </c>
      <c r="E312" s="3" t="s">
        <v>109</v>
      </c>
      <c r="F312" s="15" t="n">
        <v>3176.83</v>
      </c>
      <c r="G312" s="15" t="n">
        <v>0</v>
      </c>
      <c r="H312" s="15" t="n">
        <v>3176.83</v>
      </c>
      <c r="I312" s="7" t="n">
        <v>1</v>
      </c>
      <c r="J312" s="7" t="s">
        <v>1187</v>
      </c>
    </row>
    <row r="313" customFormat="false" ht="15" hidden="false" customHeight="false" outlineLevel="0" collapsed="false">
      <c r="A313" s="3" t="n">
        <v>2</v>
      </c>
      <c r="B313" s="24" t="n">
        <v>46054</v>
      </c>
      <c r="C313" s="3" t="s">
        <v>370</v>
      </c>
      <c r="D313" s="3" t="s">
        <v>212</v>
      </c>
      <c r="E313" s="3" t="s">
        <v>148</v>
      </c>
      <c r="F313" s="15" t="n">
        <v>808</v>
      </c>
      <c r="G313" s="15" t="n">
        <v>0</v>
      </c>
      <c r="H313" s="15" t="n">
        <v>808</v>
      </c>
      <c r="I313" s="7" t="n">
        <v>2</v>
      </c>
      <c r="J313" s="7" t="s">
        <v>1188</v>
      </c>
    </row>
    <row r="314" customFormat="false" ht="15" hidden="false" customHeight="false" outlineLevel="0" collapsed="false">
      <c r="A314" s="3" t="n">
        <v>2</v>
      </c>
      <c r="B314" s="24" t="n">
        <v>46054</v>
      </c>
      <c r="C314" s="3" t="s">
        <v>370</v>
      </c>
      <c r="D314" s="3" t="s">
        <v>212</v>
      </c>
      <c r="E314" s="3" t="s">
        <v>183</v>
      </c>
      <c r="F314" s="15" t="n">
        <v>653.91</v>
      </c>
      <c r="G314" s="15" t="n">
        <v>0</v>
      </c>
      <c r="H314" s="15" t="n">
        <v>653.91</v>
      </c>
      <c r="I314" s="7" t="n">
        <v>3</v>
      </c>
      <c r="J314" s="7" t="s">
        <v>1189</v>
      </c>
    </row>
    <row r="315" customFormat="false" ht="15" hidden="false" customHeight="false" outlineLevel="0" collapsed="false">
      <c r="A315" s="3" t="n">
        <v>2</v>
      </c>
      <c r="B315" s="24" t="n">
        <v>46054</v>
      </c>
      <c r="C315" s="3" t="s">
        <v>370</v>
      </c>
      <c r="D315" s="3" t="s">
        <v>212</v>
      </c>
      <c r="E315" s="3" t="s">
        <v>144</v>
      </c>
      <c r="F315" s="15" t="n">
        <v>801</v>
      </c>
      <c r="G315" s="15" t="n">
        <v>0</v>
      </c>
      <c r="H315" s="15" t="n">
        <v>801</v>
      </c>
      <c r="I315" s="7" t="n">
        <v>4</v>
      </c>
      <c r="J315" s="7" t="s">
        <v>1190</v>
      </c>
    </row>
    <row r="316" customFormat="false" ht="15" hidden="false" customHeight="false" outlineLevel="0" collapsed="false">
      <c r="A316" s="3" t="n">
        <v>2</v>
      </c>
      <c r="B316" s="24" t="n">
        <v>46054</v>
      </c>
      <c r="C316" s="3" t="s">
        <v>370</v>
      </c>
      <c r="D316" s="3" t="s">
        <v>212</v>
      </c>
      <c r="E316" s="3" t="s">
        <v>135</v>
      </c>
      <c r="F316" s="15" t="n">
        <v>759.4</v>
      </c>
      <c r="G316" s="15" t="n">
        <v>0</v>
      </c>
      <c r="H316" s="15" t="n">
        <v>759.4</v>
      </c>
      <c r="I316" s="7" t="n">
        <v>5</v>
      </c>
      <c r="J316" s="7" t="s">
        <v>1191</v>
      </c>
    </row>
    <row r="317" customFormat="false" ht="15" hidden="false" customHeight="false" outlineLevel="0" collapsed="false">
      <c r="A317" s="3" t="n">
        <v>2</v>
      </c>
      <c r="B317" s="24" t="n">
        <v>46054</v>
      </c>
      <c r="C317" s="3" t="s">
        <v>370</v>
      </c>
      <c r="D317" s="3" t="s">
        <v>212</v>
      </c>
      <c r="E317" s="3" t="s">
        <v>176</v>
      </c>
      <c r="F317" s="15" t="n">
        <v>808</v>
      </c>
      <c r="G317" s="15" t="n">
        <v>0</v>
      </c>
      <c r="H317" s="15" t="n">
        <v>808</v>
      </c>
      <c r="I317" s="7" t="n">
        <v>6</v>
      </c>
      <c r="J317" s="7" t="s">
        <v>1192</v>
      </c>
    </row>
    <row r="318" customFormat="false" ht="15" hidden="false" customHeight="false" outlineLevel="0" collapsed="false">
      <c r="A318" s="3" t="n">
        <v>2</v>
      </c>
      <c r="B318" s="24" t="n">
        <v>46054</v>
      </c>
      <c r="C318" s="3" t="s">
        <v>370</v>
      </c>
      <c r="D318" s="3" t="s">
        <v>212</v>
      </c>
      <c r="E318" s="3" t="s">
        <v>119</v>
      </c>
      <c r="F318" s="15" t="n">
        <v>32562.43</v>
      </c>
      <c r="G318" s="15" t="n">
        <v>0</v>
      </c>
      <c r="H318" s="15" t="n">
        <v>32562.43</v>
      </c>
      <c r="I318" s="7" t="n">
        <v>7</v>
      </c>
      <c r="J318" s="7" t="s">
        <v>1193</v>
      </c>
    </row>
    <row r="319" customFormat="false" ht="15" hidden="false" customHeight="false" outlineLevel="0" collapsed="false">
      <c r="A319" s="3" t="n">
        <v>2</v>
      </c>
      <c r="B319" s="24" t="n">
        <v>46054</v>
      </c>
      <c r="C319" s="3" t="s">
        <v>370</v>
      </c>
      <c r="D319" s="3" t="s">
        <v>212</v>
      </c>
      <c r="E319" s="3" t="s">
        <v>142</v>
      </c>
      <c r="F319" s="15" t="n">
        <v>2421.2</v>
      </c>
      <c r="G319" s="15" t="n">
        <v>0</v>
      </c>
      <c r="H319" s="15" t="n">
        <v>2421.2</v>
      </c>
      <c r="I319" s="7" t="n">
        <v>8</v>
      </c>
      <c r="J319" s="7" t="s">
        <v>1194</v>
      </c>
    </row>
    <row r="320" customFormat="false" ht="15" hidden="false" customHeight="false" outlineLevel="0" collapsed="false">
      <c r="A320" s="3" t="n">
        <v>2</v>
      </c>
      <c r="B320" s="24" t="n">
        <v>46054</v>
      </c>
      <c r="C320" s="3" t="s">
        <v>371</v>
      </c>
      <c r="D320" s="3" t="s">
        <v>222</v>
      </c>
      <c r="E320" s="3" t="s">
        <v>118</v>
      </c>
      <c r="F320" s="15" t="n">
        <v>946.4</v>
      </c>
      <c r="G320" s="15" t="n">
        <v>0</v>
      </c>
      <c r="H320" s="15" t="n">
        <v>946.4</v>
      </c>
      <c r="I320" s="7" t="n">
        <v>1</v>
      </c>
      <c r="J320" s="7" t="s">
        <v>1195</v>
      </c>
    </row>
    <row r="321" customFormat="false" ht="15" hidden="false" customHeight="false" outlineLevel="0" collapsed="false">
      <c r="A321" s="3" t="n">
        <v>2</v>
      </c>
      <c r="B321" s="24" t="n">
        <v>46054</v>
      </c>
      <c r="C321" s="3" t="s">
        <v>371</v>
      </c>
      <c r="D321" s="3" t="s">
        <v>222</v>
      </c>
      <c r="E321" s="3" t="s">
        <v>120</v>
      </c>
      <c r="F321" s="15" t="n">
        <v>6877.4</v>
      </c>
      <c r="G321" s="15" t="n">
        <v>0</v>
      </c>
      <c r="H321" s="15" t="n">
        <v>6877.4</v>
      </c>
      <c r="I321" s="7" t="n">
        <v>2</v>
      </c>
      <c r="J321" s="7" t="s">
        <v>1196</v>
      </c>
    </row>
    <row r="322" customFormat="false" ht="15" hidden="false" customHeight="false" outlineLevel="0" collapsed="false">
      <c r="A322" s="3" t="n">
        <v>2</v>
      </c>
      <c r="B322" s="24" t="n">
        <v>46054</v>
      </c>
      <c r="C322" s="3" t="s">
        <v>371</v>
      </c>
      <c r="D322" s="3" t="s">
        <v>222</v>
      </c>
      <c r="E322" s="3" t="s">
        <v>126</v>
      </c>
      <c r="F322" s="15" t="n">
        <v>3895.5</v>
      </c>
      <c r="G322" s="15" t="n">
        <v>0</v>
      </c>
      <c r="H322" s="15" t="n">
        <v>3895.5</v>
      </c>
      <c r="I322" s="7" t="n">
        <v>3</v>
      </c>
      <c r="J322" s="7" t="s">
        <v>1197</v>
      </c>
    </row>
    <row r="323" customFormat="false" ht="15" hidden="false" customHeight="false" outlineLevel="0" collapsed="false">
      <c r="A323" s="3" t="n">
        <v>2</v>
      </c>
      <c r="B323" s="24" t="n">
        <v>46054</v>
      </c>
      <c r="C323" s="3" t="s">
        <v>371</v>
      </c>
      <c r="D323" s="3" t="s">
        <v>222</v>
      </c>
      <c r="E323" s="3" t="s">
        <v>158</v>
      </c>
      <c r="F323" s="15" t="n">
        <v>1295.1</v>
      </c>
      <c r="G323" s="15" t="n">
        <v>0</v>
      </c>
      <c r="H323" s="15" t="n">
        <v>1295.1</v>
      </c>
      <c r="I323" s="7" t="n">
        <v>4</v>
      </c>
      <c r="J323" s="7" t="s">
        <v>1198</v>
      </c>
    </row>
    <row r="324" customFormat="false" ht="15" hidden="false" customHeight="false" outlineLevel="0" collapsed="false">
      <c r="A324" s="3" t="n">
        <v>2</v>
      </c>
      <c r="B324" s="24" t="n">
        <v>46054</v>
      </c>
      <c r="C324" s="3" t="s">
        <v>372</v>
      </c>
      <c r="D324" s="3" t="s">
        <v>214</v>
      </c>
      <c r="E324" s="3" t="s">
        <v>112</v>
      </c>
      <c r="F324" s="15" t="n">
        <v>1270.52</v>
      </c>
      <c r="G324" s="15" t="n">
        <v>0</v>
      </c>
      <c r="H324" s="15" t="n">
        <v>1270.52</v>
      </c>
      <c r="I324" s="7" t="n">
        <v>1</v>
      </c>
      <c r="J324" s="7" t="s">
        <v>1199</v>
      </c>
    </row>
    <row r="325" customFormat="false" ht="15" hidden="false" customHeight="false" outlineLevel="0" collapsed="false">
      <c r="A325" s="3" t="n">
        <v>2</v>
      </c>
      <c r="B325" s="24" t="n">
        <v>46054</v>
      </c>
      <c r="C325" s="3" t="s">
        <v>373</v>
      </c>
      <c r="D325" s="3" t="s">
        <v>214</v>
      </c>
      <c r="E325" s="3" t="s">
        <v>165</v>
      </c>
      <c r="F325" s="15" t="n">
        <v>1839.19</v>
      </c>
      <c r="G325" s="15" t="n">
        <v>0</v>
      </c>
      <c r="H325" s="15" t="n">
        <v>1839.19</v>
      </c>
      <c r="I325" s="7" t="n">
        <v>1</v>
      </c>
      <c r="J325" s="7" t="s">
        <v>1200</v>
      </c>
    </row>
    <row r="326" customFormat="false" ht="15" hidden="false" customHeight="false" outlineLevel="0" collapsed="false">
      <c r="A326" s="3" t="n">
        <v>2</v>
      </c>
      <c r="B326" s="24" t="n">
        <v>46054</v>
      </c>
      <c r="C326" s="3" t="s">
        <v>374</v>
      </c>
      <c r="D326" s="3" t="s">
        <v>231</v>
      </c>
      <c r="E326" s="3" t="s">
        <v>134</v>
      </c>
      <c r="F326" s="15" t="n">
        <v>6438.7</v>
      </c>
      <c r="G326" s="15" t="n">
        <v>0</v>
      </c>
      <c r="H326" s="15" t="n">
        <v>6438.7</v>
      </c>
      <c r="I326" s="7" t="n">
        <v>1</v>
      </c>
      <c r="J326" s="7" t="s">
        <v>1201</v>
      </c>
    </row>
    <row r="327" customFormat="false" ht="15" hidden="false" customHeight="false" outlineLevel="0" collapsed="false">
      <c r="A327" s="3" t="n">
        <v>2</v>
      </c>
      <c r="B327" s="24" t="n">
        <v>46054</v>
      </c>
      <c r="C327" s="3" t="s">
        <v>375</v>
      </c>
      <c r="D327" s="3" t="s">
        <v>231</v>
      </c>
      <c r="E327" s="3" t="s">
        <v>112</v>
      </c>
      <c r="F327" s="15" t="n">
        <v>16886.03</v>
      </c>
      <c r="G327" s="15" t="n">
        <v>0</v>
      </c>
      <c r="H327" s="15" t="n">
        <v>16886.03</v>
      </c>
      <c r="I327" s="7" t="n">
        <v>1</v>
      </c>
      <c r="J327" s="7" t="s">
        <v>1202</v>
      </c>
    </row>
    <row r="328" customFormat="false" ht="15" hidden="false" customHeight="false" outlineLevel="0" collapsed="false">
      <c r="A328" s="3" t="n">
        <v>2</v>
      </c>
      <c r="B328" s="24" t="n">
        <v>46054</v>
      </c>
      <c r="C328" s="3" t="s">
        <v>376</v>
      </c>
      <c r="D328" s="3" t="s">
        <v>234</v>
      </c>
      <c r="E328" s="3" t="s">
        <v>141</v>
      </c>
      <c r="F328" s="15" t="n">
        <v>5674.1</v>
      </c>
      <c r="G328" s="15" t="n">
        <v>0</v>
      </c>
      <c r="H328" s="15" t="n">
        <v>5674.1</v>
      </c>
      <c r="I328" s="7" t="n">
        <v>1</v>
      </c>
      <c r="J328" s="7" t="s">
        <v>1203</v>
      </c>
    </row>
    <row r="329" customFormat="false" ht="15" hidden="false" customHeight="false" outlineLevel="0" collapsed="false">
      <c r="A329" s="3" t="n">
        <v>2</v>
      </c>
      <c r="B329" s="24" t="n">
        <v>46054</v>
      </c>
      <c r="C329" s="3" t="s">
        <v>377</v>
      </c>
      <c r="D329" s="3" t="s">
        <v>234</v>
      </c>
      <c r="E329" s="3" t="s">
        <v>112</v>
      </c>
      <c r="F329" s="15" t="n">
        <v>10897.43</v>
      </c>
      <c r="G329" s="15" t="n">
        <v>0</v>
      </c>
      <c r="H329" s="15" t="n">
        <v>10897.43</v>
      </c>
      <c r="I329" s="7" t="n">
        <v>1</v>
      </c>
      <c r="J329" s="7" t="s">
        <v>1204</v>
      </c>
    </row>
    <row r="330" customFormat="false" ht="15" hidden="false" customHeight="false" outlineLevel="0" collapsed="false">
      <c r="A330" s="3" t="n">
        <v>2</v>
      </c>
      <c r="B330" s="24" t="n">
        <v>46054</v>
      </c>
      <c r="C330" s="3" t="s">
        <v>378</v>
      </c>
      <c r="D330" s="3" t="s">
        <v>237</v>
      </c>
      <c r="E330" s="3" t="s">
        <v>155</v>
      </c>
      <c r="F330" s="15" t="n">
        <v>3464.4</v>
      </c>
      <c r="G330" s="15" t="n">
        <v>0</v>
      </c>
      <c r="H330" s="15" t="n">
        <v>3464.4</v>
      </c>
      <c r="I330" s="7" t="n">
        <v>1</v>
      </c>
      <c r="J330" s="7" t="s">
        <v>1205</v>
      </c>
    </row>
    <row r="331" customFormat="false" ht="15" hidden="false" customHeight="false" outlineLevel="0" collapsed="false">
      <c r="A331" s="3" t="n">
        <v>2</v>
      </c>
      <c r="B331" s="24" t="n">
        <v>46054</v>
      </c>
      <c r="C331" s="3" t="s">
        <v>379</v>
      </c>
      <c r="D331" s="3" t="s">
        <v>237</v>
      </c>
      <c r="E331" s="3" t="s">
        <v>112</v>
      </c>
      <c r="F331" s="15" t="n">
        <v>14537.02</v>
      </c>
      <c r="G331" s="15" t="n">
        <v>0</v>
      </c>
      <c r="H331" s="15" t="n">
        <v>14537.02</v>
      </c>
      <c r="I331" s="7" t="n">
        <v>1</v>
      </c>
      <c r="J331" s="7" t="s">
        <v>1206</v>
      </c>
    </row>
    <row r="332" customFormat="false" ht="15" hidden="false" customHeight="false" outlineLevel="0" collapsed="false">
      <c r="A332" s="3" t="n">
        <v>2</v>
      </c>
      <c r="B332" s="24" t="n">
        <v>46054</v>
      </c>
      <c r="C332" s="3" t="s">
        <v>380</v>
      </c>
      <c r="D332" s="3" t="s">
        <v>237</v>
      </c>
      <c r="E332" s="3" t="s">
        <v>109</v>
      </c>
      <c r="F332" s="15" t="n">
        <v>41308.88</v>
      </c>
      <c r="G332" s="15" t="n">
        <v>0</v>
      </c>
      <c r="H332" s="15" t="n">
        <v>41308.88</v>
      </c>
      <c r="I332" s="7" t="n">
        <v>1</v>
      </c>
      <c r="J332" s="7" t="s">
        <v>1207</v>
      </c>
    </row>
    <row r="333" customFormat="false" ht="15" hidden="false" customHeight="false" outlineLevel="0" collapsed="false">
      <c r="A333" s="3" t="n">
        <v>2</v>
      </c>
      <c r="B333" s="24" t="n">
        <v>46054</v>
      </c>
      <c r="C333" s="3" t="s">
        <v>380</v>
      </c>
      <c r="D333" s="3" t="s">
        <v>237</v>
      </c>
      <c r="E333" s="3" t="s">
        <v>133</v>
      </c>
      <c r="F333" s="15" t="n">
        <v>10969.8</v>
      </c>
      <c r="G333" s="15" t="n">
        <v>0</v>
      </c>
      <c r="H333" s="15" t="n">
        <v>10969.8</v>
      </c>
      <c r="I333" s="7" t="n">
        <v>2</v>
      </c>
      <c r="J333" s="7" t="s">
        <v>1208</v>
      </c>
    </row>
    <row r="334" customFormat="false" ht="15" hidden="false" customHeight="false" outlineLevel="0" collapsed="false">
      <c r="A334" s="3" t="n">
        <v>2</v>
      </c>
      <c r="B334" s="24" t="n">
        <v>46054</v>
      </c>
      <c r="C334" s="3" t="s">
        <v>381</v>
      </c>
      <c r="D334" s="3" t="s">
        <v>226</v>
      </c>
      <c r="E334" s="3" t="s">
        <v>109</v>
      </c>
      <c r="F334" s="15" t="n">
        <v>42976</v>
      </c>
      <c r="G334" s="15" t="n">
        <v>0</v>
      </c>
      <c r="H334" s="15" t="n">
        <v>42976</v>
      </c>
      <c r="I334" s="7" t="n">
        <v>1</v>
      </c>
      <c r="J334" s="7" t="s">
        <v>1209</v>
      </c>
    </row>
    <row r="335" customFormat="false" ht="15" hidden="false" customHeight="false" outlineLevel="0" collapsed="false">
      <c r="A335" s="3" t="n">
        <v>2</v>
      </c>
      <c r="B335" s="24" t="n">
        <v>46054</v>
      </c>
      <c r="C335" s="3" t="s">
        <v>381</v>
      </c>
      <c r="D335" s="3" t="s">
        <v>226</v>
      </c>
      <c r="E335" s="3" t="s">
        <v>154</v>
      </c>
      <c r="F335" s="15" t="n">
        <v>1687.55</v>
      </c>
      <c r="G335" s="15" t="n">
        <v>0</v>
      </c>
      <c r="H335" s="15" t="n">
        <v>1687.55</v>
      </c>
      <c r="I335" s="7" t="n">
        <v>2</v>
      </c>
      <c r="J335" s="7" t="s">
        <v>1210</v>
      </c>
    </row>
    <row r="336" customFormat="false" ht="15" hidden="false" customHeight="false" outlineLevel="0" collapsed="false">
      <c r="A336" s="3" t="n">
        <v>2</v>
      </c>
      <c r="B336" s="24" t="n">
        <v>46054</v>
      </c>
      <c r="C336" s="3" t="s">
        <v>381</v>
      </c>
      <c r="D336" s="3" t="s">
        <v>226</v>
      </c>
      <c r="E336" s="3" t="s">
        <v>138</v>
      </c>
      <c r="F336" s="15" t="n">
        <v>3100.23</v>
      </c>
      <c r="G336" s="15" t="n">
        <v>0</v>
      </c>
      <c r="H336" s="15" t="n">
        <v>3100.23</v>
      </c>
      <c r="I336" s="7" t="n">
        <v>3</v>
      </c>
      <c r="J336" s="7" t="s">
        <v>1211</v>
      </c>
    </row>
    <row r="337" customFormat="false" ht="15" hidden="false" customHeight="false" outlineLevel="0" collapsed="false">
      <c r="A337" s="3" t="n">
        <v>2</v>
      </c>
      <c r="B337" s="24" t="n">
        <v>46054</v>
      </c>
      <c r="C337" s="3" t="s">
        <v>381</v>
      </c>
      <c r="D337" s="3" t="s">
        <v>226</v>
      </c>
      <c r="E337" s="3" t="s">
        <v>192</v>
      </c>
      <c r="F337" s="15" t="n">
        <v>82.05</v>
      </c>
      <c r="G337" s="15" t="n">
        <v>0</v>
      </c>
      <c r="H337" s="15" t="n">
        <v>82.05</v>
      </c>
      <c r="I337" s="7" t="n">
        <v>4</v>
      </c>
      <c r="J337" s="7" t="s">
        <v>1212</v>
      </c>
    </row>
    <row r="338" customFormat="false" ht="15" hidden="false" customHeight="false" outlineLevel="0" collapsed="false">
      <c r="A338" s="3" t="n">
        <v>2</v>
      </c>
      <c r="B338" s="24" t="n">
        <v>46054</v>
      </c>
      <c r="C338" s="3" t="s">
        <v>381</v>
      </c>
      <c r="D338" s="3" t="s">
        <v>226</v>
      </c>
      <c r="E338" s="3" t="s">
        <v>163</v>
      </c>
      <c r="F338" s="15" t="n">
        <v>3136.78</v>
      </c>
      <c r="G338" s="15" t="n">
        <v>0</v>
      </c>
      <c r="H338" s="15" t="n">
        <v>3136.78</v>
      </c>
      <c r="I338" s="7" t="n">
        <v>5</v>
      </c>
      <c r="J338" s="7" t="s">
        <v>1213</v>
      </c>
    </row>
    <row r="339" customFormat="false" ht="15" hidden="false" customHeight="false" outlineLevel="0" collapsed="false">
      <c r="A339" s="3" t="n">
        <v>2</v>
      </c>
      <c r="B339" s="24" t="n">
        <v>46054</v>
      </c>
      <c r="C339" s="3" t="s">
        <v>382</v>
      </c>
      <c r="D339" s="3" t="s">
        <v>226</v>
      </c>
      <c r="E339" s="3" t="s">
        <v>112</v>
      </c>
      <c r="F339" s="15" t="n">
        <v>2087.72</v>
      </c>
      <c r="G339" s="15" t="n">
        <v>0</v>
      </c>
      <c r="H339" s="15" t="n">
        <v>2087.72</v>
      </c>
      <c r="I339" s="7" t="n">
        <v>1</v>
      </c>
      <c r="J339" s="7" t="s">
        <v>1214</v>
      </c>
    </row>
    <row r="340" customFormat="false" ht="15" hidden="false" customHeight="false" outlineLevel="0" collapsed="false">
      <c r="A340" s="3" t="n">
        <v>2</v>
      </c>
      <c r="B340" s="24" t="n">
        <v>46054</v>
      </c>
      <c r="C340" s="3" t="s">
        <v>383</v>
      </c>
      <c r="D340" s="3" t="s">
        <v>243</v>
      </c>
      <c r="E340" s="3" t="s">
        <v>161</v>
      </c>
      <c r="F340" s="15" t="n">
        <v>2506.91</v>
      </c>
      <c r="G340" s="15" t="n">
        <v>0</v>
      </c>
      <c r="H340" s="15" t="n">
        <v>2506.91</v>
      </c>
      <c r="I340" s="7" t="n">
        <v>1</v>
      </c>
      <c r="J340" s="7" t="s">
        <v>1215</v>
      </c>
    </row>
    <row r="341" customFormat="false" ht="15" hidden="false" customHeight="false" outlineLevel="0" collapsed="false">
      <c r="A341" s="3" t="n">
        <v>2</v>
      </c>
      <c r="B341" s="24" t="n">
        <v>46054</v>
      </c>
      <c r="C341" s="3" t="s">
        <v>384</v>
      </c>
      <c r="D341" s="3" t="s">
        <v>243</v>
      </c>
      <c r="E341" s="3" t="s">
        <v>112</v>
      </c>
      <c r="F341" s="15" t="n">
        <v>6052.03</v>
      </c>
      <c r="G341" s="15" t="n">
        <v>0</v>
      </c>
      <c r="H341" s="15" t="n">
        <v>6052.03</v>
      </c>
      <c r="I341" s="7" t="n">
        <v>1</v>
      </c>
      <c r="J341" s="7" t="s">
        <v>1216</v>
      </c>
    </row>
    <row r="342" customFormat="false" ht="15" hidden="false" customHeight="false" outlineLevel="0" collapsed="false">
      <c r="A342" s="3" t="n">
        <v>2</v>
      </c>
      <c r="B342" s="24" t="n">
        <v>46054</v>
      </c>
      <c r="C342" s="3" t="s">
        <v>385</v>
      </c>
      <c r="D342" s="3" t="s">
        <v>246</v>
      </c>
      <c r="E342" s="3" t="s">
        <v>171</v>
      </c>
      <c r="F342" s="15" t="n">
        <v>1684.2</v>
      </c>
      <c r="G342" s="15" t="n">
        <v>0</v>
      </c>
      <c r="H342" s="15" t="n">
        <v>1684.2</v>
      </c>
      <c r="I342" s="7" t="n">
        <v>1</v>
      </c>
      <c r="J342" s="7" t="s">
        <v>1217</v>
      </c>
    </row>
    <row r="343" customFormat="false" ht="15" hidden="false" customHeight="false" outlineLevel="0" collapsed="false">
      <c r="A343" s="3" t="n">
        <v>2</v>
      </c>
      <c r="B343" s="24" t="n">
        <v>46054</v>
      </c>
      <c r="C343" s="3" t="s">
        <v>386</v>
      </c>
      <c r="D343" s="3" t="s">
        <v>246</v>
      </c>
      <c r="E343" s="3" t="s">
        <v>112</v>
      </c>
      <c r="F343" s="15" t="n">
        <v>830.1</v>
      </c>
      <c r="G343" s="15" t="n">
        <v>0</v>
      </c>
      <c r="H343" s="15" t="n">
        <v>830.1</v>
      </c>
      <c r="I343" s="7" t="n">
        <v>1</v>
      </c>
      <c r="J343" s="7" t="s">
        <v>1218</v>
      </c>
    </row>
    <row r="344" customFormat="false" ht="15" hidden="false" customHeight="false" outlineLevel="0" collapsed="false">
      <c r="A344" s="3" t="n">
        <v>2</v>
      </c>
      <c r="B344" s="24" t="n">
        <v>46054</v>
      </c>
      <c r="C344" s="3" t="s">
        <v>387</v>
      </c>
      <c r="D344" s="3" t="s">
        <v>249</v>
      </c>
      <c r="E344" s="3" t="s">
        <v>137</v>
      </c>
      <c r="F344" s="15" t="n">
        <v>5087.1</v>
      </c>
      <c r="G344" s="15" t="n">
        <v>0</v>
      </c>
      <c r="H344" s="15" t="n">
        <v>5087.1</v>
      </c>
      <c r="I344" s="7" t="n">
        <v>1</v>
      </c>
      <c r="J344" s="7" t="s">
        <v>1219</v>
      </c>
    </row>
    <row r="345" customFormat="false" ht="15" hidden="false" customHeight="false" outlineLevel="0" collapsed="false">
      <c r="A345" s="3" t="n">
        <v>2</v>
      </c>
      <c r="B345" s="24" t="n">
        <v>46054</v>
      </c>
      <c r="C345" s="3" t="s">
        <v>388</v>
      </c>
      <c r="D345" s="3" t="s">
        <v>249</v>
      </c>
      <c r="E345" s="3" t="s">
        <v>112</v>
      </c>
      <c r="F345" s="15" t="n">
        <v>3627.4</v>
      </c>
      <c r="G345" s="15" t="n">
        <v>0</v>
      </c>
      <c r="H345" s="15" t="n">
        <v>3627.4</v>
      </c>
      <c r="I345" s="7" t="n">
        <v>1</v>
      </c>
      <c r="J345" s="7" t="s">
        <v>1220</v>
      </c>
    </row>
    <row r="346" customFormat="false" ht="15" hidden="false" customHeight="false" outlineLevel="0" collapsed="false">
      <c r="A346" s="3" t="n">
        <v>2</v>
      </c>
      <c r="B346" s="24" t="n">
        <v>46054</v>
      </c>
      <c r="C346" s="3" t="s">
        <v>389</v>
      </c>
      <c r="D346" s="3" t="s">
        <v>252</v>
      </c>
      <c r="E346" s="3" t="s">
        <v>166</v>
      </c>
      <c r="F346" s="15" t="n">
        <v>1940.2</v>
      </c>
      <c r="G346" s="15" t="n">
        <v>0</v>
      </c>
      <c r="H346" s="15" t="n">
        <v>1940.2</v>
      </c>
      <c r="I346" s="7" t="n">
        <v>1</v>
      </c>
      <c r="J346" s="7" t="s">
        <v>1221</v>
      </c>
    </row>
    <row r="347" customFormat="false" ht="15" hidden="false" customHeight="false" outlineLevel="0" collapsed="false">
      <c r="A347" s="3" t="n">
        <v>2</v>
      </c>
      <c r="B347" s="24" t="n">
        <v>46054</v>
      </c>
      <c r="C347" s="3" t="s">
        <v>390</v>
      </c>
      <c r="D347" s="3" t="s">
        <v>252</v>
      </c>
      <c r="E347" s="3" t="s">
        <v>112</v>
      </c>
      <c r="F347" s="15" t="n">
        <v>1860.2</v>
      </c>
      <c r="G347" s="15" t="n">
        <v>0</v>
      </c>
      <c r="H347" s="15" t="n">
        <v>1860.2</v>
      </c>
      <c r="I347" s="7" t="n">
        <v>1</v>
      </c>
      <c r="J347" s="7" t="s">
        <v>1222</v>
      </c>
    </row>
    <row r="348" customFormat="false" ht="15" hidden="false" customHeight="false" outlineLevel="0" collapsed="false">
      <c r="A348" s="3" t="n">
        <v>2</v>
      </c>
      <c r="B348" s="24" t="n">
        <v>46054</v>
      </c>
      <c r="C348" s="3" t="s">
        <v>391</v>
      </c>
      <c r="D348" s="3" t="s">
        <v>255</v>
      </c>
      <c r="E348" s="3" t="s">
        <v>168</v>
      </c>
      <c r="F348" s="15" t="n">
        <v>2589.8</v>
      </c>
      <c r="G348" s="15" t="n">
        <v>0</v>
      </c>
      <c r="H348" s="15" t="n">
        <v>2589.8</v>
      </c>
      <c r="I348" s="7" t="n">
        <v>1</v>
      </c>
      <c r="J348" s="7" t="s">
        <v>1223</v>
      </c>
    </row>
    <row r="349" customFormat="false" ht="15" hidden="false" customHeight="false" outlineLevel="0" collapsed="false">
      <c r="A349" s="3" t="n">
        <v>2</v>
      </c>
      <c r="B349" s="24" t="n">
        <v>46054</v>
      </c>
      <c r="C349" s="3" t="s">
        <v>392</v>
      </c>
      <c r="D349" s="3" t="s">
        <v>258</v>
      </c>
      <c r="E349" s="3" t="s">
        <v>146</v>
      </c>
      <c r="F349" s="15" t="n">
        <v>3343.4</v>
      </c>
      <c r="G349" s="15" t="n">
        <v>0</v>
      </c>
      <c r="H349" s="15" t="n">
        <v>3343.4</v>
      </c>
      <c r="I349" s="7" t="n">
        <v>1</v>
      </c>
      <c r="J349" s="7" t="s">
        <v>1224</v>
      </c>
    </row>
    <row r="350" customFormat="false" ht="15" hidden="false" customHeight="false" outlineLevel="0" collapsed="false">
      <c r="A350" s="3" t="n">
        <v>2</v>
      </c>
      <c r="B350" s="24" t="n">
        <v>46054</v>
      </c>
      <c r="C350" s="3" t="s">
        <v>393</v>
      </c>
      <c r="D350" s="3" t="s">
        <v>258</v>
      </c>
      <c r="E350" s="3" t="s">
        <v>112</v>
      </c>
      <c r="F350" s="15" t="n">
        <v>4383.73</v>
      </c>
      <c r="G350" s="15" t="n">
        <v>0</v>
      </c>
      <c r="H350" s="15" t="n">
        <v>4383.73</v>
      </c>
      <c r="I350" s="7" t="n">
        <v>1</v>
      </c>
      <c r="J350" s="7" t="s">
        <v>1225</v>
      </c>
    </row>
    <row r="351" customFormat="false" ht="15" hidden="false" customHeight="false" outlineLevel="0" collapsed="false">
      <c r="A351" s="3" t="n">
        <v>2</v>
      </c>
      <c r="B351" s="24" t="n">
        <v>46054</v>
      </c>
      <c r="C351" s="3" t="s">
        <v>394</v>
      </c>
      <c r="D351" s="3" t="s">
        <v>344</v>
      </c>
      <c r="E351" s="3" t="s">
        <v>167</v>
      </c>
      <c r="F351" s="15" t="n">
        <v>3355.74</v>
      </c>
      <c r="G351" s="15" t="n">
        <v>0</v>
      </c>
      <c r="H351" s="15" t="n">
        <v>3355.74</v>
      </c>
      <c r="I351" s="7" t="n">
        <v>1</v>
      </c>
      <c r="J351" s="7" t="s">
        <v>1226</v>
      </c>
    </row>
    <row r="352" customFormat="false" ht="15" hidden="false" customHeight="false" outlineLevel="0" collapsed="false">
      <c r="A352" s="3" t="n">
        <v>2</v>
      </c>
      <c r="B352" s="24" t="n">
        <v>46054</v>
      </c>
      <c r="C352" s="3" t="s">
        <v>395</v>
      </c>
      <c r="D352" s="3" t="s">
        <v>344</v>
      </c>
      <c r="E352" s="3" t="s">
        <v>112</v>
      </c>
      <c r="F352" s="15" t="n">
        <v>4744.98</v>
      </c>
      <c r="G352" s="15" t="n">
        <v>0</v>
      </c>
      <c r="H352" s="15" t="n">
        <v>4744.98</v>
      </c>
      <c r="I352" s="7" t="n">
        <v>1</v>
      </c>
      <c r="J352" s="7" t="s">
        <v>1227</v>
      </c>
    </row>
    <row r="353" customFormat="false" ht="15" hidden="false" customHeight="false" outlineLevel="0" collapsed="false">
      <c r="A353" s="3" t="n">
        <v>2</v>
      </c>
      <c r="B353" s="24" t="n">
        <v>46054</v>
      </c>
      <c r="C353" s="3" t="s">
        <v>396</v>
      </c>
      <c r="D353" s="3" t="s">
        <v>217</v>
      </c>
      <c r="E353" s="3" t="s">
        <v>159</v>
      </c>
      <c r="F353" s="15" t="n">
        <v>2661.5</v>
      </c>
      <c r="G353" s="15" t="n">
        <v>0</v>
      </c>
      <c r="H353" s="15" t="n">
        <v>2661.5</v>
      </c>
      <c r="I353" s="7" t="n">
        <v>1</v>
      </c>
      <c r="J353" s="7" t="s">
        <v>1228</v>
      </c>
    </row>
    <row r="354" customFormat="false" ht="15" hidden="false" customHeight="false" outlineLevel="0" collapsed="false">
      <c r="A354" s="3" t="n">
        <v>2</v>
      </c>
      <c r="B354" s="24" t="n">
        <v>46054</v>
      </c>
      <c r="C354" s="3" t="s">
        <v>397</v>
      </c>
      <c r="D354" s="3" t="s">
        <v>217</v>
      </c>
      <c r="E354" s="3" t="s">
        <v>109</v>
      </c>
      <c r="F354" s="15" t="n">
        <v>15254.67</v>
      </c>
      <c r="G354" s="15" t="n">
        <v>0</v>
      </c>
      <c r="H354" s="15" t="n">
        <v>15254.67</v>
      </c>
      <c r="I354" s="7" t="n">
        <v>1</v>
      </c>
      <c r="J354" s="7" t="s">
        <v>1229</v>
      </c>
    </row>
    <row r="355" customFormat="false" ht="15" hidden="false" customHeight="false" outlineLevel="0" collapsed="false">
      <c r="A355" s="3" t="n">
        <v>2</v>
      </c>
      <c r="B355" s="24" t="n">
        <v>46054</v>
      </c>
      <c r="C355" s="3" t="s">
        <v>397</v>
      </c>
      <c r="D355" s="3" t="s">
        <v>217</v>
      </c>
      <c r="E355" s="3" t="s">
        <v>145</v>
      </c>
      <c r="F355" s="15" t="n">
        <v>3356.7</v>
      </c>
      <c r="G355" s="15" t="n">
        <v>0</v>
      </c>
      <c r="H355" s="15" t="n">
        <v>3356.7</v>
      </c>
      <c r="I355" s="7" t="n">
        <v>2</v>
      </c>
      <c r="J355" s="7" t="s">
        <v>1230</v>
      </c>
    </row>
    <row r="356" customFormat="false" ht="15" hidden="false" customHeight="false" outlineLevel="0" collapsed="false">
      <c r="A356" s="3" t="n">
        <v>2</v>
      </c>
      <c r="B356" s="24" t="n">
        <v>46054</v>
      </c>
      <c r="C356" s="3" t="s">
        <v>398</v>
      </c>
      <c r="D356" s="3" t="s">
        <v>219</v>
      </c>
      <c r="E356" s="3" t="s">
        <v>153</v>
      </c>
      <c r="F356" s="15" t="n">
        <v>5638.2</v>
      </c>
      <c r="G356" s="15" t="n">
        <v>0</v>
      </c>
      <c r="H356" s="15" t="n">
        <v>5638.2</v>
      </c>
      <c r="I356" s="7" t="n">
        <v>1</v>
      </c>
      <c r="J356" s="7" t="s">
        <v>1231</v>
      </c>
    </row>
    <row r="357" customFormat="false" ht="15" hidden="false" customHeight="false" outlineLevel="0" collapsed="false">
      <c r="A357" s="3" t="n">
        <v>2</v>
      </c>
      <c r="B357" s="24" t="n">
        <v>46054</v>
      </c>
      <c r="C357" s="3" t="s">
        <v>399</v>
      </c>
      <c r="D357" s="3" t="s">
        <v>219</v>
      </c>
      <c r="E357" s="3" t="s">
        <v>112</v>
      </c>
      <c r="F357" s="15" t="n">
        <v>19467.01</v>
      </c>
      <c r="G357" s="15" t="n">
        <v>0</v>
      </c>
      <c r="H357" s="15" t="n">
        <v>19467.01</v>
      </c>
      <c r="I357" s="7" t="n">
        <v>1</v>
      </c>
      <c r="J357" s="7" t="s">
        <v>1232</v>
      </c>
    </row>
    <row r="358" customFormat="false" ht="15" hidden="false" customHeight="false" outlineLevel="0" collapsed="false">
      <c r="A358" s="3" t="n">
        <v>2</v>
      </c>
      <c r="B358" s="24" t="n">
        <v>46054</v>
      </c>
      <c r="C358" s="3" t="s">
        <v>400</v>
      </c>
      <c r="D358" s="3" t="s">
        <v>219</v>
      </c>
      <c r="E358" s="3" t="s">
        <v>130</v>
      </c>
      <c r="F358" s="15" t="n">
        <v>2593.94</v>
      </c>
      <c r="G358" s="15" t="n">
        <v>0</v>
      </c>
      <c r="H358" s="15" t="n">
        <v>2593.94</v>
      </c>
      <c r="I358" s="7" t="n">
        <v>1</v>
      </c>
      <c r="J358" s="7" t="s">
        <v>1233</v>
      </c>
    </row>
    <row r="359" customFormat="false" ht="15" hidden="false" customHeight="false" outlineLevel="0" collapsed="false">
      <c r="A359" s="3" t="n">
        <v>2</v>
      </c>
      <c r="B359" s="24" t="n">
        <v>46054</v>
      </c>
      <c r="C359" s="3" t="s">
        <v>401</v>
      </c>
      <c r="D359" s="3" t="s">
        <v>228</v>
      </c>
      <c r="E359" s="3" t="s">
        <v>186</v>
      </c>
      <c r="F359" s="15" t="n">
        <v>80</v>
      </c>
      <c r="G359" s="15" t="n">
        <v>0</v>
      </c>
      <c r="H359" s="15" t="n">
        <v>80</v>
      </c>
      <c r="I359" s="7" t="n">
        <v>1</v>
      </c>
      <c r="J359" s="7" t="s">
        <v>1234</v>
      </c>
    </row>
    <row r="360" customFormat="false" ht="15" hidden="false" customHeight="false" outlineLevel="0" collapsed="false">
      <c r="A360" s="3" t="n">
        <v>2</v>
      </c>
      <c r="B360" s="24" t="n">
        <v>46054</v>
      </c>
      <c r="C360" s="3" t="s">
        <v>401</v>
      </c>
      <c r="D360" s="3" t="s">
        <v>228</v>
      </c>
      <c r="E360" s="3" t="s">
        <v>122</v>
      </c>
      <c r="F360" s="15" t="n">
        <v>61180.28</v>
      </c>
      <c r="G360" s="15" t="n">
        <v>0</v>
      </c>
      <c r="H360" s="15" t="n">
        <v>61180.28</v>
      </c>
      <c r="I360" s="7" t="n">
        <v>2</v>
      </c>
      <c r="J360" s="7" t="s">
        <v>1235</v>
      </c>
    </row>
    <row r="361" customFormat="false" ht="15" hidden="false" customHeight="false" outlineLevel="0" collapsed="false">
      <c r="A361" s="3" t="n">
        <v>2</v>
      </c>
      <c r="B361" s="24" t="n">
        <v>46054</v>
      </c>
      <c r="C361" s="3" t="s">
        <v>401</v>
      </c>
      <c r="D361" s="3" t="s">
        <v>228</v>
      </c>
      <c r="E361" s="3" t="s">
        <v>109</v>
      </c>
      <c r="F361" s="15" t="n">
        <v>6611.4</v>
      </c>
      <c r="G361" s="15" t="n">
        <v>0</v>
      </c>
      <c r="H361" s="15" t="n">
        <v>6611.4</v>
      </c>
      <c r="I361" s="7" t="n">
        <v>3</v>
      </c>
      <c r="J361" s="7" t="s">
        <v>1236</v>
      </c>
    </row>
    <row r="362" customFormat="false" ht="15" hidden="false" customHeight="false" outlineLevel="0" collapsed="false">
      <c r="A362" s="3" t="n">
        <v>2</v>
      </c>
      <c r="B362" s="24" t="n">
        <v>46054</v>
      </c>
      <c r="C362" s="3" t="s">
        <v>401</v>
      </c>
      <c r="D362" s="3" t="s">
        <v>228</v>
      </c>
      <c r="E362" s="3" t="s">
        <v>144</v>
      </c>
      <c r="F362" s="15" t="n">
        <v>659.5</v>
      </c>
      <c r="G362" s="15" t="n">
        <v>0</v>
      </c>
      <c r="H362" s="15" t="n">
        <v>659.5</v>
      </c>
      <c r="I362" s="7" t="n">
        <v>4</v>
      </c>
      <c r="J362" s="7" t="s">
        <v>1237</v>
      </c>
    </row>
    <row r="363" customFormat="false" ht="15" hidden="false" customHeight="false" outlineLevel="0" collapsed="false">
      <c r="A363" s="3" t="n">
        <v>2</v>
      </c>
      <c r="B363" s="24" t="n">
        <v>46054</v>
      </c>
      <c r="C363" s="3" t="s">
        <v>402</v>
      </c>
      <c r="D363" s="3" t="s">
        <v>228</v>
      </c>
      <c r="E363" s="3" t="s">
        <v>112</v>
      </c>
      <c r="F363" s="15" t="n">
        <v>7575.8</v>
      </c>
      <c r="G363" s="15" t="n">
        <v>0</v>
      </c>
      <c r="H363" s="15" t="n">
        <v>7575.8</v>
      </c>
      <c r="I363" s="7" t="n">
        <v>1</v>
      </c>
      <c r="J363" s="7" t="s">
        <v>1238</v>
      </c>
    </row>
    <row r="364" customFormat="false" ht="15" hidden="false" customHeight="false" outlineLevel="0" collapsed="false">
      <c r="A364" s="3" t="n">
        <v>2</v>
      </c>
      <c r="B364" s="24" t="n">
        <v>46054</v>
      </c>
      <c r="C364" s="3" t="s">
        <v>403</v>
      </c>
      <c r="D364" s="3" t="s">
        <v>261</v>
      </c>
      <c r="E364" s="3" t="s">
        <v>112</v>
      </c>
      <c r="F364" s="15" t="n">
        <v>1787.2</v>
      </c>
      <c r="G364" s="15" t="n">
        <v>0</v>
      </c>
      <c r="H364" s="15" t="n">
        <v>1787.2</v>
      </c>
      <c r="I364" s="7" t="n">
        <v>1</v>
      </c>
      <c r="J364" s="7" t="s">
        <v>1239</v>
      </c>
    </row>
    <row r="365" customFormat="false" ht="15" hidden="false" customHeight="false" outlineLevel="0" collapsed="false">
      <c r="A365" s="3" t="n">
        <v>2</v>
      </c>
      <c r="B365" s="24" t="n">
        <v>46054</v>
      </c>
      <c r="C365" s="3" t="s">
        <v>404</v>
      </c>
      <c r="D365" s="3" t="s">
        <v>261</v>
      </c>
      <c r="E365" s="3" t="s">
        <v>190</v>
      </c>
      <c r="F365" s="15" t="n">
        <v>862.6</v>
      </c>
      <c r="G365" s="15" t="n">
        <v>0</v>
      </c>
      <c r="H365" s="15" t="n">
        <v>862.6</v>
      </c>
      <c r="I365" s="7" t="n">
        <v>1</v>
      </c>
      <c r="J365" s="7" t="s">
        <v>1240</v>
      </c>
    </row>
    <row r="366" customFormat="false" ht="15" hidden="false" customHeight="false" outlineLevel="0" collapsed="false">
      <c r="A366" s="3" t="n">
        <v>2</v>
      </c>
      <c r="B366" s="24" t="n">
        <v>46054</v>
      </c>
      <c r="C366" s="3" t="s">
        <v>404</v>
      </c>
      <c r="D366" s="3" t="s">
        <v>261</v>
      </c>
      <c r="E366" s="3" t="s">
        <v>175</v>
      </c>
      <c r="F366" s="15" t="n">
        <v>1564.2</v>
      </c>
      <c r="G366" s="15" t="n">
        <v>0</v>
      </c>
      <c r="H366" s="15" t="n">
        <v>1564.2</v>
      </c>
      <c r="I366" s="7" t="n">
        <v>2</v>
      </c>
      <c r="J366" s="7" t="s">
        <v>1241</v>
      </c>
    </row>
    <row r="367" customFormat="false" ht="15" hidden="false" customHeight="false" outlineLevel="0" collapsed="false">
      <c r="A367" s="3" t="n">
        <v>2</v>
      </c>
      <c r="B367" s="24" t="n">
        <v>46054</v>
      </c>
      <c r="C367" s="3" t="s">
        <v>405</v>
      </c>
      <c r="D367" s="3" t="s">
        <v>224</v>
      </c>
      <c r="E367" s="3" t="s">
        <v>152</v>
      </c>
      <c r="F367" s="15" t="n">
        <v>2288.23</v>
      </c>
      <c r="G367" s="15" t="n">
        <v>0</v>
      </c>
      <c r="H367" s="15" t="n">
        <v>2288.23</v>
      </c>
      <c r="I367" s="7" t="n">
        <v>1</v>
      </c>
      <c r="J367" s="7" t="s">
        <v>1242</v>
      </c>
    </row>
    <row r="368" customFormat="false" ht="15" hidden="false" customHeight="false" outlineLevel="0" collapsed="false">
      <c r="A368" s="3" t="n">
        <v>2</v>
      </c>
      <c r="B368" s="24" t="n">
        <v>46054</v>
      </c>
      <c r="C368" s="3" t="s">
        <v>406</v>
      </c>
      <c r="D368" s="3" t="s">
        <v>224</v>
      </c>
      <c r="E368" s="3" t="s">
        <v>143</v>
      </c>
      <c r="F368" s="15" t="n">
        <v>3205.33</v>
      </c>
      <c r="G368" s="15" t="n">
        <v>0</v>
      </c>
      <c r="H368" s="15" t="n">
        <v>3205.33</v>
      </c>
      <c r="I368" s="7" t="n">
        <v>1</v>
      </c>
      <c r="J368" s="7" t="s">
        <v>1243</v>
      </c>
    </row>
    <row r="369" customFormat="false" ht="15" hidden="false" customHeight="false" outlineLevel="0" collapsed="false">
      <c r="A369" s="3" t="n">
        <v>2</v>
      </c>
      <c r="B369" s="24" t="n">
        <v>46054</v>
      </c>
      <c r="C369" s="3" t="s">
        <v>407</v>
      </c>
      <c r="D369" s="3" t="s">
        <v>224</v>
      </c>
      <c r="E369" s="3" t="s">
        <v>128</v>
      </c>
      <c r="F369" s="15" t="n">
        <v>10748.52</v>
      </c>
      <c r="G369" s="15" t="n">
        <v>0</v>
      </c>
      <c r="H369" s="15" t="n">
        <v>10748.52</v>
      </c>
      <c r="I369" s="7" t="n">
        <v>1</v>
      </c>
      <c r="J369" s="7" t="s">
        <v>1244</v>
      </c>
    </row>
    <row r="370" customFormat="false" ht="15" hidden="false" customHeight="false" outlineLevel="0" collapsed="false">
      <c r="A370" s="3" t="n">
        <v>2</v>
      </c>
      <c r="B370" s="24" t="n">
        <v>46054</v>
      </c>
      <c r="C370" s="3" t="s">
        <v>408</v>
      </c>
      <c r="D370" s="3" t="s">
        <v>224</v>
      </c>
      <c r="E370" s="3" t="s">
        <v>178</v>
      </c>
      <c r="F370" s="15" t="n">
        <v>3.5</v>
      </c>
      <c r="G370" s="15" t="n">
        <v>0</v>
      </c>
      <c r="H370" s="15" t="n">
        <v>3.5</v>
      </c>
      <c r="I370" s="7" t="n">
        <v>1</v>
      </c>
      <c r="J370" s="7" t="s">
        <v>1245</v>
      </c>
    </row>
    <row r="371" customFormat="false" ht="15" hidden="false" customHeight="false" outlineLevel="0" collapsed="false">
      <c r="A371" s="3" t="n">
        <v>2</v>
      </c>
      <c r="B371" s="24" t="n">
        <v>46054</v>
      </c>
      <c r="C371" s="3" t="s">
        <v>409</v>
      </c>
      <c r="D371" s="3" t="s">
        <v>269</v>
      </c>
      <c r="E371" s="3" t="s">
        <v>109</v>
      </c>
      <c r="F371" s="15" t="n">
        <v>71920.43</v>
      </c>
      <c r="G371" s="15" t="n">
        <v>0</v>
      </c>
      <c r="H371" s="15" t="n">
        <v>71920.43</v>
      </c>
      <c r="I371" s="7" t="n">
        <v>1</v>
      </c>
      <c r="J371" s="7" t="s">
        <v>1246</v>
      </c>
    </row>
    <row r="372" customFormat="false" ht="15" hidden="false" customHeight="false" outlineLevel="0" collapsed="false">
      <c r="A372" s="3" t="n">
        <v>2</v>
      </c>
      <c r="B372" s="24" t="n">
        <v>46054</v>
      </c>
      <c r="C372" s="3" t="s">
        <v>410</v>
      </c>
      <c r="D372" s="3" t="s">
        <v>269</v>
      </c>
      <c r="E372" s="3" t="s">
        <v>112</v>
      </c>
      <c r="F372" s="15" t="n">
        <v>10405.67</v>
      </c>
      <c r="G372" s="15" t="n">
        <v>0</v>
      </c>
      <c r="H372" s="15" t="n">
        <v>10405.67</v>
      </c>
      <c r="I372" s="7" t="n">
        <v>1</v>
      </c>
      <c r="J372" s="7" t="s">
        <v>1247</v>
      </c>
    </row>
    <row r="373" customFormat="false" ht="15" hidden="false" customHeight="false" outlineLevel="0" collapsed="false">
      <c r="A373" s="3" t="n">
        <v>2</v>
      </c>
      <c r="B373" s="24" t="n">
        <v>46054</v>
      </c>
      <c r="C373" s="3" t="s">
        <v>410</v>
      </c>
      <c r="D373" s="3" t="s">
        <v>269</v>
      </c>
      <c r="E373" s="3" t="s">
        <v>164</v>
      </c>
      <c r="F373" s="15" t="n">
        <v>1696.2</v>
      </c>
      <c r="G373" s="15" t="n">
        <v>0</v>
      </c>
      <c r="H373" s="15" t="n">
        <v>1696.2</v>
      </c>
      <c r="I373" s="7" t="n">
        <v>2</v>
      </c>
      <c r="J373" s="7" t="s">
        <v>1248</v>
      </c>
    </row>
    <row r="374" customFormat="false" ht="15" hidden="false" customHeight="false" outlineLevel="0" collapsed="false">
      <c r="A374" s="3" t="n">
        <v>2</v>
      </c>
      <c r="B374" s="24" t="n">
        <v>46054</v>
      </c>
      <c r="C374" s="3" t="s">
        <v>410</v>
      </c>
      <c r="D374" s="3" t="s">
        <v>269</v>
      </c>
      <c r="E374" s="3" t="s">
        <v>157</v>
      </c>
      <c r="F374" s="15" t="n">
        <v>1975.99</v>
      </c>
      <c r="G374" s="15" t="n">
        <v>0</v>
      </c>
      <c r="H374" s="15" t="n">
        <v>1975.99</v>
      </c>
      <c r="I374" s="7" t="n">
        <v>3</v>
      </c>
      <c r="J374" s="7" t="s">
        <v>1249</v>
      </c>
    </row>
    <row r="375" customFormat="false" ht="15" hidden="false" customHeight="false" outlineLevel="0" collapsed="false">
      <c r="A375" s="3" t="n">
        <v>2</v>
      </c>
      <c r="B375" s="24" t="n">
        <v>46054</v>
      </c>
      <c r="C375" s="3" t="s">
        <v>410</v>
      </c>
      <c r="D375" s="3" t="s">
        <v>269</v>
      </c>
      <c r="E375" s="3" t="s">
        <v>162</v>
      </c>
      <c r="F375" s="15" t="n">
        <v>1931.2</v>
      </c>
      <c r="G375" s="15" t="n">
        <v>0</v>
      </c>
      <c r="H375" s="15" t="n">
        <v>1931.2</v>
      </c>
      <c r="I375" s="7" t="n">
        <v>4</v>
      </c>
      <c r="J375" s="7" t="s">
        <v>1250</v>
      </c>
    </row>
    <row r="376" customFormat="false" ht="15" hidden="false" customHeight="false" outlineLevel="0" collapsed="false">
      <c r="A376" s="3" t="n">
        <v>2</v>
      </c>
      <c r="B376" s="24" t="n">
        <v>46054</v>
      </c>
      <c r="C376" s="3" t="s">
        <v>410</v>
      </c>
      <c r="D376" s="3" t="s">
        <v>269</v>
      </c>
      <c r="E376" s="3" t="s">
        <v>172</v>
      </c>
      <c r="F376" s="15" t="n">
        <v>890.1</v>
      </c>
      <c r="G376" s="15" t="n">
        <v>0</v>
      </c>
      <c r="H376" s="15" t="n">
        <v>890.1</v>
      </c>
      <c r="I376" s="7" t="n">
        <v>5</v>
      </c>
      <c r="J376" s="7" t="s">
        <v>1251</v>
      </c>
    </row>
    <row r="377" customFormat="false" ht="15" hidden="false" customHeight="false" outlineLevel="0" collapsed="false">
      <c r="A377" s="3" t="n">
        <v>2</v>
      </c>
      <c r="B377" s="24" t="n">
        <v>46054</v>
      </c>
      <c r="C377" s="3" t="s">
        <v>411</v>
      </c>
      <c r="D377" s="3" t="s">
        <v>269</v>
      </c>
      <c r="E377" s="3" t="s">
        <v>136</v>
      </c>
      <c r="F377" s="15" t="n">
        <v>4766.98</v>
      </c>
      <c r="G377" s="15" t="n">
        <v>0</v>
      </c>
      <c r="H377" s="15" t="n">
        <v>4766.98</v>
      </c>
      <c r="I377" s="7" t="n">
        <v>1</v>
      </c>
      <c r="J377" s="7" t="s">
        <v>1252</v>
      </c>
    </row>
    <row r="378" customFormat="false" ht="15" hidden="false" customHeight="false" outlineLevel="0" collapsed="false">
      <c r="A378" s="3" t="n">
        <v>2</v>
      </c>
      <c r="B378" s="24" t="n">
        <v>46054</v>
      </c>
      <c r="C378" s="3" t="s">
        <v>411</v>
      </c>
      <c r="D378" s="3" t="s">
        <v>269</v>
      </c>
      <c r="E378" s="3" t="s">
        <v>174</v>
      </c>
      <c r="F378" s="15" t="n">
        <v>1660.2</v>
      </c>
      <c r="G378" s="15" t="n">
        <v>0</v>
      </c>
      <c r="H378" s="15" t="n">
        <v>1660.2</v>
      </c>
      <c r="I378" s="7" t="n">
        <v>2</v>
      </c>
      <c r="J378" s="7" t="s">
        <v>1253</v>
      </c>
    </row>
    <row r="379" customFormat="false" ht="15" hidden="false" customHeight="false" outlineLevel="0" collapsed="false">
      <c r="A379" s="3" t="n">
        <v>2</v>
      </c>
      <c r="B379" s="24" t="n">
        <v>46054</v>
      </c>
      <c r="C379" s="3" t="s">
        <v>411</v>
      </c>
      <c r="D379" s="3" t="s">
        <v>269</v>
      </c>
      <c r="E379" s="3" t="s">
        <v>182</v>
      </c>
      <c r="F379" s="15" t="n">
        <v>862.1</v>
      </c>
      <c r="G379" s="15" t="n">
        <v>0</v>
      </c>
      <c r="H379" s="15" t="n">
        <v>862.1</v>
      </c>
      <c r="I379" s="7" t="n">
        <v>3</v>
      </c>
      <c r="J379" s="7" t="s">
        <v>1254</v>
      </c>
    </row>
    <row r="380" customFormat="false" ht="15" hidden="false" customHeight="false" outlineLevel="0" collapsed="false">
      <c r="A380" s="3" t="n">
        <v>2</v>
      </c>
      <c r="B380" s="24" t="n">
        <v>46054</v>
      </c>
      <c r="C380" s="3" t="s">
        <v>411</v>
      </c>
      <c r="D380" s="3" t="s">
        <v>269</v>
      </c>
      <c r="E380" s="3" t="s">
        <v>169</v>
      </c>
      <c r="F380" s="15" t="n">
        <v>2079.54</v>
      </c>
      <c r="G380" s="15" t="n">
        <v>0</v>
      </c>
      <c r="H380" s="15" t="n">
        <v>2079.54</v>
      </c>
      <c r="I380" s="7" t="n">
        <v>4</v>
      </c>
      <c r="J380" s="7" t="s">
        <v>1255</v>
      </c>
    </row>
    <row r="381" customFormat="false" ht="15" hidden="false" customHeight="false" outlineLevel="0" collapsed="false">
      <c r="A381" s="3" t="n">
        <v>2</v>
      </c>
      <c r="B381" s="24" t="n">
        <v>46054</v>
      </c>
      <c r="C381" s="3" t="s">
        <v>411</v>
      </c>
      <c r="D381" s="3" t="s">
        <v>269</v>
      </c>
      <c r="E381" s="3" t="s">
        <v>180</v>
      </c>
      <c r="F381" s="15" t="n">
        <v>650.1</v>
      </c>
      <c r="G381" s="15" t="n">
        <v>0</v>
      </c>
      <c r="H381" s="15" t="n">
        <v>650.1</v>
      </c>
      <c r="I381" s="7" t="n">
        <v>5</v>
      </c>
      <c r="J381" s="7" t="s">
        <v>1256</v>
      </c>
    </row>
    <row r="382" customFormat="false" ht="15" hidden="false" customHeight="false" outlineLevel="0" collapsed="false">
      <c r="A382" s="3" t="n">
        <v>2</v>
      </c>
      <c r="B382" s="24" t="n">
        <v>46054</v>
      </c>
      <c r="C382" s="3" t="s">
        <v>412</v>
      </c>
      <c r="D382" s="3" t="s">
        <v>237</v>
      </c>
      <c r="E382" s="3" t="s">
        <v>130</v>
      </c>
      <c r="F382" s="15" t="n">
        <v>2579.6</v>
      </c>
      <c r="G382" s="15" t="n">
        <v>0</v>
      </c>
      <c r="H382" s="15" t="n">
        <v>2579.6</v>
      </c>
      <c r="I382" s="7" t="n">
        <v>1</v>
      </c>
      <c r="J382" s="7" t="s">
        <v>1257</v>
      </c>
    </row>
    <row r="383" customFormat="false" ht="15" hidden="false" customHeight="false" outlineLevel="0" collapsed="false">
      <c r="A383" s="3" t="n">
        <v>2</v>
      </c>
      <c r="B383" s="24" t="n">
        <v>46054</v>
      </c>
      <c r="C383" s="3" t="s">
        <v>413</v>
      </c>
      <c r="D383" s="3" t="s">
        <v>212</v>
      </c>
      <c r="E383" s="3" t="s">
        <v>147</v>
      </c>
      <c r="F383" s="15" t="n">
        <v>659.5</v>
      </c>
      <c r="G383" s="15" t="n">
        <v>0</v>
      </c>
      <c r="H383" s="15" t="n">
        <v>659.5</v>
      </c>
      <c r="I383" s="7" t="n">
        <v>1</v>
      </c>
      <c r="J383" s="7" t="s">
        <v>1258</v>
      </c>
    </row>
    <row r="384" customFormat="false" ht="15" hidden="false" customHeight="false" outlineLevel="0" collapsed="false">
      <c r="A384" s="3" t="n">
        <v>2</v>
      </c>
      <c r="B384" s="24" t="n">
        <v>46054</v>
      </c>
      <c r="C384" s="3" t="s">
        <v>414</v>
      </c>
      <c r="D384" s="3" t="s">
        <v>226</v>
      </c>
      <c r="E384" s="3" t="s">
        <v>109</v>
      </c>
      <c r="F384" s="15" t="n">
        <v>10923.55</v>
      </c>
      <c r="G384" s="15" t="n">
        <v>0</v>
      </c>
      <c r="H384" s="15" t="n">
        <v>10923.55</v>
      </c>
      <c r="I384" s="7" t="n">
        <v>1</v>
      </c>
      <c r="J384" s="7" t="s">
        <v>1259</v>
      </c>
    </row>
    <row r="385" customFormat="false" ht="15" hidden="false" customHeight="false" outlineLevel="0" collapsed="false">
      <c r="A385" s="3" t="n">
        <v>2</v>
      </c>
      <c r="B385" s="24" t="n">
        <v>46054</v>
      </c>
      <c r="C385" s="3" t="s">
        <v>414</v>
      </c>
      <c r="D385" s="3" t="s">
        <v>226</v>
      </c>
      <c r="E385" s="3" t="s">
        <v>188</v>
      </c>
      <c r="F385" s="15" t="n">
        <v>82.52</v>
      </c>
      <c r="G385" s="15" t="n">
        <v>0</v>
      </c>
      <c r="H385" s="15" t="n">
        <v>82.52</v>
      </c>
      <c r="I385" s="7" t="n">
        <v>2</v>
      </c>
      <c r="J385" s="7" t="s">
        <v>1260</v>
      </c>
    </row>
    <row r="386" customFormat="false" ht="15" hidden="false" customHeight="false" outlineLevel="0" collapsed="false">
      <c r="A386" s="3" t="n">
        <v>2</v>
      </c>
      <c r="B386" s="24" t="n">
        <v>46054</v>
      </c>
      <c r="C386" s="3" t="s">
        <v>415</v>
      </c>
      <c r="D386" s="3" t="s">
        <v>224</v>
      </c>
      <c r="E386" s="3" t="s">
        <v>152</v>
      </c>
      <c r="F386" s="15" t="n">
        <v>8467.15</v>
      </c>
      <c r="G386" s="15" t="n">
        <v>3001.44</v>
      </c>
      <c r="H386" s="15" t="n">
        <v>11468.59</v>
      </c>
      <c r="I386" s="7" t="n">
        <v>1</v>
      </c>
      <c r="J386" s="7" t="s">
        <v>1261</v>
      </c>
    </row>
    <row r="387" customFormat="false" ht="15" hidden="false" customHeight="false" outlineLevel="0" collapsed="false">
      <c r="A387" s="3" t="n">
        <v>2</v>
      </c>
      <c r="B387" s="24" t="n">
        <v>46054</v>
      </c>
      <c r="C387" s="3" t="s">
        <v>416</v>
      </c>
      <c r="D387" s="3" t="s">
        <v>224</v>
      </c>
      <c r="E387" s="3" t="s">
        <v>143</v>
      </c>
      <c r="F387" s="15" t="n">
        <v>4745.32</v>
      </c>
      <c r="G387" s="15" t="n">
        <v>1784.72</v>
      </c>
      <c r="H387" s="15" t="n">
        <v>6530.04</v>
      </c>
      <c r="I387" s="7" t="n">
        <v>1</v>
      </c>
      <c r="J387" s="7" t="s">
        <v>1262</v>
      </c>
    </row>
    <row r="388" customFormat="false" ht="15" hidden="false" customHeight="false" outlineLevel="0" collapsed="false">
      <c r="A388" s="3" t="n">
        <v>2</v>
      </c>
      <c r="B388" s="24" t="n">
        <v>46054</v>
      </c>
      <c r="C388" s="3" t="s">
        <v>417</v>
      </c>
      <c r="D388" s="3" t="s">
        <v>224</v>
      </c>
      <c r="E388" s="3" t="s">
        <v>128</v>
      </c>
      <c r="F388" s="15" t="n">
        <v>32385.85</v>
      </c>
      <c r="G388" s="15" t="n">
        <v>11268.24</v>
      </c>
      <c r="H388" s="15" t="n">
        <v>43654.09</v>
      </c>
      <c r="I388" s="7" t="n">
        <v>1</v>
      </c>
      <c r="J388" s="7" t="s">
        <v>1263</v>
      </c>
    </row>
    <row r="389" customFormat="false" ht="15" hidden="false" customHeight="false" outlineLevel="0" collapsed="false">
      <c r="A389" s="3" t="n">
        <v>2</v>
      </c>
      <c r="B389" s="24" t="n">
        <v>46054</v>
      </c>
      <c r="C389" s="3" t="s">
        <v>418</v>
      </c>
      <c r="D389" s="3" t="s">
        <v>224</v>
      </c>
      <c r="E389" s="3" t="s">
        <v>178</v>
      </c>
      <c r="F389" s="15" t="n">
        <v>442.22</v>
      </c>
      <c r="G389" s="15" t="n">
        <v>153.27</v>
      </c>
      <c r="H389" s="15" t="n">
        <v>595.49</v>
      </c>
      <c r="I389" s="7" t="n">
        <v>1</v>
      </c>
      <c r="J389" s="7" t="s">
        <v>1264</v>
      </c>
    </row>
    <row r="390" customFormat="false" ht="15" hidden="false" customHeight="false" outlineLevel="0" collapsed="false">
      <c r="A390" s="3" t="n">
        <v>2</v>
      </c>
      <c r="B390" s="24" t="n">
        <v>46054</v>
      </c>
      <c r="C390" s="3" t="s">
        <v>419</v>
      </c>
      <c r="D390" s="3" t="s">
        <v>237</v>
      </c>
      <c r="E390" s="3" t="s">
        <v>109</v>
      </c>
      <c r="F390" s="15" t="n">
        <v>74394.1</v>
      </c>
      <c r="G390" s="15" t="n">
        <v>25902.62</v>
      </c>
      <c r="H390" s="15" t="n">
        <v>100296.72</v>
      </c>
      <c r="I390" s="7" t="n">
        <v>1</v>
      </c>
      <c r="J390" s="7" t="s">
        <v>1265</v>
      </c>
    </row>
    <row r="391" customFormat="false" ht="15" hidden="false" customHeight="false" outlineLevel="0" collapsed="false">
      <c r="A391" s="3" t="n">
        <v>2</v>
      </c>
      <c r="B391" s="24" t="n">
        <v>46054</v>
      </c>
      <c r="C391" s="3" t="s">
        <v>419</v>
      </c>
      <c r="D391" s="3" t="s">
        <v>237</v>
      </c>
      <c r="E391" s="3" t="s">
        <v>133</v>
      </c>
      <c r="F391" s="15" t="n">
        <v>15562.74</v>
      </c>
      <c r="G391" s="15" t="n">
        <v>5423.01</v>
      </c>
      <c r="H391" s="15" t="n">
        <v>20985.75</v>
      </c>
      <c r="I391" s="7" t="n">
        <v>2</v>
      </c>
      <c r="J391" s="7" t="s">
        <v>1266</v>
      </c>
    </row>
    <row r="392" customFormat="false" ht="15" hidden="false" customHeight="false" outlineLevel="0" collapsed="false">
      <c r="A392" s="3" t="n">
        <v>3</v>
      </c>
      <c r="B392" s="24" t="n">
        <v>46082</v>
      </c>
      <c r="C392" s="3" t="s">
        <v>420</v>
      </c>
      <c r="D392" s="3" t="s">
        <v>222</v>
      </c>
      <c r="E392" s="3" t="s">
        <v>118</v>
      </c>
      <c r="F392" s="15" t="n">
        <v>143878.63</v>
      </c>
      <c r="G392" s="15" t="n">
        <v>50448.07</v>
      </c>
      <c r="H392" s="15" t="n">
        <v>194326.7</v>
      </c>
      <c r="I392" s="7" t="n">
        <v>1</v>
      </c>
      <c r="J392" s="7" t="s">
        <v>1267</v>
      </c>
    </row>
    <row r="393" customFormat="false" ht="15" hidden="false" customHeight="false" outlineLevel="0" collapsed="false">
      <c r="A393" s="3" t="n">
        <v>3</v>
      </c>
      <c r="B393" s="24" t="n">
        <v>46082</v>
      </c>
      <c r="C393" s="3" t="s">
        <v>420</v>
      </c>
      <c r="D393" s="3" t="s">
        <v>222</v>
      </c>
      <c r="E393" s="3" t="s">
        <v>113</v>
      </c>
      <c r="F393" s="15" t="n">
        <v>189070.45</v>
      </c>
      <c r="G393" s="15" t="n">
        <v>67176.58</v>
      </c>
      <c r="H393" s="15" t="n">
        <v>256247.03</v>
      </c>
      <c r="I393" s="7" t="n">
        <v>2</v>
      </c>
      <c r="J393" s="7" t="s">
        <v>1268</v>
      </c>
    </row>
    <row r="394" customFormat="false" ht="15" hidden="false" customHeight="false" outlineLevel="0" collapsed="false">
      <c r="A394" s="3" t="n">
        <v>3</v>
      </c>
      <c r="B394" s="24" t="n">
        <v>46082</v>
      </c>
      <c r="C394" s="3" t="s">
        <v>420</v>
      </c>
      <c r="D394" s="3" t="s">
        <v>222</v>
      </c>
      <c r="E394" s="3" t="s">
        <v>111</v>
      </c>
      <c r="F394" s="15" t="n">
        <v>258913.03</v>
      </c>
      <c r="G394" s="15" t="n">
        <v>91048.21</v>
      </c>
      <c r="H394" s="15" t="n">
        <v>349961.24</v>
      </c>
      <c r="I394" s="7" t="n">
        <v>3</v>
      </c>
      <c r="J394" s="7" t="s">
        <v>1269</v>
      </c>
    </row>
    <row r="395" customFormat="false" ht="15" hidden="false" customHeight="false" outlineLevel="0" collapsed="false">
      <c r="A395" s="3" t="n">
        <v>3</v>
      </c>
      <c r="B395" s="24" t="n">
        <v>46082</v>
      </c>
      <c r="C395" s="3" t="s">
        <v>420</v>
      </c>
      <c r="D395" s="3" t="s">
        <v>222</v>
      </c>
      <c r="E395" s="3" t="s">
        <v>114</v>
      </c>
      <c r="F395" s="15" t="n">
        <v>139889.32</v>
      </c>
      <c r="G395" s="15" t="n">
        <v>49932.56</v>
      </c>
      <c r="H395" s="15" t="n">
        <v>189821.88</v>
      </c>
      <c r="I395" s="7" t="n">
        <v>4</v>
      </c>
      <c r="J395" s="7" t="s">
        <v>1270</v>
      </c>
    </row>
    <row r="396" customFormat="false" ht="15" hidden="false" customHeight="false" outlineLevel="0" collapsed="false">
      <c r="A396" s="3" t="n">
        <v>3</v>
      </c>
      <c r="B396" s="24" t="n">
        <v>46082</v>
      </c>
      <c r="C396" s="3" t="s">
        <v>421</v>
      </c>
      <c r="D396" s="3" t="s">
        <v>222</v>
      </c>
      <c r="E396" s="3" t="s">
        <v>124</v>
      </c>
      <c r="F396" s="15" t="n">
        <v>40301.54</v>
      </c>
      <c r="G396" s="15" t="n">
        <v>14203.69</v>
      </c>
      <c r="H396" s="15" t="n">
        <v>54505.23</v>
      </c>
      <c r="I396" s="7" t="n">
        <v>1</v>
      </c>
      <c r="J396" s="7" t="s">
        <v>1271</v>
      </c>
    </row>
    <row r="397" customFormat="false" ht="15" hidden="false" customHeight="false" outlineLevel="0" collapsed="false">
      <c r="A397" s="3" t="n">
        <v>3</v>
      </c>
      <c r="B397" s="24" t="n">
        <v>46082</v>
      </c>
      <c r="C397" s="3" t="s">
        <v>421</v>
      </c>
      <c r="D397" s="3" t="s">
        <v>222</v>
      </c>
      <c r="E397" s="3" t="s">
        <v>125</v>
      </c>
      <c r="F397" s="15" t="n">
        <v>36895.99</v>
      </c>
      <c r="G397" s="15" t="n">
        <v>13040.49</v>
      </c>
      <c r="H397" s="15" t="n">
        <v>49936.48</v>
      </c>
      <c r="I397" s="7" t="n">
        <v>2</v>
      </c>
      <c r="J397" s="7" t="s">
        <v>1272</v>
      </c>
    </row>
    <row r="398" customFormat="false" ht="15" hidden="false" customHeight="false" outlineLevel="0" collapsed="false">
      <c r="A398" s="3" t="n">
        <v>3</v>
      </c>
      <c r="B398" s="24" t="n">
        <v>46082</v>
      </c>
      <c r="C398" s="3" t="s">
        <v>421</v>
      </c>
      <c r="D398" s="3" t="s">
        <v>222</v>
      </c>
      <c r="E398" s="3" t="s">
        <v>131</v>
      </c>
      <c r="F398" s="15" t="n">
        <v>31301.01</v>
      </c>
      <c r="G398" s="15" t="n">
        <v>11221.8</v>
      </c>
      <c r="H398" s="15" t="n">
        <v>42522.81</v>
      </c>
      <c r="I398" s="7" t="n">
        <v>3</v>
      </c>
      <c r="J398" s="7" t="s">
        <v>1273</v>
      </c>
    </row>
    <row r="399" customFormat="false" ht="15" hidden="false" customHeight="false" outlineLevel="0" collapsed="false">
      <c r="A399" s="3" t="n">
        <v>3</v>
      </c>
      <c r="B399" s="24" t="n">
        <v>46082</v>
      </c>
      <c r="C399" s="3" t="s">
        <v>421</v>
      </c>
      <c r="D399" s="3" t="s">
        <v>222</v>
      </c>
      <c r="E399" s="3" t="s">
        <v>127</v>
      </c>
      <c r="F399" s="15" t="n">
        <v>55052.13</v>
      </c>
      <c r="G399" s="15" t="n">
        <v>19319.25</v>
      </c>
      <c r="H399" s="15" t="n">
        <v>74371.38</v>
      </c>
      <c r="I399" s="7" t="n">
        <v>4</v>
      </c>
      <c r="J399" s="7" t="s">
        <v>1274</v>
      </c>
    </row>
    <row r="400" customFormat="false" ht="15" hidden="false" customHeight="false" outlineLevel="0" collapsed="false">
      <c r="A400" s="3" t="n">
        <v>3</v>
      </c>
      <c r="B400" s="24" t="n">
        <v>46082</v>
      </c>
      <c r="C400" s="3" t="s">
        <v>421</v>
      </c>
      <c r="D400" s="3" t="s">
        <v>222</v>
      </c>
      <c r="E400" s="3" t="s">
        <v>129</v>
      </c>
      <c r="F400" s="15" t="n">
        <v>45415.76</v>
      </c>
      <c r="G400" s="15" t="n">
        <v>16089.3</v>
      </c>
      <c r="H400" s="15" t="n">
        <v>61505.06</v>
      </c>
      <c r="I400" s="7" t="n">
        <v>5</v>
      </c>
      <c r="J400" s="7" t="s">
        <v>1275</v>
      </c>
    </row>
    <row r="401" customFormat="false" ht="15" hidden="false" customHeight="false" outlineLevel="0" collapsed="false">
      <c r="A401" s="3" t="n">
        <v>3</v>
      </c>
      <c r="B401" s="24" t="n">
        <v>46082</v>
      </c>
      <c r="C401" s="3" t="s">
        <v>421</v>
      </c>
      <c r="D401" s="3" t="s">
        <v>222</v>
      </c>
      <c r="E401" s="3" t="s">
        <v>116</v>
      </c>
      <c r="F401" s="15" t="n">
        <v>140654.4</v>
      </c>
      <c r="G401" s="15" t="n">
        <v>49475.37</v>
      </c>
      <c r="H401" s="15" t="n">
        <v>190129.77</v>
      </c>
      <c r="I401" s="7" t="n">
        <v>6</v>
      </c>
      <c r="J401" s="7" t="s">
        <v>1276</v>
      </c>
    </row>
    <row r="402" customFormat="false" ht="15" hidden="false" customHeight="false" outlineLevel="0" collapsed="false">
      <c r="A402" s="3" t="n">
        <v>3</v>
      </c>
      <c r="B402" s="24" t="n">
        <v>46082</v>
      </c>
      <c r="C402" s="3" t="s">
        <v>421</v>
      </c>
      <c r="D402" s="3" t="s">
        <v>222</v>
      </c>
      <c r="E402" s="3" t="s">
        <v>115</v>
      </c>
      <c r="F402" s="15" t="n">
        <v>146881.64</v>
      </c>
      <c r="G402" s="15" t="n">
        <v>51592.66</v>
      </c>
      <c r="H402" s="15" t="n">
        <v>198474.3</v>
      </c>
      <c r="I402" s="7" t="n">
        <v>7</v>
      </c>
      <c r="J402" s="7" t="s">
        <v>1277</v>
      </c>
    </row>
    <row r="403" customFormat="false" ht="15" hidden="false" customHeight="false" outlineLevel="0" collapsed="false">
      <c r="A403" s="3" t="n">
        <v>3</v>
      </c>
      <c r="B403" s="24" t="n">
        <v>46082</v>
      </c>
      <c r="C403" s="3" t="s">
        <v>421</v>
      </c>
      <c r="D403" s="3" t="s">
        <v>222</v>
      </c>
      <c r="E403" s="3" t="s">
        <v>117</v>
      </c>
      <c r="F403" s="15" t="n">
        <v>118350.4</v>
      </c>
      <c r="G403" s="15" t="n">
        <v>41768.33</v>
      </c>
      <c r="H403" s="15" t="n">
        <v>160118.73</v>
      </c>
      <c r="I403" s="7" t="n">
        <v>8</v>
      </c>
      <c r="J403" s="7" t="s">
        <v>1278</v>
      </c>
    </row>
    <row r="404" customFormat="false" ht="15" hidden="false" customHeight="false" outlineLevel="0" collapsed="false">
      <c r="A404" s="3" t="n">
        <v>3</v>
      </c>
      <c r="B404" s="24" t="n">
        <v>46082</v>
      </c>
      <c r="C404" s="3" t="s">
        <v>421</v>
      </c>
      <c r="D404" s="3" t="s">
        <v>222</v>
      </c>
      <c r="E404" s="3" t="s">
        <v>150</v>
      </c>
      <c r="F404" s="15" t="n">
        <v>4590.61</v>
      </c>
      <c r="G404" s="15" t="n">
        <v>1614.5</v>
      </c>
      <c r="H404" s="15" t="n">
        <v>6205.11</v>
      </c>
      <c r="I404" s="7" t="n">
        <v>9</v>
      </c>
      <c r="J404" s="7" t="s">
        <v>1279</v>
      </c>
    </row>
    <row r="405" customFormat="false" ht="15" hidden="false" customHeight="false" outlineLevel="0" collapsed="false">
      <c r="A405" s="3" t="n">
        <v>3</v>
      </c>
      <c r="B405" s="24" t="n">
        <v>46082</v>
      </c>
      <c r="C405" s="3" t="s">
        <v>421</v>
      </c>
      <c r="D405" s="3" t="s">
        <v>222</v>
      </c>
      <c r="E405" s="3" t="s">
        <v>108</v>
      </c>
      <c r="F405" s="15" t="n">
        <v>572428.73</v>
      </c>
      <c r="G405" s="15" t="n">
        <v>201884.69</v>
      </c>
      <c r="H405" s="15" t="n">
        <v>774313.42</v>
      </c>
      <c r="I405" s="7" t="n">
        <v>10</v>
      </c>
      <c r="J405" s="7" t="s">
        <v>1280</v>
      </c>
    </row>
    <row r="406" customFormat="false" ht="15" hidden="false" customHeight="false" outlineLevel="0" collapsed="false">
      <c r="A406" s="3" t="n">
        <v>3</v>
      </c>
      <c r="B406" s="24" t="n">
        <v>46082</v>
      </c>
      <c r="C406" s="3" t="s">
        <v>421</v>
      </c>
      <c r="D406" s="3" t="s">
        <v>222</v>
      </c>
      <c r="E406" s="3" t="s">
        <v>110</v>
      </c>
      <c r="F406" s="15" t="n">
        <v>500594.69</v>
      </c>
      <c r="G406" s="15" t="n">
        <v>177048.9</v>
      </c>
      <c r="H406" s="15" t="n">
        <v>677643.59</v>
      </c>
      <c r="I406" s="7" t="n">
        <v>11</v>
      </c>
      <c r="J406" s="7" t="s">
        <v>1281</v>
      </c>
    </row>
    <row r="407" customFormat="false" ht="15" hidden="false" customHeight="false" outlineLevel="0" collapsed="false">
      <c r="A407" s="3" t="n">
        <v>3</v>
      </c>
      <c r="B407" s="24" t="n">
        <v>46082</v>
      </c>
      <c r="C407" s="3" t="s">
        <v>421</v>
      </c>
      <c r="D407" s="3" t="s">
        <v>222</v>
      </c>
      <c r="E407" s="3" t="s">
        <v>151</v>
      </c>
      <c r="F407" s="15" t="n">
        <v>6580.74</v>
      </c>
      <c r="G407" s="15" t="n">
        <v>2313.46</v>
      </c>
      <c r="H407" s="15" t="n">
        <v>8894.2</v>
      </c>
      <c r="I407" s="7" t="n">
        <v>12</v>
      </c>
      <c r="J407" s="7" t="s">
        <v>1282</v>
      </c>
    </row>
    <row r="408" customFormat="false" ht="15" hidden="false" customHeight="false" outlineLevel="0" collapsed="false">
      <c r="A408" s="3" t="n">
        <v>3</v>
      </c>
      <c r="B408" s="24" t="n">
        <v>46082</v>
      </c>
      <c r="C408" s="3" t="s">
        <v>421</v>
      </c>
      <c r="D408" s="3" t="s">
        <v>222</v>
      </c>
      <c r="E408" s="3" t="s">
        <v>121</v>
      </c>
      <c r="F408" s="15" t="n">
        <v>68970.87</v>
      </c>
      <c r="G408" s="15" t="n">
        <v>24241.93</v>
      </c>
      <c r="H408" s="15" t="n">
        <v>93212.8</v>
      </c>
      <c r="I408" s="7" t="n">
        <v>13</v>
      </c>
      <c r="J408" s="7" t="s">
        <v>1283</v>
      </c>
    </row>
    <row r="409" customFormat="false" ht="15" hidden="false" customHeight="false" outlineLevel="0" collapsed="false">
      <c r="A409" s="3" t="n">
        <v>3</v>
      </c>
      <c r="B409" s="24" t="n">
        <v>46082</v>
      </c>
      <c r="C409" s="3" t="s">
        <v>421</v>
      </c>
      <c r="D409" s="3" t="s">
        <v>222</v>
      </c>
      <c r="E409" s="3" t="s">
        <v>132</v>
      </c>
      <c r="F409" s="15" t="n">
        <v>30165.02</v>
      </c>
      <c r="G409" s="15" t="n">
        <v>10594.86</v>
      </c>
      <c r="H409" s="15" t="n">
        <v>40759.88</v>
      </c>
      <c r="I409" s="7" t="n">
        <v>14</v>
      </c>
      <c r="J409" s="7" t="s">
        <v>1284</v>
      </c>
    </row>
    <row r="410" customFormat="false" ht="15" hidden="false" customHeight="false" outlineLevel="0" collapsed="false">
      <c r="A410" s="3" t="n">
        <v>3</v>
      </c>
      <c r="B410" s="24" t="n">
        <v>46082</v>
      </c>
      <c r="C410" s="3" t="s">
        <v>422</v>
      </c>
      <c r="D410" s="3" t="s">
        <v>222</v>
      </c>
      <c r="E410" s="3" t="s">
        <v>160</v>
      </c>
      <c r="F410" s="15" t="n">
        <v>7820.11</v>
      </c>
      <c r="G410" s="15" t="n">
        <v>2749.07</v>
      </c>
      <c r="H410" s="15" t="n">
        <v>10569.18</v>
      </c>
      <c r="I410" s="7" t="n">
        <v>1</v>
      </c>
      <c r="J410" s="7" t="s">
        <v>1285</v>
      </c>
    </row>
    <row r="411" customFormat="false" ht="15" hidden="false" customHeight="false" outlineLevel="0" collapsed="false">
      <c r="A411" s="3" t="n">
        <v>3</v>
      </c>
      <c r="B411" s="24" t="n">
        <v>46082</v>
      </c>
      <c r="C411" s="3" t="s">
        <v>422</v>
      </c>
      <c r="D411" s="3" t="s">
        <v>222</v>
      </c>
      <c r="E411" s="3" t="s">
        <v>140</v>
      </c>
      <c r="F411" s="15" t="n">
        <v>11845.17</v>
      </c>
      <c r="G411" s="15" t="n">
        <v>4150.42</v>
      </c>
      <c r="H411" s="15" t="n">
        <v>15995.59</v>
      </c>
      <c r="I411" s="7" t="n">
        <v>2</v>
      </c>
      <c r="J411" s="7" t="s">
        <v>1286</v>
      </c>
    </row>
    <row r="412" customFormat="false" ht="15" hidden="false" customHeight="false" outlineLevel="0" collapsed="false">
      <c r="A412" s="3" t="n">
        <v>3</v>
      </c>
      <c r="B412" s="24" t="n">
        <v>46082</v>
      </c>
      <c r="C412" s="3" t="s">
        <v>423</v>
      </c>
      <c r="D412" s="3" t="s">
        <v>212</v>
      </c>
      <c r="E412" s="3" t="s">
        <v>109</v>
      </c>
      <c r="F412" s="15" t="n">
        <v>23094.97</v>
      </c>
      <c r="G412" s="15" t="n">
        <v>6967.93</v>
      </c>
      <c r="H412" s="15" t="n">
        <v>30062.9</v>
      </c>
      <c r="I412" s="7" t="n">
        <v>1</v>
      </c>
      <c r="J412" s="7" t="s">
        <v>1287</v>
      </c>
    </row>
    <row r="413" customFormat="false" ht="15" hidden="false" customHeight="false" outlineLevel="0" collapsed="false">
      <c r="A413" s="3" t="n">
        <v>3</v>
      </c>
      <c r="B413" s="24" t="n">
        <v>46082</v>
      </c>
      <c r="C413" s="3" t="s">
        <v>423</v>
      </c>
      <c r="D413" s="3" t="s">
        <v>212</v>
      </c>
      <c r="E413" s="3" t="s">
        <v>148</v>
      </c>
      <c r="F413" s="15" t="n">
        <v>6380.32</v>
      </c>
      <c r="G413" s="15" t="n">
        <v>1925.98</v>
      </c>
      <c r="H413" s="15" t="n">
        <v>8306.3</v>
      </c>
      <c r="I413" s="7" t="n">
        <v>2</v>
      </c>
      <c r="J413" s="7" t="s">
        <v>1288</v>
      </c>
    </row>
    <row r="414" customFormat="false" ht="15" hidden="false" customHeight="false" outlineLevel="0" collapsed="false">
      <c r="A414" s="3" t="n">
        <v>3</v>
      </c>
      <c r="B414" s="24" t="n">
        <v>46082</v>
      </c>
      <c r="C414" s="3" t="s">
        <v>423</v>
      </c>
      <c r="D414" s="3" t="s">
        <v>212</v>
      </c>
      <c r="E414" s="3" t="s">
        <v>144</v>
      </c>
      <c r="F414" s="15" t="n">
        <v>6316.24</v>
      </c>
      <c r="G414" s="15" t="n">
        <v>1906.77</v>
      </c>
      <c r="H414" s="15" t="n">
        <v>8223.01</v>
      </c>
      <c r="I414" s="7" t="n">
        <v>3</v>
      </c>
      <c r="J414" s="7" t="s">
        <v>1289</v>
      </c>
    </row>
    <row r="415" customFormat="false" ht="15" hidden="false" customHeight="false" outlineLevel="0" collapsed="false">
      <c r="A415" s="3" t="n">
        <v>3</v>
      </c>
      <c r="B415" s="24" t="n">
        <v>46082</v>
      </c>
      <c r="C415" s="3" t="s">
        <v>423</v>
      </c>
      <c r="D415" s="3" t="s">
        <v>212</v>
      </c>
      <c r="E415" s="3" t="s">
        <v>147</v>
      </c>
      <c r="F415" s="15" t="n">
        <v>8721.97</v>
      </c>
      <c r="G415" s="15" t="n">
        <v>2625.7</v>
      </c>
      <c r="H415" s="15" t="n">
        <v>11347.67</v>
      </c>
      <c r="I415" s="7" t="n">
        <v>4</v>
      </c>
      <c r="J415" s="7" t="s">
        <v>1290</v>
      </c>
    </row>
    <row r="416" customFormat="false" ht="15" hidden="false" customHeight="false" outlineLevel="0" collapsed="false">
      <c r="A416" s="3" t="n">
        <v>3</v>
      </c>
      <c r="B416" s="24" t="n">
        <v>46082</v>
      </c>
      <c r="C416" s="3" t="s">
        <v>423</v>
      </c>
      <c r="D416" s="3" t="s">
        <v>212</v>
      </c>
      <c r="E416" s="3" t="s">
        <v>135</v>
      </c>
      <c r="F416" s="15" t="n">
        <v>16321.29</v>
      </c>
      <c r="G416" s="15" t="n">
        <v>4906.82</v>
      </c>
      <c r="H416" s="15" t="n">
        <v>21228.11</v>
      </c>
      <c r="I416" s="7" t="n">
        <v>5</v>
      </c>
      <c r="J416" s="7" t="s">
        <v>1291</v>
      </c>
    </row>
    <row r="417" customFormat="false" ht="15" hidden="false" customHeight="false" outlineLevel="0" collapsed="false">
      <c r="A417" s="3" t="n">
        <v>3</v>
      </c>
      <c r="B417" s="24" t="n">
        <v>46082</v>
      </c>
      <c r="C417" s="3" t="s">
        <v>423</v>
      </c>
      <c r="D417" s="3" t="s">
        <v>212</v>
      </c>
      <c r="E417" s="3" t="s">
        <v>176</v>
      </c>
      <c r="F417" s="15" t="n">
        <v>-631.4</v>
      </c>
      <c r="G417" s="15" t="n">
        <v>-171.85</v>
      </c>
      <c r="H417" s="15" t="n">
        <v>-803.25</v>
      </c>
      <c r="I417" s="7" t="n">
        <v>6</v>
      </c>
      <c r="J417" s="7" t="s">
        <v>1292</v>
      </c>
    </row>
    <row r="418" customFormat="false" ht="15" hidden="false" customHeight="false" outlineLevel="0" collapsed="false">
      <c r="A418" s="3" t="n">
        <v>3</v>
      </c>
      <c r="B418" s="24" t="n">
        <v>46082</v>
      </c>
      <c r="C418" s="3" t="s">
        <v>423</v>
      </c>
      <c r="D418" s="3" t="s">
        <v>212</v>
      </c>
      <c r="E418" s="3" t="s">
        <v>119</v>
      </c>
      <c r="F418" s="15" t="n">
        <v>169330.79</v>
      </c>
      <c r="G418" s="15" t="n">
        <v>52489.5</v>
      </c>
      <c r="H418" s="15" t="n">
        <v>221820.29</v>
      </c>
      <c r="I418" s="7" t="n">
        <v>7</v>
      </c>
      <c r="J418" s="7" t="s">
        <v>1293</v>
      </c>
    </row>
    <row r="419" customFormat="false" ht="15" hidden="false" customHeight="false" outlineLevel="0" collapsed="false">
      <c r="A419" s="3" t="n">
        <v>3</v>
      </c>
      <c r="B419" s="24" t="n">
        <v>46082</v>
      </c>
      <c r="C419" s="3" t="s">
        <v>423</v>
      </c>
      <c r="D419" s="3" t="s">
        <v>212</v>
      </c>
      <c r="E419" s="3" t="s">
        <v>142</v>
      </c>
      <c r="F419" s="15" t="n">
        <v>8417.9</v>
      </c>
      <c r="G419" s="15" t="n">
        <v>2599.12</v>
      </c>
      <c r="H419" s="15" t="n">
        <v>11017.02</v>
      </c>
      <c r="I419" s="7" t="n">
        <v>8</v>
      </c>
      <c r="J419" s="7" t="s">
        <v>1294</v>
      </c>
    </row>
    <row r="420" customFormat="false" ht="15" hidden="false" customHeight="false" outlineLevel="0" collapsed="false">
      <c r="A420" s="3" t="n">
        <v>3</v>
      </c>
      <c r="B420" s="24" t="n">
        <v>46082</v>
      </c>
      <c r="C420" s="3" t="s">
        <v>424</v>
      </c>
      <c r="D420" s="3" t="s">
        <v>214</v>
      </c>
      <c r="E420" s="3" t="s">
        <v>165</v>
      </c>
      <c r="F420" s="15" t="n">
        <v>5690.62</v>
      </c>
      <c r="G420" s="15" t="n">
        <v>2009.15</v>
      </c>
      <c r="H420" s="15" t="n">
        <v>7699.77</v>
      </c>
      <c r="I420" s="7" t="n">
        <v>1</v>
      </c>
      <c r="J420" s="7" t="s">
        <v>1295</v>
      </c>
    </row>
    <row r="421" customFormat="false" ht="15" hidden="false" customHeight="false" outlineLevel="0" collapsed="false">
      <c r="A421" s="3" t="n">
        <v>3</v>
      </c>
      <c r="B421" s="24" t="n">
        <v>46082</v>
      </c>
      <c r="C421" s="3" t="s">
        <v>425</v>
      </c>
      <c r="D421" s="3" t="s">
        <v>214</v>
      </c>
      <c r="E421" s="3" t="s">
        <v>112</v>
      </c>
      <c r="F421" s="15" t="n">
        <v>7156.62</v>
      </c>
      <c r="G421" s="15" t="n">
        <v>2551.14</v>
      </c>
      <c r="H421" s="15" t="n">
        <v>9707.76</v>
      </c>
      <c r="I421" s="7" t="n">
        <v>1</v>
      </c>
      <c r="J421" s="7" t="s">
        <v>1296</v>
      </c>
    </row>
    <row r="422" customFormat="false" ht="15" hidden="false" customHeight="false" outlineLevel="0" collapsed="false">
      <c r="A422" s="3" t="n">
        <v>3</v>
      </c>
      <c r="B422" s="24" t="n">
        <v>46082</v>
      </c>
      <c r="C422" s="3" t="s">
        <v>426</v>
      </c>
      <c r="D422" s="3" t="s">
        <v>222</v>
      </c>
      <c r="E422" s="3" t="s">
        <v>120</v>
      </c>
      <c r="F422" s="15" t="n">
        <v>199803.13</v>
      </c>
      <c r="G422" s="15" t="n">
        <v>70754.46</v>
      </c>
      <c r="H422" s="15" t="n">
        <v>270557.59</v>
      </c>
      <c r="I422" s="7" t="n">
        <v>1</v>
      </c>
      <c r="J422" s="7" t="s">
        <v>1297</v>
      </c>
    </row>
    <row r="423" customFormat="false" ht="15" hidden="false" customHeight="false" outlineLevel="0" collapsed="false">
      <c r="A423" s="3" t="n">
        <v>3</v>
      </c>
      <c r="B423" s="24" t="n">
        <v>46082</v>
      </c>
      <c r="C423" s="3" t="s">
        <v>426</v>
      </c>
      <c r="D423" s="3" t="s">
        <v>222</v>
      </c>
      <c r="E423" s="3" t="s">
        <v>126</v>
      </c>
      <c r="F423" s="15" t="n">
        <v>35029.54</v>
      </c>
      <c r="G423" s="15" t="n">
        <v>12325.35</v>
      </c>
      <c r="H423" s="15" t="n">
        <v>47354.89</v>
      </c>
      <c r="I423" s="7" t="n">
        <v>2</v>
      </c>
      <c r="J423" s="7" t="s">
        <v>1298</v>
      </c>
    </row>
    <row r="424" customFormat="false" ht="15" hidden="false" customHeight="false" outlineLevel="0" collapsed="false">
      <c r="A424" s="3" t="n">
        <v>3</v>
      </c>
      <c r="B424" s="24" t="n">
        <v>46082</v>
      </c>
      <c r="C424" s="3" t="s">
        <v>426</v>
      </c>
      <c r="D424" s="3" t="s">
        <v>222</v>
      </c>
      <c r="E424" s="3" t="s">
        <v>158</v>
      </c>
      <c r="F424" s="15" t="n">
        <v>14998.07</v>
      </c>
      <c r="G424" s="15" t="n">
        <v>5256.08</v>
      </c>
      <c r="H424" s="15" t="n">
        <v>20254.15</v>
      </c>
      <c r="I424" s="7" t="n">
        <v>3</v>
      </c>
      <c r="J424" s="7" t="s">
        <v>1299</v>
      </c>
    </row>
    <row r="425" customFormat="false" ht="15" hidden="false" customHeight="false" outlineLevel="0" collapsed="false">
      <c r="A425" s="3" t="n">
        <v>3</v>
      </c>
      <c r="B425" s="24" t="n">
        <v>46082</v>
      </c>
      <c r="C425" s="3" t="s">
        <v>427</v>
      </c>
      <c r="D425" s="3" t="s">
        <v>321</v>
      </c>
      <c r="E425" s="3" t="s">
        <v>109</v>
      </c>
      <c r="F425" s="15" t="n">
        <v>33834.04</v>
      </c>
      <c r="G425" s="15" t="n">
        <v>11241.64</v>
      </c>
      <c r="H425" s="15" t="n">
        <v>45075.68</v>
      </c>
      <c r="I425" s="7" t="n">
        <v>1</v>
      </c>
      <c r="J425" s="7" t="s">
        <v>1300</v>
      </c>
    </row>
    <row r="426" customFormat="false" ht="15" hidden="false" customHeight="false" outlineLevel="0" collapsed="false">
      <c r="A426" s="3" t="n">
        <v>3</v>
      </c>
      <c r="B426" s="24" t="n">
        <v>46082</v>
      </c>
      <c r="C426" s="3" t="s">
        <v>428</v>
      </c>
      <c r="D426" s="3" t="s">
        <v>217</v>
      </c>
      <c r="E426" s="3" t="s">
        <v>145</v>
      </c>
      <c r="F426" s="15" t="n">
        <v>11301.57</v>
      </c>
      <c r="G426" s="15" t="n">
        <v>4103</v>
      </c>
      <c r="H426" s="15" t="n">
        <v>15404.57</v>
      </c>
      <c r="I426" s="7" t="n">
        <v>1</v>
      </c>
      <c r="J426" s="7" t="s">
        <v>1301</v>
      </c>
    </row>
    <row r="427" customFormat="false" ht="15" hidden="false" customHeight="false" outlineLevel="0" collapsed="false">
      <c r="A427" s="3" t="n">
        <v>3</v>
      </c>
      <c r="B427" s="24" t="n">
        <v>46082</v>
      </c>
      <c r="C427" s="3" t="s">
        <v>428</v>
      </c>
      <c r="D427" s="3" t="s">
        <v>217</v>
      </c>
      <c r="E427" s="3" t="s">
        <v>159</v>
      </c>
      <c r="F427" s="15" t="n">
        <v>2781.78</v>
      </c>
      <c r="G427" s="15" t="n">
        <v>1094.32</v>
      </c>
      <c r="H427" s="15" t="n">
        <v>3876.1</v>
      </c>
      <c r="I427" s="7" t="n">
        <v>2</v>
      </c>
      <c r="J427" s="7" t="s">
        <v>1302</v>
      </c>
    </row>
    <row r="428" customFormat="false" ht="15" hidden="false" customHeight="false" outlineLevel="0" collapsed="false">
      <c r="A428" s="3" t="n">
        <v>3</v>
      </c>
      <c r="B428" s="24" t="n">
        <v>46082</v>
      </c>
      <c r="C428" s="3" t="s">
        <v>429</v>
      </c>
      <c r="D428" s="3" t="s">
        <v>217</v>
      </c>
      <c r="E428" s="3" t="s">
        <v>109</v>
      </c>
      <c r="F428" s="15" t="n">
        <v>35234.91</v>
      </c>
      <c r="G428" s="15" t="n">
        <v>12400.39</v>
      </c>
      <c r="H428" s="15" t="n">
        <v>47635.3</v>
      </c>
      <c r="I428" s="7" t="n">
        <v>1</v>
      </c>
      <c r="J428" s="7" t="s">
        <v>1303</v>
      </c>
    </row>
    <row r="429" customFormat="false" ht="15" hidden="false" customHeight="false" outlineLevel="0" collapsed="false">
      <c r="A429" s="3" t="n">
        <v>3</v>
      </c>
      <c r="B429" s="24" t="n">
        <v>46082</v>
      </c>
      <c r="C429" s="3" t="s">
        <v>430</v>
      </c>
      <c r="D429" s="3" t="s">
        <v>217</v>
      </c>
      <c r="E429" s="3" t="s">
        <v>112</v>
      </c>
      <c r="F429" s="15" t="n">
        <v>5553.85</v>
      </c>
      <c r="G429" s="15" t="n">
        <v>1991.43</v>
      </c>
      <c r="H429" s="15" t="n">
        <v>7545.28</v>
      </c>
      <c r="I429" s="7" t="n">
        <v>1</v>
      </c>
      <c r="J429" s="7" t="s">
        <v>1304</v>
      </c>
    </row>
    <row r="430" customFormat="false" ht="15" hidden="false" customHeight="false" outlineLevel="0" collapsed="false">
      <c r="A430" s="3" t="n">
        <v>3</v>
      </c>
      <c r="B430" s="24" t="n">
        <v>46082</v>
      </c>
      <c r="C430" s="3" t="s">
        <v>431</v>
      </c>
      <c r="D430" s="3" t="s">
        <v>219</v>
      </c>
      <c r="E430" s="3" t="s">
        <v>153</v>
      </c>
      <c r="F430" s="15" t="n">
        <v>11230.88</v>
      </c>
      <c r="G430" s="15" t="n">
        <v>4026.87</v>
      </c>
      <c r="H430" s="15" t="n">
        <v>15257.75</v>
      </c>
      <c r="I430" s="7" t="n">
        <v>1</v>
      </c>
      <c r="J430" s="7" t="s">
        <v>1305</v>
      </c>
    </row>
    <row r="431" customFormat="false" ht="15" hidden="false" customHeight="false" outlineLevel="0" collapsed="false">
      <c r="A431" s="3" t="n">
        <v>3</v>
      </c>
      <c r="B431" s="24" t="n">
        <v>46082</v>
      </c>
      <c r="C431" s="3" t="s">
        <v>432</v>
      </c>
      <c r="D431" s="3" t="s">
        <v>219</v>
      </c>
      <c r="E431" s="3" t="s">
        <v>112</v>
      </c>
      <c r="F431" s="15" t="n">
        <v>53082.38</v>
      </c>
      <c r="G431" s="15" t="n">
        <v>19296.44</v>
      </c>
      <c r="H431" s="15" t="n">
        <v>72378.82</v>
      </c>
      <c r="I431" s="7" t="n">
        <v>1</v>
      </c>
      <c r="J431" s="7" t="s">
        <v>1306</v>
      </c>
    </row>
    <row r="432" customFormat="false" ht="15" hidden="false" customHeight="false" outlineLevel="0" collapsed="false">
      <c r="A432" s="3" t="n">
        <v>3</v>
      </c>
      <c r="B432" s="24" t="n">
        <v>46082</v>
      </c>
      <c r="C432" s="3" t="s">
        <v>433</v>
      </c>
      <c r="D432" s="3" t="s">
        <v>219</v>
      </c>
      <c r="E432" s="3" t="s">
        <v>130</v>
      </c>
      <c r="F432" s="15" t="n">
        <v>22339.5</v>
      </c>
      <c r="G432" s="15" t="n">
        <v>7763.94</v>
      </c>
      <c r="H432" s="15" t="n">
        <v>30103.44</v>
      </c>
      <c r="I432" s="7" t="n">
        <v>1</v>
      </c>
      <c r="J432" s="7" t="s">
        <v>1307</v>
      </c>
    </row>
    <row r="433" customFormat="false" ht="15" hidden="false" customHeight="false" outlineLevel="0" collapsed="false">
      <c r="A433" s="3" t="n">
        <v>3</v>
      </c>
      <c r="B433" s="24" t="n">
        <v>46082</v>
      </c>
      <c r="C433" s="3" t="s">
        <v>434</v>
      </c>
      <c r="D433" s="3" t="s">
        <v>219</v>
      </c>
      <c r="E433" s="3" t="s">
        <v>109</v>
      </c>
      <c r="F433" s="15" t="n">
        <v>48620.37</v>
      </c>
      <c r="G433" s="15" t="n">
        <v>17021.48</v>
      </c>
      <c r="H433" s="15" t="n">
        <v>65641.85</v>
      </c>
      <c r="I433" s="7" t="n">
        <v>1</v>
      </c>
      <c r="J433" s="7" t="s">
        <v>1308</v>
      </c>
    </row>
    <row r="434" customFormat="false" ht="15" hidden="false" customHeight="false" outlineLevel="0" collapsed="false">
      <c r="A434" s="3" t="n">
        <v>3</v>
      </c>
      <c r="B434" s="24" t="n">
        <v>46082</v>
      </c>
      <c r="C434" s="3" t="s">
        <v>435</v>
      </c>
      <c r="D434" s="3" t="s">
        <v>228</v>
      </c>
      <c r="E434" s="3" t="s">
        <v>122</v>
      </c>
      <c r="F434" s="15" t="n">
        <v>48373.12</v>
      </c>
      <c r="G434" s="15" t="n">
        <v>16851.36</v>
      </c>
      <c r="H434" s="15" t="n">
        <v>65224.48</v>
      </c>
      <c r="I434" s="7" t="n">
        <v>1</v>
      </c>
      <c r="J434" s="7" t="s">
        <v>1309</v>
      </c>
    </row>
    <row r="435" customFormat="false" ht="15" hidden="false" customHeight="false" outlineLevel="0" collapsed="false">
      <c r="A435" s="3" t="n">
        <v>3</v>
      </c>
      <c r="B435" s="24" t="n">
        <v>46082</v>
      </c>
      <c r="C435" s="3" t="s">
        <v>435</v>
      </c>
      <c r="D435" s="3" t="s">
        <v>228</v>
      </c>
      <c r="E435" s="3" t="s">
        <v>109</v>
      </c>
      <c r="F435" s="15" t="n">
        <v>9132.56</v>
      </c>
      <c r="G435" s="15" t="n">
        <v>3183.77</v>
      </c>
      <c r="H435" s="15" t="n">
        <v>12316.33</v>
      </c>
      <c r="I435" s="7" t="n">
        <v>2</v>
      </c>
      <c r="J435" s="7" t="s">
        <v>1310</v>
      </c>
    </row>
    <row r="436" customFormat="false" ht="15" hidden="false" customHeight="false" outlineLevel="0" collapsed="false">
      <c r="A436" s="3" t="n">
        <v>3</v>
      </c>
      <c r="B436" s="24" t="n">
        <v>46082</v>
      </c>
      <c r="C436" s="3" t="s">
        <v>436</v>
      </c>
      <c r="D436" s="3" t="s">
        <v>228</v>
      </c>
      <c r="E436" s="3" t="s">
        <v>112</v>
      </c>
      <c r="F436" s="15" t="n">
        <v>14824.61</v>
      </c>
      <c r="G436" s="15" t="n">
        <v>5506.9</v>
      </c>
      <c r="H436" s="15" t="n">
        <v>20331.51</v>
      </c>
      <c r="I436" s="7" t="n">
        <v>1</v>
      </c>
      <c r="J436" s="7" t="s">
        <v>1311</v>
      </c>
    </row>
    <row r="437" customFormat="false" ht="15" hidden="false" customHeight="false" outlineLevel="0" collapsed="false">
      <c r="A437" s="3" t="n">
        <v>3</v>
      </c>
      <c r="B437" s="24" t="n">
        <v>46082</v>
      </c>
      <c r="C437" s="3" t="s">
        <v>437</v>
      </c>
      <c r="D437" s="3" t="s">
        <v>231</v>
      </c>
      <c r="E437" s="3" t="s">
        <v>134</v>
      </c>
      <c r="F437" s="15" t="n">
        <v>20179.74</v>
      </c>
      <c r="G437" s="15" t="n">
        <v>7185.31</v>
      </c>
      <c r="H437" s="15" t="n">
        <v>27365.05</v>
      </c>
      <c r="I437" s="7" t="n">
        <v>1</v>
      </c>
      <c r="J437" s="7" t="s">
        <v>1312</v>
      </c>
    </row>
    <row r="438" customFormat="false" ht="15" hidden="false" customHeight="false" outlineLevel="0" collapsed="false">
      <c r="A438" s="3" t="n">
        <v>3</v>
      </c>
      <c r="B438" s="24" t="n">
        <v>46082</v>
      </c>
      <c r="C438" s="3" t="s">
        <v>438</v>
      </c>
      <c r="D438" s="3" t="s">
        <v>231</v>
      </c>
      <c r="E438" s="3" t="s">
        <v>112</v>
      </c>
      <c r="F438" s="15" t="n">
        <v>46786.17</v>
      </c>
      <c r="G438" s="15" t="n">
        <v>16833.02</v>
      </c>
      <c r="H438" s="15" t="n">
        <v>63619.19</v>
      </c>
      <c r="I438" s="7" t="n">
        <v>1</v>
      </c>
      <c r="J438" s="7" t="s">
        <v>1313</v>
      </c>
    </row>
    <row r="439" customFormat="false" ht="15" hidden="false" customHeight="false" outlineLevel="0" collapsed="false">
      <c r="A439" s="3" t="n">
        <v>3</v>
      </c>
      <c r="B439" s="24" t="n">
        <v>46082</v>
      </c>
      <c r="C439" s="3" t="s">
        <v>439</v>
      </c>
      <c r="D439" s="3" t="s">
        <v>440</v>
      </c>
      <c r="E439" s="3" t="s">
        <v>141</v>
      </c>
      <c r="F439" s="15" t="n">
        <v>12174.24</v>
      </c>
      <c r="G439" s="15" t="n">
        <v>4423.83</v>
      </c>
      <c r="H439" s="15" t="n">
        <v>16598.07</v>
      </c>
      <c r="I439" s="7" t="n">
        <v>1</v>
      </c>
      <c r="J439" s="7" t="s">
        <v>1314</v>
      </c>
    </row>
    <row r="440" customFormat="false" ht="15" hidden="false" customHeight="false" outlineLevel="0" collapsed="false">
      <c r="A440" s="3" t="n">
        <v>3</v>
      </c>
      <c r="B440" s="24" t="n">
        <v>46082</v>
      </c>
      <c r="C440" s="3" t="s">
        <v>441</v>
      </c>
      <c r="D440" s="3" t="s">
        <v>440</v>
      </c>
      <c r="E440" s="3" t="s">
        <v>112</v>
      </c>
      <c r="F440" s="15" t="n">
        <v>31244.56</v>
      </c>
      <c r="G440" s="15" t="n">
        <v>11170.48</v>
      </c>
      <c r="H440" s="15" t="n">
        <v>42415.04</v>
      </c>
      <c r="I440" s="7" t="n">
        <v>1</v>
      </c>
      <c r="J440" s="7" t="s">
        <v>1315</v>
      </c>
    </row>
    <row r="441" customFormat="false" ht="15" hidden="false" customHeight="false" outlineLevel="0" collapsed="false">
      <c r="A441" s="3" t="n">
        <v>3</v>
      </c>
      <c r="B441" s="24" t="n">
        <v>46082</v>
      </c>
      <c r="C441" s="3" t="s">
        <v>442</v>
      </c>
      <c r="D441" s="3" t="s">
        <v>237</v>
      </c>
      <c r="E441" s="3" t="s">
        <v>155</v>
      </c>
      <c r="F441" s="15" t="n">
        <v>10375.76</v>
      </c>
      <c r="G441" s="15" t="n">
        <v>3706.7</v>
      </c>
      <c r="H441" s="15" t="n">
        <v>14082.46</v>
      </c>
      <c r="I441" s="7" t="n">
        <v>1</v>
      </c>
      <c r="J441" s="7" t="s">
        <v>1316</v>
      </c>
    </row>
    <row r="442" customFormat="false" ht="15" hidden="false" customHeight="false" outlineLevel="0" collapsed="false">
      <c r="A442" s="3" t="n">
        <v>3</v>
      </c>
      <c r="B442" s="24" t="n">
        <v>46082</v>
      </c>
      <c r="C442" s="3" t="s">
        <v>443</v>
      </c>
      <c r="D442" s="3" t="s">
        <v>237</v>
      </c>
      <c r="E442" s="3" t="s">
        <v>112</v>
      </c>
      <c r="F442" s="15" t="n">
        <v>33700.67</v>
      </c>
      <c r="G442" s="15" t="n">
        <v>12236.1</v>
      </c>
      <c r="H442" s="15" t="n">
        <v>45936.77</v>
      </c>
      <c r="I442" s="7" t="n">
        <v>1</v>
      </c>
      <c r="J442" s="7" t="s">
        <v>1317</v>
      </c>
    </row>
    <row r="443" customFormat="false" ht="15" hidden="false" customHeight="false" outlineLevel="0" collapsed="false">
      <c r="A443" s="3" t="n">
        <v>3</v>
      </c>
      <c r="B443" s="24" t="n">
        <v>46082</v>
      </c>
      <c r="C443" s="3" t="s">
        <v>444</v>
      </c>
      <c r="D443" s="3" t="s">
        <v>237</v>
      </c>
      <c r="E443" s="3" t="s">
        <v>109</v>
      </c>
      <c r="F443" s="15" t="n">
        <v>59434.39</v>
      </c>
      <c r="G443" s="15" t="n">
        <v>20700.75</v>
      </c>
      <c r="H443" s="15" t="n">
        <v>80135.14</v>
      </c>
      <c r="I443" s="7" t="n">
        <v>1</v>
      </c>
      <c r="J443" s="7" t="s">
        <v>1318</v>
      </c>
    </row>
    <row r="444" customFormat="false" ht="15" hidden="false" customHeight="false" outlineLevel="0" collapsed="false">
      <c r="A444" s="3" t="n">
        <v>3</v>
      </c>
      <c r="B444" s="24" t="n">
        <v>46082</v>
      </c>
      <c r="C444" s="3" t="s">
        <v>444</v>
      </c>
      <c r="D444" s="3" t="s">
        <v>237</v>
      </c>
      <c r="E444" s="3" t="s">
        <v>133</v>
      </c>
      <c r="F444" s="15" t="n">
        <v>15543.33</v>
      </c>
      <c r="G444" s="15" t="n">
        <v>5419.2</v>
      </c>
      <c r="H444" s="15" t="n">
        <v>20962.53</v>
      </c>
      <c r="I444" s="7" t="n">
        <v>2</v>
      </c>
      <c r="J444" s="7" t="s">
        <v>1319</v>
      </c>
    </row>
    <row r="445" customFormat="false" ht="15" hidden="false" customHeight="false" outlineLevel="0" collapsed="false">
      <c r="A445" s="3" t="n">
        <v>3</v>
      </c>
      <c r="B445" s="24" t="n">
        <v>46082</v>
      </c>
      <c r="C445" s="3" t="s">
        <v>445</v>
      </c>
      <c r="D445" s="3" t="s">
        <v>237</v>
      </c>
      <c r="E445" s="3" t="s">
        <v>130</v>
      </c>
      <c r="F445" s="15" t="n">
        <v>752.76</v>
      </c>
      <c r="G445" s="15" t="n">
        <v>575.11</v>
      </c>
      <c r="H445" s="15" t="n">
        <v>1327.87</v>
      </c>
      <c r="I445" s="7" t="n">
        <v>1</v>
      </c>
      <c r="J445" s="7" t="s">
        <v>1320</v>
      </c>
    </row>
    <row r="446" customFormat="false" ht="15" hidden="false" customHeight="false" outlineLevel="0" collapsed="false">
      <c r="A446" s="3" t="n">
        <v>3</v>
      </c>
      <c r="B446" s="24" t="n">
        <v>46082</v>
      </c>
      <c r="C446" s="3" t="s">
        <v>446</v>
      </c>
      <c r="D446" s="3" t="s">
        <v>440</v>
      </c>
      <c r="E446" s="3" t="s">
        <v>136</v>
      </c>
      <c r="F446" s="15" t="n">
        <v>12864.77</v>
      </c>
      <c r="G446" s="15" t="n">
        <v>4590.35</v>
      </c>
      <c r="H446" s="15" t="n">
        <v>17455.12</v>
      </c>
      <c r="I446" s="7" t="n">
        <v>1</v>
      </c>
      <c r="J446" s="7" t="s">
        <v>1321</v>
      </c>
    </row>
    <row r="447" customFormat="false" ht="15" hidden="false" customHeight="false" outlineLevel="0" collapsed="false">
      <c r="A447" s="3" t="n">
        <v>3</v>
      </c>
      <c r="B447" s="24" t="n">
        <v>46082</v>
      </c>
      <c r="C447" s="3" t="s">
        <v>446</v>
      </c>
      <c r="D447" s="3" t="s">
        <v>440</v>
      </c>
      <c r="E447" s="3" t="s">
        <v>174</v>
      </c>
      <c r="F447" s="15" t="n">
        <v>5380.29</v>
      </c>
      <c r="G447" s="15" t="n">
        <v>1917.03</v>
      </c>
      <c r="H447" s="15" t="n">
        <v>7297.32</v>
      </c>
      <c r="I447" s="7" t="n">
        <v>2</v>
      </c>
      <c r="J447" s="7" t="s">
        <v>1322</v>
      </c>
    </row>
    <row r="448" customFormat="false" ht="15" hidden="false" customHeight="false" outlineLevel="0" collapsed="false">
      <c r="A448" s="3" t="n">
        <v>3</v>
      </c>
      <c r="B448" s="24" t="n">
        <v>46082</v>
      </c>
      <c r="C448" s="3" t="s">
        <v>446</v>
      </c>
      <c r="D448" s="3" t="s">
        <v>440</v>
      </c>
      <c r="E448" s="3" t="s">
        <v>182</v>
      </c>
      <c r="F448" s="15" t="n">
        <v>1480.49</v>
      </c>
      <c r="G448" s="15" t="n">
        <v>599.16</v>
      </c>
      <c r="H448" s="15" t="n">
        <v>2079.65</v>
      </c>
      <c r="I448" s="7" t="n">
        <v>3</v>
      </c>
      <c r="J448" s="7" t="s">
        <v>1323</v>
      </c>
    </row>
    <row r="449" customFormat="false" ht="15" hidden="false" customHeight="false" outlineLevel="0" collapsed="false">
      <c r="A449" s="3" t="n">
        <v>3</v>
      </c>
      <c r="B449" s="24" t="n">
        <v>46082</v>
      </c>
      <c r="C449" s="3" t="s">
        <v>446</v>
      </c>
      <c r="D449" s="3" t="s">
        <v>440</v>
      </c>
      <c r="E449" s="3" t="s">
        <v>169</v>
      </c>
      <c r="F449" s="15" t="n">
        <v>5908.93</v>
      </c>
      <c r="G449" s="15" t="n">
        <v>2100.22</v>
      </c>
      <c r="H449" s="15" t="n">
        <v>8009.15</v>
      </c>
      <c r="I449" s="7" t="n">
        <v>4</v>
      </c>
      <c r="J449" s="7" t="s">
        <v>1324</v>
      </c>
    </row>
    <row r="450" customFormat="false" ht="15" hidden="false" customHeight="false" outlineLevel="0" collapsed="false">
      <c r="A450" s="3" t="n">
        <v>3</v>
      </c>
      <c r="B450" s="24" t="n">
        <v>46082</v>
      </c>
      <c r="C450" s="3" t="s">
        <v>446</v>
      </c>
      <c r="D450" s="3" t="s">
        <v>440</v>
      </c>
      <c r="E450" s="3" t="s">
        <v>180</v>
      </c>
      <c r="F450" s="15" t="n">
        <v>2763.47</v>
      </c>
      <c r="G450" s="15" t="n">
        <v>968.49</v>
      </c>
      <c r="H450" s="15" t="n">
        <v>3731.96</v>
      </c>
      <c r="I450" s="7" t="n">
        <v>5</v>
      </c>
      <c r="J450" s="7" t="s">
        <v>1325</v>
      </c>
    </row>
    <row r="451" customFormat="false" ht="15" hidden="false" customHeight="false" outlineLevel="0" collapsed="false">
      <c r="A451" s="3" t="n">
        <v>3</v>
      </c>
      <c r="B451" s="24" t="n">
        <v>46082</v>
      </c>
      <c r="C451" s="3" t="s">
        <v>447</v>
      </c>
      <c r="D451" s="3" t="s">
        <v>440</v>
      </c>
      <c r="E451" s="3" t="s">
        <v>112</v>
      </c>
      <c r="F451" s="15" t="n">
        <v>32020.61</v>
      </c>
      <c r="G451" s="15" t="n">
        <v>11575.68</v>
      </c>
      <c r="H451" s="15" t="n">
        <v>43596.29</v>
      </c>
      <c r="I451" s="7" t="n">
        <v>1</v>
      </c>
      <c r="J451" s="7" t="s">
        <v>1326</v>
      </c>
    </row>
    <row r="452" customFormat="false" ht="15" hidden="false" customHeight="false" outlineLevel="0" collapsed="false">
      <c r="A452" s="3" t="n">
        <v>3</v>
      </c>
      <c r="B452" s="24" t="n">
        <v>46082</v>
      </c>
      <c r="C452" s="3" t="s">
        <v>447</v>
      </c>
      <c r="D452" s="3" t="s">
        <v>440</v>
      </c>
      <c r="E452" s="3" t="s">
        <v>164</v>
      </c>
      <c r="F452" s="15" t="n">
        <v>5350.41</v>
      </c>
      <c r="G452" s="15" t="n">
        <v>1904.3</v>
      </c>
      <c r="H452" s="15" t="n">
        <v>7254.71</v>
      </c>
      <c r="I452" s="7" t="n">
        <v>2</v>
      </c>
      <c r="J452" s="7" t="s">
        <v>1327</v>
      </c>
    </row>
    <row r="453" customFormat="false" ht="15" hidden="false" customHeight="false" outlineLevel="0" collapsed="false">
      <c r="A453" s="3" t="n">
        <v>3</v>
      </c>
      <c r="B453" s="24" t="n">
        <v>46082</v>
      </c>
      <c r="C453" s="3" t="s">
        <v>447</v>
      </c>
      <c r="D453" s="3" t="s">
        <v>440</v>
      </c>
      <c r="E453" s="3" t="s">
        <v>157</v>
      </c>
      <c r="F453" s="15" t="n">
        <v>6390.59</v>
      </c>
      <c r="G453" s="15" t="n">
        <v>2257.65</v>
      </c>
      <c r="H453" s="15" t="n">
        <v>8648.24</v>
      </c>
      <c r="I453" s="7" t="n">
        <v>3</v>
      </c>
      <c r="J453" s="7" t="s">
        <v>1328</v>
      </c>
    </row>
    <row r="454" customFormat="false" ht="15" hidden="false" customHeight="false" outlineLevel="0" collapsed="false">
      <c r="A454" s="3" t="n">
        <v>3</v>
      </c>
      <c r="B454" s="24" t="n">
        <v>46082</v>
      </c>
      <c r="C454" s="3" t="s">
        <v>447</v>
      </c>
      <c r="D454" s="3" t="s">
        <v>440</v>
      </c>
      <c r="E454" s="3" t="s">
        <v>162</v>
      </c>
      <c r="F454" s="15" t="n">
        <v>3846.67</v>
      </c>
      <c r="G454" s="15" t="n">
        <v>1432.63</v>
      </c>
      <c r="H454" s="15" t="n">
        <v>5279.3</v>
      </c>
      <c r="I454" s="7" t="n">
        <v>4</v>
      </c>
      <c r="J454" s="7" t="s">
        <v>1329</v>
      </c>
    </row>
    <row r="455" customFormat="false" ht="15" hidden="false" customHeight="false" outlineLevel="0" collapsed="false">
      <c r="A455" s="3" t="n">
        <v>3</v>
      </c>
      <c r="B455" s="24" t="n">
        <v>46082</v>
      </c>
      <c r="C455" s="3" t="s">
        <v>447</v>
      </c>
      <c r="D455" s="3" t="s">
        <v>440</v>
      </c>
      <c r="E455" s="3" t="s">
        <v>172</v>
      </c>
      <c r="F455" s="15" t="n">
        <v>3255.58</v>
      </c>
      <c r="G455" s="15" t="n">
        <v>1154.22</v>
      </c>
      <c r="H455" s="15" t="n">
        <v>4409.8</v>
      </c>
      <c r="I455" s="7" t="n">
        <v>5</v>
      </c>
      <c r="J455" s="7" t="s">
        <v>1330</v>
      </c>
    </row>
    <row r="456" customFormat="false" ht="15" hidden="false" customHeight="false" outlineLevel="0" collapsed="false">
      <c r="A456" s="3" t="n">
        <v>3</v>
      </c>
      <c r="B456" s="24" t="n">
        <v>46082</v>
      </c>
      <c r="C456" s="3" t="s">
        <v>448</v>
      </c>
      <c r="D456" s="3" t="s">
        <v>440</v>
      </c>
      <c r="E456" s="3" t="s">
        <v>109</v>
      </c>
      <c r="F456" s="15" t="n">
        <v>111599.78</v>
      </c>
      <c r="G456" s="15" t="n">
        <v>38877.480540462</v>
      </c>
      <c r="H456" s="15" t="n">
        <v>150477.260540462</v>
      </c>
      <c r="I456" s="7" t="n">
        <v>1</v>
      </c>
      <c r="J456" s="7" t="s">
        <v>1331</v>
      </c>
    </row>
    <row r="457" customFormat="false" ht="15" hidden="false" customHeight="false" outlineLevel="0" collapsed="false">
      <c r="A457" s="3" t="n">
        <v>3</v>
      </c>
      <c r="B457" s="24" t="n">
        <v>46082</v>
      </c>
      <c r="C457" s="3" t="s">
        <v>449</v>
      </c>
      <c r="D457" s="3" t="s">
        <v>440</v>
      </c>
      <c r="E457" s="3" t="s">
        <v>112</v>
      </c>
      <c r="F457" s="15" t="n">
        <v>5412.52</v>
      </c>
      <c r="G457" s="15" t="n">
        <v>1676.9</v>
      </c>
      <c r="H457" s="15" t="n">
        <v>7089.42</v>
      </c>
      <c r="I457" s="7" t="n">
        <v>1</v>
      </c>
      <c r="J457" s="7" t="s">
        <v>1332</v>
      </c>
    </row>
    <row r="458" customFormat="false" ht="15" hidden="false" customHeight="false" outlineLevel="0" collapsed="false">
      <c r="A458" s="3" t="n">
        <v>3</v>
      </c>
      <c r="B458" s="24" t="n">
        <v>46082</v>
      </c>
      <c r="C458" s="3" t="s">
        <v>450</v>
      </c>
      <c r="D458" s="3" t="s">
        <v>440</v>
      </c>
      <c r="E458" s="3" t="s">
        <v>109</v>
      </c>
      <c r="F458" s="15" t="n">
        <v>83700.46</v>
      </c>
      <c r="G458" s="15" t="n">
        <v>25343.28</v>
      </c>
      <c r="H458" s="15" t="n">
        <v>109043.74</v>
      </c>
      <c r="I458" s="7" t="n">
        <v>1</v>
      </c>
      <c r="J458" s="7" t="s">
        <v>1333</v>
      </c>
    </row>
    <row r="459" customFormat="false" ht="15" hidden="false" customHeight="false" outlineLevel="0" collapsed="false">
      <c r="A459" s="3" t="n">
        <v>3</v>
      </c>
      <c r="B459" s="24" t="n">
        <v>46082</v>
      </c>
      <c r="C459" s="3" t="s">
        <v>450</v>
      </c>
      <c r="D459" s="3" t="s">
        <v>440</v>
      </c>
      <c r="E459" s="3" t="s">
        <v>154</v>
      </c>
      <c r="F459" s="15" t="n">
        <v>6658.33</v>
      </c>
      <c r="G459" s="15" t="n">
        <v>2008.18</v>
      </c>
      <c r="H459" s="15" t="n">
        <v>8666.51</v>
      </c>
      <c r="I459" s="7" t="n">
        <v>2</v>
      </c>
      <c r="J459" s="7" t="s">
        <v>1334</v>
      </c>
    </row>
    <row r="460" customFormat="false" ht="15" hidden="false" customHeight="false" outlineLevel="0" collapsed="false">
      <c r="A460" s="3" t="n">
        <v>3</v>
      </c>
      <c r="B460" s="24" t="n">
        <v>46082</v>
      </c>
      <c r="C460" s="3" t="s">
        <v>450</v>
      </c>
      <c r="D460" s="3" t="s">
        <v>440</v>
      </c>
      <c r="E460" s="3" t="s">
        <v>138</v>
      </c>
      <c r="F460" s="15" t="n">
        <v>11752.89</v>
      </c>
      <c r="G460" s="15" t="n">
        <v>3536.98</v>
      </c>
      <c r="H460" s="15" t="n">
        <v>15289.87</v>
      </c>
      <c r="I460" s="7" t="n">
        <v>3</v>
      </c>
      <c r="J460" s="7" t="s">
        <v>1335</v>
      </c>
    </row>
    <row r="461" customFormat="false" ht="15" hidden="false" customHeight="false" outlineLevel="0" collapsed="false">
      <c r="A461" s="3" t="n">
        <v>3</v>
      </c>
      <c r="B461" s="24" t="n">
        <v>46082</v>
      </c>
      <c r="C461" s="3" t="s">
        <v>450</v>
      </c>
      <c r="D461" s="3" t="s">
        <v>440</v>
      </c>
      <c r="E461" s="3" t="s">
        <v>163</v>
      </c>
      <c r="F461" s="15" t="n">
        <v>5164.13</v>
      </c>
      <c r="G461" s="15" t="n">
        <v>1561.3</v>
      </c>
      <c r="H461" s="15" t="n">
        <v>6725.43</v>
      </c>
      <c r="I461" s="7" t="n">
        <v>4</v>
      </c>
      <c r="J461" s="7" t="s">
        <v>1336</v>
      </c>
    </row>
    <row r="462" customFormat="false" ht="15" hidden="false" customHeight="false" outlineLevel="0" collapsed="false">
      <c r="A462" s="3" t="n">
        <v>3</v>
      </c>
      <c r="B462" s="24" t="n">
        <v>46082</v>
      </c>
      <c r="C462" s="3" t="s">
        <v>451</v>
      </c>
      <c r="D462" s="3" t="s">
        <v>440</v>
      </c>
      <c r="E462" s="3" t="s">
        <v>152</v>
      </c>
      <c r="F462" s="15" t="n">
        <v>2255.4</v>
      </c>
      <c r="G462" s="15" t="n">
        <v>868.29</v>
      </c>
      <c r="H462" s="15" t="n">
        <v>3123.69</v>
      </c>
      <c r="I462" s="7" t="n">
        <v>1</v>
      </c>
      <c r="J462" s="7" t="s">
        <v>1337</v>
      </c>
    </row>
    <row r="463" customFormat="false" ht="15" hidden="false" customHeight="false" outlineLevel="0" collapsed="false">
      <c r="A463" s="3" t="n">
        <v>3</v>
      </c>
      <c r="B463" s="24" t="n">
        <v>46082</v>
      </c>
      <c r="C463" s="3" t="s">
        <v>452</v>
      </c>
      <c r="D463" s="3" t="s">
        <v>440</v>
      </c>
      <c r="E463" s="3" t="s">
        <v>143</v>
      </c>
      <c r="F463" s="15" t="n">
        <v>600.18</v>
      </c>
      <c r="G463" s="15" t="n">
        <v>360.27</v>
      </c>
      <c r="H463" s="15" t="n">
        <v>960.45</v>
      </c>
      <c r="I463" s="7" t="n">
        <v>1</v>
      </c>
      <c r="J463" s="7" t="s">
        <v>1338</v>
      </c>
    </row>
    <row r="464" customFormat="false" ht="15" hidden="false" customHeight="false" outlineLevel="0" collapsed="false">
      <c r="A464" s="3" t="n">
        <v>3</v>
      </c>
      <c r="B464" s="24" t="n">
        <v>46082</v>
      </c>
      <c r="C464" s="3" t="s">
        <v>453</v>
      </c>
      <c r="D464" s="3" t="s">
        <v>440</v>
      </c>
      <c r="E464" s="3" t="s">
        <v>128</v>
      </c>
      <c r="F464" s="15" t="n">
        <v>27313.2</v>
      </c>
      <c r="G464" s="15" t="n">
        <v>9509.16</v>
      </c>
      <c r="H464" s="15" t="n">
        <v>36822.36</v>
      </c>
      <c r="I464" s="7" t="n">
        <v>1</v>
      </c>
      <c r="J464" s="7" t="s">
        <v>1339</v>
      </c>
    </row>
    <row r="465" customFormat="false" ht="15" hidden="false" customHeight="false" outlineLevel="0" collapsed="false">
      <c r="A465" s="3" t="n">
        <v>3</v>
      </c>
      <c r="B465" s="24" t="n">
        <v>46082</v>
      </c>
      <c r="C465" s="3" t="s">
        <v>454</v>
      </c>
      <c r="D465" s="3" t="s">
        <v>440</v>
      </c>
      <c r="E465" s="3" t="s">
        <v>161</v>
      </c>
      <c r="F465" s="15" t="n">
        <v>5977.81</v>
      </c>
      <c r="G465" s="15" t="n">
        <v>2124.11</v>
      </c>
      <c r="H465" s="15" t="n">
        <v>8101.92</v>
      </c>
      <c r="I465" s="7" t="n">
        <v>1</v>
      </c>
      <c r="J465" s="7" t="s">
        <v>1340</v>
      </c>
    </row>
    <row r="466" customFormat="false" ht="15" hidden="false" customHeight="false" outlineLevel="0" collapsed="false">
      <c r="A466" s="3" t="n">
        <v>3</v>
      </c>
      <c r="B466" s="24" t="n">
        <v>46082</v>
      </c>
      <c r="C466" s="3" t="s">
        <v>455</v>
      </c>
      <c r="D466" s="3" t="s">
        <v>440</v>
      </c>
      <c r="E466" s="3" t="s">
        <v>112</v>
      </c>
      <c r="F466" s="15" t="n">
        <v>16693.81</v>
      </c>
      <c r="G466" s="15" t="n">
        <v>5898.05</v>
      </c>
      <c r="H466" s="15" t="n">
        <v>22591.86</v>
      </c>
      <c r="I466" s="7" t="n">
        <v>1</v>
      </c>
      <c r="J466" s="7" t="s">
        <v>1341</v>
      </c>
    </row>
    <row r="467" customFormat="false" ht="15" hidden="false" customHeight="false" outlineLevel="0" collapsed="false">
      <c r="A467" s="3" t="n">
        <v>3</v>
      </c>
      <c r="B467" s="24" t="n">
        <v>46082</v>
      </c>
      <c r="C467" s="3" t="s">
        <v>456</v>
      </c>
      <c r="D467" s="3" t="s">
        <v>440</v>
      </c>
      <c r="E467" s="3" t="s">
        <v>112</v>
      </c>
      <c r="F467" s="15" t="n">
        <v>2216.92</v>
      </c>
      <c r="G467" s="15" t="n">
        <v>791.77</v>
      </c>
      <c r="H467" s="15" t="n">
        <v>3008.69</v>
      </c>
      <c r="I467" s="7" t="n">
        <v>1</v>
      </c>
      <c r="J467" s="7" t="s">
        <v>1342</v>
      </c>
    </row>
    <row r="468" customFormat="false" ht="15" hidden="false" customHeight="false" outlineLevel="0" collapsed="false">
      <c r="A468" s="3" t="n">
        <v>3</v>
      </c>
      <c r="B468" s="24" t="n">
        <v>46082</v>
      </c>
      <c r="C468" s="3" t="s">
        <v>457</v>
      </c>
      <c r="D468" s="3" t="s">
        <v>440</v>
      </c>
      <c r="E468" s="3" t="s">
        <v>171</v>
      </c>
      <c r="F468" s="15" t="n">
        <v>5296.76</v>
      </c>
      <c r="G468" s="15" t="n">
        <v>1888.05</v>
      </c>
      <c r="H468" s="15" t="n">
        <v>7184.81</v>
      </c>
      <c r="I468" s="7" t="n">
        <v>1</v>
      </c>
      <c r="J468" s="7" t="s">
        <v>1343</v>
      </c>
    </row>
    <row r="469" customFormat="false" ht="15" hidden="false" customHeight="false" outlineLevel="0" collapsed="false">
      <c r="A469" s="3" t="n">
        <v>3</v>
      </c>
      <c r="B469" s="24" t="n">
        <v>46082</v>
      </c>
      <c r="C469" s="3" t="s">
        <v>458</v>
      </c>
      <c r="D469" s="3" t="s">
        <v>440</v>
      </c>
      <c r="E469" s="3" t="s">
        <v>112</v>
      </c>
      <c r="F469" s="15" t="n">
        <v>11053.73</v>
      </c>
      <c r="G469" s="15" t="n">
        <v>3959.04</v>
      </c>
      <c r="H469" s="15" t="n">
        <v>15012.77</v>
      </c>
      <c r="I469" s="7" t="n">
        <v>1</v>
      </c>
      <c r="J469" s="7" t="s">
        <v>1344</v>
      </c>
    </row>
    <row r="470" customFormat="false" ht="15" hidden="false" customHeight="false" outlineLevel="0" collapsed="false">
      <c r="A470" s="3" t="n">
        <v>3</v>
      </c>
      <c r="B470" s="24" t="n">
        <v>46082</v>
      </c>
      <c r="C470" s="3" t="s">
        <v>459</v>
      </c>
      <c r="D470" s="3" t="s">
        <v>440</v>
      </c>
      <c r="E470" s="3" t="s">
        <v>137</v>
      </c>
      <c r="F470" s="15" t="n">
        <v>13316.72</v>
      </c>
      <c r="G470" s="15" t="n">
        <v>4759.3</v>
      </c>
      <c r="H470" s="15" t="n">
        <v>18076.02</v>
      </c>
      <c r="I470" s="7" t="n">
        <v>1</v>
      </c>
      <c r="J470" s="7" t="s">
        <v>1345</v>
      </c>
    </row>
    <row r="471" customFormat="false" ht="15" hidden="false" customHeight="false" outlineLevel="0" collapsed="false">
      <c r="A471" s="3" t="n">
        <v>3</v>
      </c>
      <c r="B471" s="24" t="n">
        <v>46082</v>
      </c>
      <c r="C471" s="3" t="s">
        <v>460</v>
      </c>
      <c r="D471" s="3" t="s">
        <v>440</v>
      </c>
      <c r="E471" s="3" t="s">
        <v>166</v>
      </c>
      <c r="F471" s="15" t="n">
        <v>5081.33</v>
      </c>
      <c r="G471" s="15" t="n">
        <v>1813.4</v>
      </c>
      <c r="H471" s="15" t="n">
        <v>6894.73</v>
      </c>
      <c r="I471" s="7" t="n">
        <v>1</v>
      </c>
      <c r="J471" s="7" t="s">
        <v>1346</v>
      </c>
    </row>
    <row r="472" customFormat="false" ht="15" hidden="false" customHeight="false" outlineLevel="0" collapsed="false">
      <c r="A472" s="3" t="n">
        <v>3</v>
      </c>
      <c r="B472" s="24" t="n">
        <v>46082</v>
      </c>
      <c r="C472" s="3" t="s">
        <v>461</v>
      </c>
      <c r="D472" s="3" t="s">
        <v>440</v>
      </c>
      <c r="E472" s="3" t="s">
        <v>112</v>
      </c>
      <c r="F472" s="15" t="n">
        <v>5521.25</v>
      </c>
      <c r="G472" s="15" t="n">
        <v>1964.32</v>
      </c>
      <c r="H472" s="15" t="n">
        <v>7485.57</v>
      </c>
      <c r="I472" s="7" t="n">
        <v>1</v>
      </c>
      <c r="J472" s="7" t="s">
        <v>1347</v>
      </c>
    </row>
    <row r="473" customFormat="false" ht="15" hidden="false" customHeight="false" outlineLevel="0" collapsed="false">
      <c r="A473" s="3" t="n">
        <v>3</v>
      </c>
      <c r="B473" s="24" t="n">
        <v>46082</v>
      </c>
      <c r="C473" s="3" t="s">
        <v>462</v>
      </c>
      <c r="D473" s="3" t="s">
        <v>440</v>
      </c>
      <c r="E473" s="3" t="s">
        <v>168</v>
      </c>
      <c r="F473" s="15" t="n">
        <v>6585.69</v>
      </c>
      <c r="G473" s="15" t="n">
        <v>2431.92</v>
      </c>
      <c r="H473" s="15" t="n">
        <v>9017.61</v>
      </c>
      <c r="I473" s="7" t="n">
        <v>1</v>
      </c>
      <c r="J473" s="7" t="s">
        <v>1348</v>
      </c>
    </row>
    <row r="474" customFormat="false" ht="15" hidden="false" customHeight="false" outlineLevel="0" collapsed="false">
      <c r="A474" s="3" t="n">
        <v>3</v>
      </c>
      <c r="B474" s="24" t="n">
        <v>46082</v>
      </c>
      <c r="C474" s="3" t="s">
        <v>463</v>
      </c>
      <c r="D474" s="3" t="s">
        <v>440</v>
      </c>
      <c r="E474" s="3" t="s">
        <v>112</v>
      </c>
      <c r="F474" s="15" t="n">
        <v>14170.69</v>
      </c>
      <c r="G474" s="15" t="n">
        <v>5122.75</v>
      </c>
      <c r="H474" s="15" t="n">
        <v>19293.44</v>
      </c>
      <c r="I474" s="7" t="n">
        <v>1</v>
      </c>
      <c r="J474" s="7" t="s">
        <v>1349</v>
      </c>
    </row>
    <row r="475" customFormat="false" ht="15" hidden="false" customHeight="false" outlineLevel="0" collapsed="false">
      <c r="A475" s="3" t="n">
        <v>3</v>
      </c>
      <c r="B475" s="24" t="n">
        <v>46082</v>
      </c>
      <c r="C475" s="3" t="s">
        <v>464</v>
      </c>
      <c r="D475" s="3" t="s">
        <v>440</v>
      </c>
      <c r="E475" s="3" t="s">
        <v>146</v>
      </c>
      <c r="F475" s="15" t="n">
        <v>4033.18</v>
      </c>
      <c r="G475" s="15" t="n">
        <v>1564.22</v>
      </c>
      <c r="H475" s="15" t="n">
        <v>5597.4</v>
      </c>
      <c r="I475" s="7" t="n">
        <v>1</v>
      </c>
      <c r="J475" s="7" t="s">
        <v>1350</v>
      </c>
    </row>
    <row r="476" customFormat="false" ht="15" hidden="false" customHeight="false" outlineLevel="0" collapsed="false">
      <c r="A476" s="3" t="n">
        <v>3</v>
      </c>
      <c r="B476" s="24" t="n">
        <v>46082</v>
      </c>
      <c r="C476" s="3" t="s">
        <v>465</v>
      </c>
      <c r="D476" s="3" t="s">
        <v>440</v>
      </c>
      <c r="E476" s="3" t="s">
        <v>112</v>
      </c>
      <c r="F476" s="15" t="n">
        <v>13710.45</v>
      </c>
      <c r="G476" s="15" t="n">
        <v>4890.24</v>
      </c>
      <c r="H476" s="15" t="n">
        <v>18600.69</v>
      </c>
      <c r="I476" s="7" t="n">
        <v>1</v>
      </c>
      <c r="J476" s="7" t="s">
        <v>1351</v>
      </c>
    </row>
    <row r="477" customFormat="false" ht="15" hidden="false" customHeight="false" outlineLevel="0" collapsed="false">
      <c r="A477" s="3" t="n">
        <v>3</v>
      </c>
      <c r="B477" s="24" t="n">
        <v>46082</v>
      </c>
      <c r="C477" s="3" t="s">
        <v>466</v>
      </c>
      <c r="D477" s="3" t="s">
        <v>440</v>
      </c>
      <c r="E477" s="3" t="s">
        <v>112</v>
      </c>
      <c r="F477" s="15" t="n">
        <v>2549.86</v>
      </c>
      <c r="G477" s="15" t="n">
        <v>967.31</v>
      </c>
      <c r="H477" s="15" t="n">
        <v>3517.17</v>
      </c>
      <c r="I477" s="7" t="n">
        <v>1</v>
      </c>
      <c r="J477" s="7" t="s">
        <v>1352</v>
      </c>
    </row>
    <row r="478" customFormat="false" ht="15" hidden="false" customHeight="false" outlineLevel="0" collapsed="false">
      <c r="A478" s="3" t="n">
        <v>3</v>
      </c>
      <c r="B478" s="24" t="n">
        <v>46082</v>
      </c>
      <c r="C478" s="3" t="s">
        <v>467</v>
      </c>
      <c r="D478" s="3" t="s">
        <v>440</v>
      </c>
      <c r="E478" s="3" t="s">
        <v>175</v>
      </c>
      <c r="F478" s="15" t="n">
        <v>5882.24</v>
      </c>
      <c r="G478" s="15" t="n">
        <v>2075.55</v>
      </c>
      <c r="H478" s="15" t="n">
        <v>7957.79</v>
      </c>
      <c r="I478" s="7" t="n">
        <v>1</v>
      </c>
      <c r="J478" s="7" t="s">
        <v>1353</v>
      </c>
    </row>
    <row r="479" customFormat="false" ht="15" hidden="false" customHeight="false" outlineLevel="0" collapsed="false">
      <c r="A479" s="3" t="n">
        <v>3</v>
      </c>
      <c r="B479" s="24" t="n">
        <v>46082</v>
      </c>
      <c r="C479" s="3" t="s">
        <v>468</v>
      </c>
      <c r="D479" s="3" t="s">
        <v>440</v>
      </c>
      <c r="E479" s="3" t="s">
        <v>112</v>
      </c>
      <c r="F479" s="15" t="n">
        <v>11630.8</v>
      </c>
      <c r="G479" s="15" t="n">
        <v>4228.83</v>
      </c>
      <c r="H479" s="15" t="n">
        <v>15859.63</v>
      </c>
      <c r="I479" s="7" t="n">
        <v>1</v>
      </c>
      <c r="J479" s="7" t="s">
        <v>1354</v>
      </c>
    </row>
    <row r="480" customFormat="false" ht="15" hidden="false" customHeight="false" outlineLevel="0" collapsed="false">
      <c r="A480" s="3" t="n">
        <v>3</v>
      </c>
      <c r="B480" s="24" t="n">
        <v>46082</v>
      </c>
      <c r="C480" s="3" t="s">
        <v>469</v>
      </c>
      <c r="D480" s="3" t="s">
        <v>440</v>
      </c>
      <c r="E480" s="3" t="s">
        <v>167</v>
      </c>
      <c r="F480" s="15" t="n">
        <v>11786.1</v>
      </c>
      <c r="G480" s="15" t="n">
        <v>4192.62</v>
      </c>
      <c r="H480" s="15" t="n">
        <v>15978.72</v>
      </c>
      <c r="I480" s="7" t="n">
        <v>1</v>
      </c>
      <c r="J480" s="7" t="s">
        <v>1355</v>
      </c>
    </row>
    <row r="481" customFormat="false" ht="15" hidden="false" customHeight="false" outlineLevel="0" collapsed="false">
      <c r="A481" s="3" t="n">
        <v>3</v>
      </c>
      <c r="B481" s="24" t="n">
        <v>46082</v>
      </c>
      <c r="C481" s="3" t="s">
        <v>470</v>
      </c>
      <c r="D481" s="3" t="s">
        <v>471</v>
      </c>
      <c r="E481" s="3" t="s">
        <v>123</v>
      </c>
      <c r="F481" s="15" t="n">
        <v>93617.68</v>
      </c>
      <c r="G481" s="15" t="n">
        <v>32972.02</v>
      </c>
      <c r="H481" s="15" t="n">
        <v>126589.7</v>
      </c>
      <c r="I481" s="7" t="n">
        <v>1</v>
      </c>
      <c r="J481" s="7" t="s">
        <v>1356</v>
      </c>
    </row>
    <row r="482" customFormat="false" ht="15" hidden="false" customHeight="false" outlineLevel="0" collapsed="false">
      <c r="A482" s="3" t="n">
        <v>3</v>
      </c>
      <c r="B482" s="24" t="n">
        <v>46082</v>
      </c>
      <c r="C482" s="3" t="s">
        <v>472</v>
      </c>
      <c r="D482" s="3" t="s">
        <v>226</v>
      </c>
      <c r="E482" s="3" t="s">
        <v>109</v>
      </c>
      <c r="F482" s="15" t="n">
        <v>33834.04</v>
      </c>
      <c r="G482" s="15" t="n">
        <v>10196.56</v>
      </c>
      <c r="H482" s="15" t="n">
        <v>44030.6</v>
      </c>
      <c r="I482" s="7" t="n">
        <v>1</v>
      </c>
      <c r="J482" s="7" t="s">
        <v>1357</v>
      </c>
    </row>
    <row r="483" customFormat="false" ht="15" hidden="false" customHeight="false" outlineLevel="0" collapsed="false">
      <c r="A483" s="3" t="n">
        <v>3</v>
      </c>
      <c r="B483" s="24" t="n">
        <v>46082</v>
      </c>
      <c r="C483" s="3" t="s">
        <v>473</v>
      </c>
      <c r="D483" s="3" t="s">
        <v>222</v>
      </c>
      <c r="E483" s="3" t="s">
        <v>118</v>
      </c>
      <c r="F483" s="15" t="n">
        <v>5946.03</v>
      </c>
      <c r="G483" s="15" t="n">
        <v>0</v>
      </c>
      <c r="H483" s="15" t="n">
        <v>5946.03</v>
      </c>
      <c r="I483" s="7" t="n">
        <v>1</v>
      </c>
      <c r="J483" s="7" t="s">
        <v>1358</v>
      </c>
    </row>
    <row r="484" customFormat="false" ht="15" hidden="false" customHeight="false" outlineLevel="0" collapsed="false">
      <c r="A484" s="3" t="n">
        <v>3</v>
      </c>
      <c r="B484" s="24" t="n">
        <v>46082</v>
      </c>
      <c r="C484" s="3" t="s">
        <v>473</v>
      </c>
      <c r="D484" s="3" t="s">
        <v>222</v>
      </c>
      <c r="E484" s="3" t="s">
        <v>113</v>
      </c>
      <c r="F484" s="15" t="n">
        <v>13754.8</v>
      </c>
      <c r="G484" s="15" t="n">
        <v>0</v>
      </c>
      <c r="H484" s="15" t="n">
        <v>13754.8</v>
      </c>
      <c r="I484" s="7" t="n">
        <v>2</v>
      </c>
      <c r="J484" s="7" t="s">
        <v>1359</v>
      </c>
    </row>
    <row r="485" customFormat="false" ht="15" hidden="false" customHeight="false" outlineLevel="0" collapsed="false">
      <c r="A485" s="3" t="n">
        <v>3</v>
      </c>
      <c r="B485" s="24" t="n">
        <v>46082</v>
      </c>
      <c r="C485" s="3" t="s">
        <v>473</v>
      </c>
      <c r="D485" s="3" t="s">
        <v>222</v>
      </c>
      <c r="E485" s="3" t="s">
        <v>111</v>
      </c>
      <c r="F485" s="15" t="n">
        <v>13898.4</v>
      </c>
      <c r="G485" s="15" t="n">
        <v>0</v>
      </c>
      <c r="H485" s="15" t="n">
        <v>13898.4</v>
      </c>
      <c r="I485" s="7" t="n">
        <v>3</v>
      </c>
      <c r="J485" s="7" t="s">
        <v>1360</v>
      </c>
    </row>
    <row r="486" customFormat="false" ht="15" hidden="false" customHeight="false" outlineLevel="0" collapsed="false">
      <c r="A486" s="3" t="n">
        <v>3</v>
      </c>
      <c r="B486" s="24" t="n">
        <v>46082</v>
      </c>
      <c r="C486" s="3" t="s">
        <v>473</v>
      </c>
      <c r="D486" s="3" t="s">
        <v>222</v>
      </c>
      <c r="E486" s="3" t="s">
        <v>114</v>
      </c>
      <c r="F486" s="15" t="n">
        <v>11147.4</v>
      </c>
      <c r="G486" s="15" t="n">
        <v>0</v>
      </c>
      <c r="H486" s="15" t="n">
        <v>11147.4</v>
      </c>
      <c r="I486" s="7" t="n">
        <v>4</v>
      </c>
      <c r="J486" s="7" t="s">
        <v>1361</v>
      </c>
    </row>
    <row r="487" customFormat="false" ht="15" hidden="false" customHeight="false" outlineLevel="0" collapsed="false">
      <c r="A487" s="3" t="n">
        <v>3</v>
      </c>
      <c r="B487" s="24" t="n">
        <v>46082</v>
      </c>
      <c r="C487" s="3" t="s">
        <v>474</v>
      </c>
      <c r="D487" s="3" t="s">
        <v>222</v>
      </c>
      <c r="E487" s="3" t="s">
        <v>124</v>
      </c>
      <c r="F487" s="15" t="n">
        <v>3114.9</v>
      </c>
      <c r="G487" s="15" t="n">
        <v>0</v>
      </c>
      <c r="H487" s="15" t="n">
        <v>3114.9</v>
      </c>
      <c r="I487" s="7" t="n">
        <v>1</v>
      </c>
      <c r="J487" s="7" t="s">
        <v>1362</v>
      </c>
    </row>
    <row r="488" customFormat="false" ht="15" hidden="false" customHeight="false" outlineLevel="0" collapsed="false">
      <c r="A488" s="3" t="n">
        <v>3</v>
      </c>
      <c r="B488" s="24" t="n">
        <v>46082</v>
      </c>
      <c r="C488" s="3" t="s">
        <v>474</v>
      </c>
      <c r="D488" s="3" t="s">
        <v>222</v>
      </c>
      <c r="E488" s="3" t="s">
        <v>125</v>
      </c>
      <c r="F488" s="15" t="n">
        <v>2694.1</v>
      </c>
      <c r="G488" s="15" t="n">
        <v>0</v>
      </c>
      <c r="H488" s="15" t="n">
        <v>2694.1</v>
      </c>
      <c r="I488" s="7" t="n">
        <v>2</v>
      </c>
      <c r="J488" s="7" t="s">
        <v>1363</v>
      </c>
    </row>
    <row r="489" customFormat="false" ht="15" hidden="false" customHeight="false" outlineLevel="0" collapsed="false">
      <c r="A489" s="3" t="n">
        <v>3</v>
      </c>
      <c r="B489" s="24" t="n">
        <v>46082</v>
      </c>
      <c r="C489" s="3" t="s">
        <v>474</v>
      </c>
      <c r="D489" s="3" t="s">
        <v>222</v>
      </c>
      <c r="E489" s="3" t="s">
        <v>131</v>
      </c>
      <c r="F489" s="15" t="n">
        <v>4008.7</v>
      </c>
      <c r="G489" s="15" t="n">
        <v>0</v>
      </c>
      <c r="H489" s="15" t="n">
        <v>4008.7</v>
      </c>
      <c r="I489" s="7" t="n">
        <v>3</v>
      </c>
      <c r="J489" s="7" t="s">
        <v>1364</v>
      </c>
    </row>
    <row r="490" customFormat="false" ht="15" hidden="false" customHeight="false" outlineLevel="0" collapsed="false">
      <c r="A490" s="3" t="n">
        <v>3</v>
      </c>
      <c r="B490" s="24" t="n">
        <v>46082</v>
      </c>
      <c r="C490" s="3" t="s">
        <v>474</v>
      </c>
      <c r="D490" s="3" t="s">
        <v>222</v>
      </c>
      <c r="E490" s="3" t="s">
        <v>127</v>
      </c>
      <c r="F490" s="15" t="n">
        <v>4240.5</v>
      </c>
      <c r="G490" s="15" t="n">
        <v>0</v>
      </c>
      <c r="H490" s="15" t="n">
        <v>4240.5</v>
      </c>
      <c r="I490" s="7" t="n">
        <v>4</v>
      </c>
      <c r="J490" s="7" t="s">
        <v>1365</v>
      </c>
    </row>
    <row r="491" customFormat="false" ht="15" hidden="false" customHeight="false" outlineLevel="0" collapsed="false">
      <c r="A491" s="3" t="n">
        <v>3</v>
      </c>
      <c r="B491" s="24" t="n">
        <v>46082</v>
      </c>
      <c r="C491" s="3" t="s">
        <v>474</v>
      </c>
      <c r="D491" s="3" t="s">
        <v>222</v>
      </c>
      <c r="E491" s="3" t="s">
        <v>129</v>
      </c>
      <c r="F491" s="15" t="n">
        <v>4674.8</v>
      </c>
      <c r="G491" s="15" t="n">
        <v>0</v>
      </c>
      <c r="H491" s="15" t="n">
        <v>4674.8</v>
      </c>
      <c r="I491" s="7" t="n">
        <v>5</v>
      </c>
      <c r="J491" s="7" t="s">
        <v>1366</v>
      </c>
    </row>
    <row r="492" customFormat="false" ht="15" hidden="false" customHeight="false" outlineLevel="0" collapsed="false">
      <c r="A492" s="3" t="n">
        <v>3</v>
      </c>
      <c r="B492" s="24" t="n">
        <v>46082</v>
      </c>
      <c r="C492" s="3" t="s">
        <v>474</v>
      </c>
      <c r="D492" s="3" t="s">
        <v>222</v>
      </c>
      <c r="E492" s="3" t="s">
        <v>116</v>
      </c>
      <c r="F492" s="15" t="n">
        <v>17571.5</v>
      </c>
      <c r="G492" s="15" t="n">
        <v>0</v>
      </c>
      <c r="H492" s="15" t="n">
        <v>17571.5</v>
      </c>
      <c r="I492" s="7" t="n">
        <v>6</v>
      </c>
      <c r="J492" s="7" t="s">
        <v>1367</v>
      </c>
    </row>
    <row r="493" customFormat="false" ht="15" hidden="false" customHeight="false" outlineLevel="0" collapsed="false">
      <c r="A493" s="3" t="n">
        <v>3</v>
      </c>
      <c r="B493" s="24" t="n">
        <v>46082</v>
      </c>
      <c r="C493" s="3" t="s">
        <v>474</v>
      </c>
      <c r="D493" s="3" t="s">
        <v>222</v>
      </c>
      <c r="E493" s="3" t="s">
        <v>115</v>
      </c>
      <c r="F493" s="15" t="n">
        <v>13305.6</v>
      </c>
      <c r="G493" s="15" t="n">
        <v>0</v>
      </c>
      <c r="H493" s="15" t="n">
        <v>13305.6</v>
      </c>
      <c r="I493" s="7" t="n">
        <v>7</v>
      </c>
      <c r="J493" s="7" t="s">
        <v>1368</v>
      </c>
    </row>
    <row r="494" customFormat="false" ht="15" hidden="false" customHeight="false" outlineLevel="0" collapsed="false">
      <c r="A494" s="3" t="n">
        <v>3</v>
      </c>
      <c r="B494" s="24" t="n">
        <v>46082</v>
      </c>
      <c r="C494" s="3" t="s">
        <v>474</v>
      </c>
      <c r="D494" s="3" t="s">
        <v>222</v>
      </c>
      <c r="E494" s="3" t="s">
        <v>117</v>
      </c>
      <c r="F494" s="15" t="n">
        <v>13932.1</v>
      </c>
      <c r="G494" s="15" t="n">
        <v>0</v>
      </c>
      <c r="H494" s="15" t="n">
        <v>13932.1</v>
      </c>
      <c r="I494" s="7" t="n">
        <v>8</v>
      </c>
      <c r="J494" s="7" t="s">
        <v>1369</v>
      </c>
    </row>
    <row r="495" customFormat="false" ht="15" hidden="false" customHeight="false" outlineLevel="0" collapsed="false">
      <c r="A495" s="3" t="n">
        <v>3</v>
      </c>
      <c r="B495" s="24" t="n">
        <v>46082</v>
      </c>
      <c r="C495" s="3" t="s">
        <v>474</v>
      </c>
      <c r="D495" s="3" t="s">
        <v>222</v>
      </c>
      <c r="E495" s="3" t="s">
        <v>150</v>
      </c>
      <c r="F495" s="15" t="n">
        <v>522.4</v>
      </c>
      <c r="G495" s="15" t="n">
        <v>0</v>
      </c>
      <c r="H495" s="15" t="n">
        <v>522.4</v>
      </c>
      <c r="I495" s="7" t="n">
        <v>9</v>
      </c>
      <c r="J495" s="7" t="s">
        <v>1370</v>
      </c>
    </row>
    <row r="496" customFormat="false" ht="15" hidden="false" customHeight="false" outlineLevel="0" collapsed="false">
      <c r="A496" s="3" t="n">
        <v>3</v>
      </c>
      <c r="B496" s="24" t="n">
        <v>46082</v>
      </c>
      <c r="C496" s="3" t="s">
        <v>474</v>
      </c>
      <c r="D496" s="3" t="s">
        <v>222</v>
      </c>
      <c r="E496" s="3" t="s">
        <v>108</v>
      </c>
      <c r="F496" s="15" t="n">
        <v>82252.5</v>
      </c>
      <c r="G496" s="15" t="n">
        <v>0</v>
      </c>
      <c r="H496" s="15" t="n">
        <v>82252.5</v>
      </c>
      <c r="I496" s="7" t="n">
        <v>10</v>
      </c>
      <c r="J496" s="7" t="s">
        <v>1371</v>
      </c>
    </row>
    <row r="497" customFormat="false" ht="15" hidden="false" customHeight="false" outlineLevel="0" collapsed="false">
      <c r="A497" s="3" t="n">
        <v>3</v>
      </c>
      <c r="B497" s="24" t="n">
        <v>46082</v>
      </c>
      <c r="C497" s="3" t="s">
        <v>474</v>
      </c>
      <c r="D497" s="3" t="s">
        <v>222</v>
      </c>
      <c r="E497" s="3" t="s">
        <v>110</v>
      </c>
      <c r="F497" s="15" t="n">
        <v>71270.96</v>
      </c>
      <c r="G497" s="15" t="n">
        <v>0</v>
      </c>
      <c r="H497" s="15" t="n">
        <v>71270.96</v>
      </c>
      <c r="I497" s="7" t="n">
        <v>11</v>
      </c>
      <c r="J497" s="7" t="s">
        <v>1372</v>
      </c>
    </row>
    <row r="498" customFormat="false" ht="15" hidden="false" customHeight="false" outlineLevel="0" collapsed="false">
      <c r="A498" s="3" t="n">
        <v>3</v>
      </c>
      <c r="B498" s="24" t="n">
        <v>46082</v>
      </c>
      <c r="C498" s="3" t="s">
        <v>474</v>
      </c>
      <c r="D498" s="3" t="s">
        <v>222</v>
      </c>
      <c r="E498" s="3" t="s">
        <v>151</v>
      </c>
      <c r="F498" s="15" t="n">
        <v>310</v>
      </c>
      <c r="G498" s="15" t="n">
        <v>0</v>
      </c>
      <c r="H498" s="15" t="n">
        <v>310</v>
      </c>
      <c r="I498" s="7" t="n">
        <v>12</v>
      </c>
      <c r="J498" s="7" t="s">
        <v>1373</v>
      </c>
    </row>
    <row r="499" customFormat="false" ht="15" hidden="false" customHeight="false" outlineLevel="0" collapsed="false">
      <c r="A499" s="3" t="n">
        <v>3</v>
      </c>
      <c r="B499" s="24" t="n">
        <v>46082</v>
      </c>
      <c r="C499" s="3" t="s">
        <v>474</v>
      </c>
      <c r="D499" s="3" t="s">
        <v>222</v>
      </c>
      <c r="E499" s="3" t="s">
        <v>121</v>
      </c>
      <c r="F499" s="15" t="n">
        <v>5364.8</v>
      </c>
      <c r="G499" s="15" t="n">
        <v>0</v>
      </c>
      <c r="H499" s="15" t="n">
        <v>5364.8</v>
      </c>
      <c r="I499" s="7" t="n">
        <v>13</v>
      </c>
      <c r="J499" s="7" t="s">
        <v>1374</v>
      </c>
    </row>
    <row r="500" customFormat="false" ht="15" hidden="false" customHeight="false" outlineLevel="0" collapsed="false">
      <c r="A500" s="3" t="n">
        <v>3</v>
      </c>
      <c r="B500" s="24" t="n">
        <v>46082</v>
      </c>
      <c r="C500" s="3" t="s">
        <v>474</v>
      </c>
      <c r="D500" s="3" t="s">
        <v>222</v>
      </c>
      <c r="E500" s="3" t="s">
        <v>132</v>
      </c>
      <c r="F500" s="15" t="n">
        <v>4018.6</v>
      </c>
      <c r="G500" s="15" t="n">
        <v>0</v>
      </c>
      <c r="H500" s="15" t="n">
        <v>4018.6</v>
      </c>
      <c r="I500" s="7" t="n">
        <v>14</v>
      </c>
      <c r="J500" s="7" t="s">
        <v>1375</v>
      </c>
    </row>
    <row r="501" customFormat="false" ht="15" hidden="false" customHeight="false" outlineLevel="0" collapsed="false">
      <c r="A501" s="3" t="n">
        <v>3</v>
      </c>
      <c r="B501" s="24" t="n">
        <v>46082</v>
      </c>
      <c r="C501" s="3" t="s">
        <v>475</v>
      </c>
      <c r="D501" s="3" t="s">
        <v>222</v>
      </c>
      <c r="E501" s="3" t="s">
        <v>160</v>
      </c>
      <c r="F501" s="15" t="n">
        <v>600.3</v>
      </c>
      <c r="G501" s="15" t="n">
        <v>0</v>
      </c>
      <c r="H501" s="15" t="n">
        <v>600.3</v>
      </c>
      <c r="I501" s="7" t="n">
        <v>1</v>
      </c>
      <c r="J501" s="7" t="s">
        <v>1376</v>
      </c>
    </row>
    <row r="502" customFormat="false" ht="15" hidden="false" customHeight="false" outlineLevel="0" collapsed="false">
      <c r="A502" s="3" t="n">
        <v>3</v>
      </c>
      <c r="B502" s="24" t="n">
        <v>46082</v>
      </c>
      <c r="C502" s="3" t="s">
        <v>475</v>
      </c>
      <c r="D502" s="3" t="s">
        <v>222</v>
      </c>
      <c r="E502" s="3" t="s">
        <v>140</v>
      </c>
      <c r="F502" s="15" t="n">
        <v>822.24</v>
      </c>
      <c r="G502" s="15" t="n">
        <v>0</v>
      </c>
      <c r="H502" s="15" t="n">
        <v>822.24</v>
      </c>
      <c r="I502" s="7" t="n">
        <v>2</v>
      </c>
      <c r="J502" s="7" t="s">
        <v>1377</v>
      </c>
    </row>
    <row r="503" customFormat="false" ht="15" hidden="false" customHeight="false" outlineLevel="0" collapsed="false">
      <c r="A503" s="3" t="n">
        <v>3</v>
      </c>
      <c r="B503" s="24" t="n">
        <v>46082</v>
      </c>
      <c r="C503" s="3" t="s">
        <v>476</v>
      </c>
      <c r="D503" s="3" t="s">
        <v>222</v>
      </c>
      <c r="E503" s="3" t="s">
        <v>120</v>
      </c>
      <c r="F503" s="15" t="n">
        <v>26244.79</v>
      </c>
      <c r="G503" s="15" t="n">
        <v>0</v>
      </c>
      <c r="H503" s="15" t="n">
        <v>26244.79</v>
      </c>
      <c r="I503" s="7" t="n">
        <v>1</v>
      </c>
      <c r="J503" s="7" t="s">
        <v>1378</v>
      </c>
    </row>
    <row r="504" customFormat="false" ht="15" hidden="false" customHeight="false" outlineLevel="0" collapsed="false">
      <c r="A504" s="3" t="n">
        <v>3</v>
      </c>
      <c r="B504" s="24" t="n">
        <v>46082</v>
      </c>
      <c r="C504" s="3" t="s">
        <v>476</v>
      </c>
      <c r="D504" s="3" t="s">
        <v>222</v>
      </c>
      <c r="E504" s="3" t="s">
        <v>126</v>
      </c>
      <c r="F504" s="15" t="n">
        <v>4962.33</v>
      </c>
      <c r="G504" s="15" t="n">
        <v>0</v>
      </c>
      <c r="H504" s="15" t="n">
        <v>4962.33</v>
      </c>
      <c r="I504" s="7" t="n">
        <v>2</v>
      </c>
      <c r="J504" s="7" t="s">
        <v>1379</v>
      </c>
    </row>
    <row r="505" customFormat="false" ht="15" hidden="false" customHeight="false" outlineLevel="0" collapsed="false">
      <c r="A505" s="3" t="n">
        <v>3</v>
      </c>
      <c r="B505" s="24" t="n">
        <v>46082</v>
      </c>
      <c r="C505" s="3" t="s">
        <v>476</v>
      </c>
      <c r="D505" s="3" t="s">
        <v>222</v>
      </c>
      <c r="E505" s="3" t="s">
        <v>158</v>
      </c>
      <c r="F505" s="15" t="n">
        <v>1549.95</v>
      </c>
      <c r="G505" s="15" t="n">
        <v>0</v>
      </c>
      <c r="H505" s="15" t="n">
        <v>1549.95</v>
      </c>
      <c r="I505" s="7" t="n">
        <v>3</v>
      </c>
      <c r="J505" s="7" t="s">
        <v>1380</v>
      </c>
    </row>
    <row r="506" customFormat="false" ht="15" hidden="false" customHeight="false" outlineLevel="0" collapsed="false">
      <c r="A506" s="3" t="n">
        <v>3</v>
      </c>
      <c r="B506" s="24" t="n">
        <v>46082</v>
      </c>
      <c r="C506" s="3" t="s">
        <v>477</v>
      </c>
      <c r="D506" s="3" t="s">
        <v>226</v>
      </c>
      <c r="E506" s="3" t="s">
        <v>109</v>
      </c>
      <c r="F506" s="15" t="n">
        <v>5858.97</v>
      </c>
      <c r="G506" s="15" t="n">
        <v>0</v>
      </c>
      <c r="H506" s="15" t="n">
        <v>5858.97</v>
      </c>
      <c r="I506" s="7" t="n">
        <v>1</v>
      </c>
      <c r="J506" s="7" t="s">
        <v>1381</v>
      </c>
    </row>
    <row r="507" customFormat="false" ht="15" hidden="false" customHeight="false" outlineLevel="0" collapsed="false">
      <c r="A507" s="3" t="n">
        <v>3</v>
      </c>
      <c r="B507" s="24" t="n">
        <v>46082</v>
      </c>
      <c r="C507" s="3" t="s">
        <v>478</v>
      </c>
      <c r="D507" s="3" t="s">
        <v>217</v>
      </c>
      <c r="E507" s="3" t="s">
        <v>145</v>
      </c>
      <c r="F507" s="15" t="n">
        <v>6834</v>
      </c>
      <c r="G507" s="15" t="n">
        <v>0</v>
      </c>
      <c r="H507" s="15" t="n">
        <v>6834</v>
      </c>
      <c r="I507" s="7" t="n">
        <v>1</v>
      </c>
      <c r="J507" s="7" t="s">
        <v>1382</v>
      </c>
    </row>
    <row r="508" customFormat="false" ht="15" hidden="false" customHeight="false" outlineLevel="0" collapsed="false">
      <c r="A508" s="3" t="n">
        <v>3</v>
      </c>
      <c r="B508" s="24" t="n">
        <v>46082</v>
      </c>
      <c r="C508" s="3" t="s">
        <v>478</v>
      </c>
      <c r="D508" s="3" t="s">
        <v>217</v>
      </c>
      <c r="E508" s="3" t="s">
        <v>159</v>
      </c>
      <c r="F508" s="15" t="n">
        <v>2077.85</v>
      </c>
      <c r="G508" s="15" t="n">
        <v>0</v>
      </c>
      <c r="H508" s="15" t="n">
        <v>2077.85</v>
      </c>
      <c r="I508" s="7" t="n">
        <v>2</v>
      </c>
      <c r="J508" s="7" t="s">
        <v>1383</v>
      </c>
    </row>
    <row r="509" customFormat="false" ht="15" hidden="false" customHeight="false" outlineLevel="0" collapsed="false">
      <c r="A509" s="3" t="n">
        <v>3</v>
      </c>
      <c r="B509" s="24" t="n">
        <v>46082</v>
      </c>
      <c r="C509" s="3" t="s">
        <v>479</v>
      </c>
      <c r="D509" s="3" t="s">
        <v>217</v>
      </c>
      <c r="E509" s="3" t="s">
        <v>109</v>
      </c>
      <c r="F509" s="15" t="n">
        <v>5425.5</v>
      </c>
      <c r="G509" s="15" t="n">
        <v>0</v>
      </c>
      <c r="H509" s="15" t="n">
        <v>5425.5</v>
      </c>
      <c r="I509" s="7" t="n">
        <v>1</v>
      </c>
      <c r="J509" s="7" t="s">
        <v>1384</v>
      </c>
    </row>
    <row r="510" customFormat="false" ht="15" hidden="false" customHeight="false" outlineLevel="0" collapsed="false">
      <c r="A510" s="3" t="n">
        <v>3</v>
      </c>
      <c r="B510" s="24" t="n">
        <v>46082</v>
      </c>
      <c r="C510" s="3" t="s">
        <v>480</v>
      </c>
      <c r="D510" s="3" t="s">
        <v>217</v>
      </c>
      <c r="E510" s="3" t="s">
        <v>112</v>
      </c>
      <c r="F510" s="15" t="n">
        <v>2921.35</v>
      </c>
      <c r="G510" s="15" t="n">
        <v>0</v>
      </c>
      <c r="H510" s="15" t="n">
        <v>2921.35</v>
      </c>
      <c r="I510" s="7" t="n">
        <v>1</v>
      </c>
      <c r="J510" s="7" t="s">
        <v>1385</v>
      </c>
    </row>
    <row r="511" customFormat="false" ht="15" hidden="false" customHeight="false" outlineLevel="0" collapsed="false">
      <c r="A511" s="3" t="n">
        <v>3</v>
      </c>
      <c r="B511" s="24" t="n">
        <v>46082</v>
      </c>
      <c r="C511" s="3" t="s">
        <v>481</v>
      </c>
      <c r="D511" s="3" t="s">
        <v>219</v>
      </c>
      <c r="E511" s="3" t="s">
        <v>153</v>
      </c>
      <c r="F511" s="15" t="n">
        <v>5004.37</v>
      </c>
      <c r="G511" s="15" t="n">
        <v>0</v>
      </c>
      <c r="H511" s="15" t="n">
        <v>5004.37</v>
      </c>
      <c r="I511" s="7" t="n">
        <v>1</v>
      </c>
      <c r="J511" s="7" t="s">
        <v>1386</v>
      </c>
    </row>
    <row r="512" customFormat="false" ht="15" hidden="false" customHeight="false" outlineLevel="0" collapsed="false">
      <c r="A512" s="3" t="n">
        <v>3</v>
      </c>
      <c r="B512" s="24" t="n">
        <v>46082</v>
      </c>
      <c r="C512" s="3" t="s">
        <v>482</v>
      </c>
      <c r="D512" s="3" t="s">
        <v>219</v>
      </c>
      <c r="E512" s="3" t="s">
        <v>112</v>
      </c>
      <c r="F512" s="15" t="n">
        <v>29580.18</v>
      </c>
      <c r="G512" s="15" t="n">
        <v>0</v>
      </c>
      <c r="H512" s="15" t="n">
        <v>29580.18</v>
      </c>
      <c r="I512" s="7" t="n">
        <v>1</v>
      </c>
      <c r="J512" s="7" t="s">
        <v>1387</v>
      </c>
    </row>
    <row r="513" customFormat="false" ht="15" hidden="false" customHeight="false" outlineLevel="0" collapsed="false">
      <c r="A513" s="3" t="n">
        <v>3</v>
      </c>
      <c r="B513" s="24" t="n">
        <v>46082</v>
      </c>
      <c r="C513" s="3" t="s">
        <v>483</v>
      </c>
      <c r="D513" s="3" t="s">
        <v>219</v>
      </c>
      <c r="E513" s="3" t="s">
        <v>130</v>
      </c>
      <c r="F513" s="15" t="n">
        <v>3501.85</v>
      </c>
      <c r="G513" s="15" t="n">
        <v>0</v>
      </c>
      <c r="H513" s="15" t="n">
        <v>3501.85</v>
      </c>
      <c r="I513" s="7" t="n">
        <v>1</v>
      </c>
      <c r="J513" s="7" t="s">
        <v>1388</v>
      </c>
    </row>
    <row r="514" customFormat="false" ht="15" hidden="false" customHeight="false" outlineLevel="0" collapsed="false">
      <c r="A514" s="3" t="n">
        <v>3</v>
      </c>
      <c r="B514" s="24" t="n">
        <v>46082</v>
      </c>
      <c r="C514" s="3" t="s">
        <v>484</v>
      </c>
      <c r="D514" s="3" t="s">
        <v>219</v>
      </c>
      <c r="E514" s="3" t="s">
        <v>109</v>
      </c>
      <c r="F514" s="15" t="n">
        <v>32775.47</v>
      </c>
      <c r="G514" s="15" t="n">
        <v>0</v>
      </c>
      <c r="H514" s="15" t="n">
        <v>32775.47</v>
      </c>
      <c r="I514" s="7" t="n">
        <v>1</v>
      </c>
      <c r="J514" s="7" t="s">
        <v>1389</v>
      </c>
    </row>
    <row r="515" customFormat="false" ht="15" hidden="false" customHeight="false" outlineLevel="0" collapsed="false">
      <c r="A515" s="3" t="n">
        <v>3</v>
      </c>
      <c r="B515" s="24" t="n">
        <v>46082</v>
      </c>
      <c r="C515" s="3" t="s">
        <v>485</v>
      </c>
      <c r="D515" s="3" t="s">
        <v>228</v>
      </c>
      <c r="E515" s="3" t="s">
        <v>122</v>
      </c>
      <c r="F515" s="15" t="n">
        <v>14865.28</v>
      </c>
      <c r="G515" s="15" t="n">
        <v>0</v>
      </c>
      <c r="H515" s="15" t="n">
        <v>14865.28</v>
      </c>
      <c r="I515" s="7" t="n">
        <v>1</v>
      </c>
      <c r="J515" s="7" t="s">
        <v>1390</v>
      </c>
    </row>
    <row r="516" customFormat="false" ht="15" hidden="false" customHeight="false" outlineLevel="0" collapsed="false">
      <c r="A516" s="3" t="n">
        <v>3</v>
      </c>
      <c r="B516" s="24" t="n">
        <v>46082</v>
      </c>
      <c r="C516" s="3" t="s">
        <v>485</v>
      </c>
      <c r="D516" s="3" t="s">
        <v>228</v>
      </c>
      <c r="E516" s="3" t="s">
        <v>109</v>
      </c>
      <c r="F516" s="15" t="n">
        <v>3220.43</v>
      </c>
      <c r="G516" s="15" t="n">
        <v>0</v>
      </c>
      <c r="H516" s="15" t="n">
        <v>3220.43</v>
      </c>
      <c r="I516" s="7" t="n">
        <v>2</v>
      </c>
      <c r="J516" s="7" t="s">
        <v>1391</v>
      </c>
    </row>
    <row r="517" customFormat="false" ht="15" hidden="false" customHeight="false" outlineLevel="0" collapsed="false">
      <c r="A517" s="3" t="n">
        <v>3</v>
      </c>
      <c r="B517" s="24" t="n">
        <v>46082</v>
      </c>
      <c r="C517" s="3" t="s">
        <v>486</v>
      </c>
      <c r="D517" s="3" t="s">
        <v>228</v>
      </c>
      <c r="E517" s="3" t="s">
        <v>112</v>
      </c>
      <c r="F517" s="15" t="n">
        <v>7511.1</v>
      </c>
      <c r="G517" s="15" t="n">
        <v>0</v>
      </c>
      <c r="H517" s="15" t="n">
        <v>7511.1</v>
      </c>
      <c r="I517" s="7" t="n">
        <v>1</v>
      </c>
      <c r="J517" s="7" t="s">
        <v>1392</v>
      </c>
    </row>
    <row r="518" customFormat="false" ht="15" hidden="false" customHeight="false" outlineLevel="0" collapsed="false">
      <c r="A518" s="3" t="n">
        <v>3</v>
      </c>
      <c r="B518" s="24" t="n">
        <v>46082</v>
      </c>
      <c r="C518" s="3" t="s">
        <v>487</v>
      </c>
      <c r="D518" s="3" t="s">
        <v>212</v>
      </c>
      <c r="E518" s="3" t="s">
        <v>109</v>
      </c>
      <c r="F518" s="15" t="n">
        <v>1754.15</v>
      </c>
      <c r="G518" s="15" t="n">
        <v>0</v>
      </c>
      <c r="H518" s="15" t="n">
        <v>1754.15</v>
      </c>
      <c r="I518" s="7" t="n">
        <v>1</v>
      </c>
      <c r="J518" s="7" t="s">
        <v>1393</v>
      </c>
    </row>
    <row r="519" customFormat="false" ht="15" hidden="false" customHeight="false" outlineLevel="0" collapsed="false">
      <c r="A519" s="3" t="n">
        <v>3</v>
      </c>
      <c r="B519" s="24" t="n">
        <v>46082</v>
      </c>
      <c r="C519" s="3" t="s">
        <v>487</v>
      </c>
      <c r="D519" s="3" t="s">
        <v>212</v>
      </c>
      <c r="E519" s="3" t="s">
        <v>148</v>
      </c>
      <c r="F519" s="15" t="n">
        <v>888.1</v>
      </c>
      <c r="G519" s="15" t="n">
        <v>0</v>
      </c>
      <c r="H519" s="15" t="n">
        <v>888.1</v>
      </c>
      <c r="I519" s="7" t="n">
        <v>2</v>
      </c>
      <c r="J519" s="7" t="s">
        <v>1394</v>
      </c>
    </row>
    <row r="520" customFormat="false" ht="15" hidden="false" customHeight="false" outlineLevel="0" collapsed="false">
      <c r="A520" s="3" t="n">
        <v>3</v>
      </c>
      <c r="B520" s="24" t="n">
        <v>46082</v>
      </c>
      <c r="C520" s="3" t="s">
        <v>487</v>
      </c>
      <c r="D520" s="3" t="s">
        <v>212</v>
      </c>
      <c r="E520" s="3" t="s">
        <v>144</v>
      </c>
      <c r="F520" s="15" t="n">
        <v>888.1</v>
      </c>
      <c r="G520" s="15" t="n">
        <v>0</v>
      </c>
      <c r="H520" s="15" t="n">
        <v>888.1</v>
      </c>
      <c r="I520" s="7" t="n">
        <v>3</v>
      </c>
      <c r="J520" s="7" t="s">
        <v>1395</v>
      </c>
    </row>
    <row r="521" customFormat="false" ht="15" hidden="false" customHeight="false" outlineLevel="0" collapsed="false">
      <c r="A521" s="3" t="n">
        <v>3</v>
      </c>
      <c r="B521" s="24" t="n">
        <v>46082</v>
      </c>
      <c r="C521" s="3" t="s">
        <v>487</v>
      </c>
      <c r="D521" s="3" t="s">
        <v>212</v>
      </c>
      <c r="E521" s="3" t="s">
        <v>147</v>
      </c>
      <c r="F521" s="15" t="n">
        <v>717.4</v>
      </c>
      <c r="G521" s="15" t="n">
        <v>0</v>
      </c>
      <c r="H521" s="15" t="n">
        <v>717.4</v>
      </c>
      <c r="I521" s="7" t="n">
        <v>4</v>
      </c>
      <c r="J521" s="7" t="s">
        <v>1396</v>
      </c>
    </row>
    <row r="522" customFormat="false" ht="15" hidden="false" customHeight="false" outlineLevel="0" collapsed="false">
      <c r="A522" s="3" t="n">
        <v>3</v>
      </c>
      <c r="B522" s="24" t="n">
        <v>46082</v>
      </c>
      <c r="C522" s="3" t="s">
        <v>487</v>
      </c>
      <c r="D522" s="3" t="s">
        <v>212</v>
      </c>
      <c r="E522" s="3" t="s">
        <v>135</v>
      </c>
      <c r="F522" s="15" t="n">
        <v>884.6</v>
      </c>
      <c r="G522" s="15" t="n">
        <v>0</v>
      </c>
      <c r="H522" s="15" t="n">
        <v>884.6</v>
      </c>
      <c r="I522" s="7" t="n">
        <v>5</v>
      </c>
      <c r="J522" s="7" t="s">
        <v>1397</v>
      </c>
    </row>
    <row r="523" customFormat="false" ht="15" hidden="false" customHeight="false" outlineLevel="0" collapsed="false">
      <c r="A523" s="3" t="n">
        <v>3</v>
      </c>
      <c r="B523" s="24" t="n">
        <v>46082</v>
      </c>
      <c r="C523" s="3" t="s">
        <v>487</v>
      </c>
      <c r="D523" s="3" t="s">
        <v>212</v>
      </c>
      <c r="E523" s="3" t="s">
        <v>176</v>
      </c>
      <c r="F523" s="15" t="n">
        <v>3.5</v>
      </c>
      <c r="G523" s="15" t="n">
        <v>0</v>
      </c>
      <c r="H523" s="15" t="n">
        <v>3.5</v>
      </c>
      <c r="I523" s="7" t="n">
        <v>6</v>
      </c>
      <c r="J523" s="7" t="s">
        <v>1398</v>
      </c>
    </row>
    <row r="524" customFormat="false" ht="15" hidden="false" customHeight="false" outlineLevel="0" collapsed="false">
      <c r="A524" s="3" t="n">
        <v>3</v>
      </c>
      <c r="B524" s="24" t="n">
        <v>46082</v>
      </c>
      <c r="C524" s="3" t="s">
        <v>487</v>
      </c>
      <c r="D524" s="3" t="s">
        <v>212</v>
      </c>
      <c r="E524" s="3" t="s">
        <v>119</v>
      </c>
      <c r="F524" s="15" t="n">
        <v>44797.68</v>
      </c>
      <c r="G524" s="15" t="n">
        <v>0</v>
      </c>
      <c r="H524" s="15" t="n">
        <v>44797.68</v>
      </c>
      <c r="I524" s="7" t="n">
        <v>7</v>
      </c>
      <c r="J524" s="7" t="s">
        <v>1399</v>
      </c>
    </row>
    <row r="525" customFormat="false" ht="15" hidden="false" customHeight="false" outlineLevel="0" collapsed="false">
      <c r="A525" s="3" t="n">
        <v>3</v>
      </c>
      <c r="B525" s="24" t="n">
        <v>46082</v>
      </c>
      <c r="C525" s="3" t="s">
        <v>487</v>
      </c>
      <c r="D525" s="3" t="s">
        <v>212</v>
      </c>
      <c r="E525" s="3" t="s">
        <v>142</v>
      </c>
      <c r="F525" s="15" t="n">
        <v>2677.32</v>
      </c>
      <c r="G525" s="15" t="n">
        <v>0</v>
      </c>
      <c r="H525" s="15" t="n">
        <v>2677.32</v>
      </c>
      <c r="I525" s="7" t="n">
        <v>8</v>
      </c>
      <c r="J525" s="7" t="s">
        <v>1400</v>
      </c>
    </row>
    <row r="526" customFormat="false" ht="15" hidden="false" customHeight="false" outlineLevel="0" collapsed="false">
      <c r="A526" s="3" t="n">
        <v>3</v>
      </c>
      <c r="B526" s="24" t="n">
        <v>46082</v>
      </c>
      <c r="C526" s="3" t="s">
        <v>488</v>
      </c>
      <c r="D526" s="3" t="s">
        <v>214</v>
      </c>
      <c r="E526" s="3" t="s">
        <v>165</v>
      </c>
      <c r="F526" s="15" t="n">
        <v>1897.98</v>
      </c>
      <c r="G526" s="15" t="n">
        <v>0</v>
      </c>
      <c r="H526" s="15" t="n">
        <v>1897.98</v>
      </c>
      <c r="I526" s="7" t="n">
        <v>1</v>
      </c>
      <c r="J526" s="7" t="s">
        <v>1401</v>
      </c>
    </row>
    <row r="527" customFormat="false" ht="15" hidden="false" customHeight="false" outlineLevel="0" collapsed="false">
      <c r="A527" s="3" t="n">
        <v>3</v>
      </c>
      <c r="B527" s="24" t="n">
        <v>46082</v>
      </c>
      <c r="C527" s="3" t="s">
        <v>489</v>
      </c>
      <c r="D527" s="3" t="s">
        <v>214</v>
      </c>
      <c r="E527" s="3" t="s">
        <v>112</v>
      </c>
      <c r="F527" s="15" t="n">
        <v>3443.53</v>
      </c>
      <c r="G527" s="15" t="n">
        <v>0</v>
      </c>
      <c r="H527" s="15" t="n">
        <v>3443.53</v>
      </c>
      <c r="I527" s="7" t="n">
        <v>1</v>
      </c>
      <c r="J527" s="7" t="s">
        <v>1402</v>
      </c>
    </row>
    <row r="528" customFormat="false" ht="15" hidden="false" customHeight="false" outlineLevel="0" collapsed="false">
      <c r="A528" s="3" t="n">
        <v>3</v>
      </c>
      <c r="B528" s="24" t="n">
        <v>46082</v>
      </c>
      <c r="C528" s="3" t="s">
        <v>490</v>
      </c>
      <c r="D528" s="3" t="s">
        <v>231</v>
      </c>
      <c r="E528" s="3" t="s">
        <v>134</v>
      </c>
      <c r="F528" s="15" t="n">
        <v>7716.03</v>
      </c>
      <c r="G528" s="15" t="n">
        <v>0</v>
      </c>
      <c r="H528" s="15" t="n">
        <v>7716.03</v>
      </c>
      <c r="I528" s="7" t="n">
        <v>1</v>
      </c>
      <c r="J528" s="7" t="s">
        <v>1403</v>
      </c>
    </row>
    <row r="529" customFormat="false" ht="15" hidden="false" customHeight="false" outlineLevel="0" collapsed="false">
      <c r="A529" s="3" t="n">
        <v>3</v>
      </c>
      <c r="B529" s="24" t="n">
        <v>46082</v>
      </c>
      <c r="C529" s="3" t="s">
        <v>491</v>
      </c>
      <c r="D529" s="3" t="s">
        <v>231</v>
      </c>
      <c r="E529" s="3" t="s">
        <v>112</v>
      </c>
      <c r="F529" s="15" t="n">
        <v>17380.38</v>
      </c>
      <c r="G529" s="15" t="n">
        <v>0</v>
      </c>
      <c r="H529" s="15" t="n">
        <v>17380.38</v>
      </c>
      <c r="I529" s="7" t="n">
        <v>1</v>
      </c>
      <c r="J529" s="7" t="s">
        <v>1404</v>
      </c>
    </row>
    <row r="530" customFormat="false" ht="15" hidden="false" customHeight="false" outlineLevel="0" collapsed="false">
      <c r="A530" s="3" t="n">
        <v>3</v>
      </c>
      <c r="B530" s="24" t="n">
        <v>46082</v>
      </c>
      <c r="C530" s="3" t="s">
        <v>492</v>
      </c>
      <c r="D530" s="3" t="s">
        <v>440</v>
      </c>
      <c r="E530" s="3" t="s">
        <v>141</v>
      </c>
      <c r="F530" s="15" t="n">
        <v>5267.8</v>
      </c>
      <c r="G530" s="15" t="n">
        <v>0</v>
      </c>
      <c r="H530" s="15" t="n">
        <v>5267.8</v>
      </c>
      <c r="I530" s="7" t="n">
        <v>1</v>
      </c>
      <c r="J530" s="7" t="s">
        <v>1405</v>
      </c>
    </row>
    <row r="531" customFormat="false" ht="15" hidden="false" customHeight="false" outlineLevel="0" collapsed="false">
      <c r="A531" s="3" t="n">
        <v>3</v>
      </c>
      <c r="B531" s="24" t="n">
        <v>46082</v>
      </c>
      <c r="C531" s="3" t="s">
        <v>493</v>
      </c>
      <c r="D531" s="3" t="s">
        <v>440</v>
      </c>
      <c r="E531" s="3" t="s">
        <v>112</v>
      </c>
      <c r="F531" s="15" t="n">
        <v>10139.36</v>
      </c>
      <c r="G531" s="15" t="n">
        <v>0</v>
      </c>
      <c r="H531" s="15" t="n">
        <v>10139.36</v>
      </c>
      <c r="I531" s="7" t="n">
        <v>1</v>
      </c>
      <c r="J531" s="7" t="s">
        <v>1406</v>
      </c>
    </row>
    <row r="532" customFormat="false" ht="15" hidden="false" customHeight="false" outlineLevel="0" collapsed="false">
      <c r="A532" s="3" t="n">
        <v>3</v>
      </c>
      <c r="B532" s="24" t="n">
        <v>46082</v>
      </c>
      <c r="C532" s="3" t="s">
        <v>494</v>
      </c>
      <c r="D532" s="3" t="s">
        <v>440</v>
      </c>
      <c r="E532" s="3" t="s">
        <v>155</v>
      </c>
      <c r="F532" s="15" t="n">
        <v>3841.84</v>
      </c>
      <c r="G532" s="15" t="n">
        <v>0</v>
      </c>
      <c r="H532" s="15" t="n">
        <v>3841.84</v>
      </c>
      <c r="I532" s="7" t="n">
        <v>1</v>
      </c>
      <c r="J532" s="7" t="s">
        <v>1407</v>
      </c>
    </row>
    <row r="533" customFormat="false" ht="15" hidden="false" customHeight="false" outlineLevel="0" collapsed="false">
      <c r="A533" s="3" t="n">
        <v>3</v>
      </c>
      <c r="B533" s="24" t="n">
        <v>46082</v>
      </c>
      <c r="C533" s="3" t="s">
        <v>495</v>
      </c>
      <c r="D533" s="3" t="s">
        <v>440</v>
      </c>
      <c r="E533" s="3" t="s">
        <v>112</v>
      </c>
      <c r="F533" s="15" t="n">
        <v>12075.55</v>
      </c>
      <c r="G533" s="15" t="n">
        <v>0</v>
      </c>
      <c r="H533" s="15" t="n">
        <v>12075.55</v>
      </c>
      <c r="I533" s="7" t="n">
        <v>1</v>
      </c>
      <c r="J533" s="7" t="s">
        <v>1408</v>
      </c>
    </row>
    <row r="534" customFormat="false" ht="15" hidden="false" customHeight="false" outlineLevel="0" collapsed="false">
      <c r="A534" s="3" t="n">
        <v>3</v>
      </c>
      <c r="B534" s="24" t="n">
        <v>46082</v>
      </c>
      <c r="C534" s="3" t="s">
        <v>496</v>
      </c>
      <c r="D534" s="3" t="s">
        <v>440</v>
      </c>
      <c r="E534" s="3" t="s">
        <v>130</v>
      </c>
      <c r="F534" s="15" t="n">
        <v>400.63</v>
      </c>
      <c r="G534" s="15" t="n">
        <v>0</v>
      </c>
      <c r="H534" s="15" t="n">
        <v>400.63</v>
      </c>
      <c r="I534" s="7" t="n">
        <v>1</v>
      </c>
      <c r="J534" s="7" t="s">
        <v>1409</v>
      </c>
    </row>
    <row r="535" customFormat="false" ht="15" hidden="false" customHeight="false" outlineLevel="0" collapsed="false">
      <c r="A535" s="3" t="n">
        <v>3</v>
      </c>
      <c r="B535" s="24" t="n">
        <v>46082</v>
      </c>
      <c r="C535" s="3" t="s">
        <v>497</v>
      </c>
      <c r="D535" s="3" t="s">
        <v>440</v>
      </c>
      <c r="E535" s="3" t="s">
        <v>109</v>
      </c>
      <c r="F535" s="15" t="n">
        <v>24762.56</v>
      </c>
      <c r="G535" s="15" t="n">
        <v>0</v>
      </c>
      <c r="H535" s="15" t="n">
        <v>24762.56</v>
      </c>
      <c r="I535" s="7" t="n">
        <v>1</v>
      </c>
      <c r="J535" s="7" t="s">
        <v>1410</v>
      </c>
    </row>
    <row r="536" customFormat="false" ht="15" hidden="false" customHeight="false" outlineLevel="0" collapsed="false">
      <c r="A536" s="3" t="n">
        <v>3</v>
      </c>
      <c r="B536" s="24" t="n">
        <v>46082</v>
      </c>
      <c r="C536" s="3" t="s">
        <v>497</v>
      </c>
      <c r="D536" s="3" t="s">
        <v>440</v>
      </c>
      <c r="E536" s="3" t="s">
        <v>133</v>
      </c>
      <c r="F536" s="15" t="n">
        <v>13060.1</v>
      </c>
      <c r="G536" s="15" t="n">
        <v>0</v>
      </c>
      <c r="H536" s="15" t="n">
        <v>13060.1</v>
      </c>
      <c r="I536" s="7" t="n">
        <v>2</v>
      </c>
      <c r="J536" s="7" t="s">
        <v>1411</v>
      </c>
    </row>
    <row r="537" customFormat="false" ht="15" hidden="false" customHeight="false" outlineLevel="0" collapsed="false">
      <c r="A537" s="3" t="n">
        <v>3</v>
      </c>
      <c r="B537" s="24" t="n">
        <v>46082</v>
      </c>
      <c r="C537" s="3" t="s">
        <v>498</v>
      </c>
      <c r="D537" s="3" t="s">
        <v>440</v>
      </c>
      <c r="E537" s="3" t="s">
        <v>109</v>
      </c>
      <c r="F537" s="15" t="n">
        <v>55456.86</v>
      </c>
      <c r="G537" s="15" t="n">
        <v>0</v>
      </c>
      <c r="H537" s="15" t="n">
        <v>55456.86</v>
      </c>
      <c r="I537" s="7" t="n">
        <v>1</v>
      </c>
      <c r="J537" s="7" t="s">
        <v>1412</v>
      </c>
    </row>
    <row r="538" customFormat="false" ht="15" hidden="false" customHeight="false" outlineLevel="0" collapsed="false">
      <c r="A538" s="3" t="n">
        <v>3</v>
      </c>
      <c r="B538" s="24" t="n">
        <v>46082</v>
      </c>
      <c r="C538" s="3" t="s">
        <v>499</v>
      </c>
      <c r="D538" s="3" t="s">
        <v>440</v>
      </c>
      <c r="E538" s="3" t="s">
        <v>112</v>
      </c>
      <c r="F538" s="15" t="n">
        <v>9346.23</v>
      </c>
      <c r="G538" s="15" t="n">
        <v>0</v>
      </c>
      <c r="H538" s="15" t="n">
        <v>9346.23</v>
      </c>
      <c r="I538" s="7" t="n">
        <v>1</v>
      </c>
      <c r="J538" s="7" t="s">
        <v>1413</v>
      </c>
    </row>
    <row r="539" customFormat="false" ht="15" hidden="false" customHeight="false" outlineLevel="0" collapsed="false">
      <c r="A539" s="3" t="n">
        <v>3</v>
      </c>
      <c r="B539" s="24" t="n">
        <v>46082</v>
      </c>
      <c r="C539" s="3" t="s">
        <v>499</v>
      </c>
      <c r="D539" s="3" t="s">
        <v>440</v>
      </c>
      <c r="E539" s="3" t="s">
        <v>164</v>
      </c>
      <c r="F539" s="15" t="n">
        <v>1416.89</v>
      </c>
      <c r="G539" s="15" t="n">
        <v>0</v>
      </c>
      <c r="H539" s="15" t="n">
        <v>1416.89</v>
      </c>
      <c r="I539" s="7" t="n">
        <v>2</v>
      </c>
      <c r="J539" s="7" t="s">
        <v>1414</v>
      </c>
    </row>
    <row r="540" customFormat="false" ht="15" hidden="false" customHeight="false" outlineLevel="0" collapsed="false">
      <c r="A540" s="3" t="n">
        <v>3</v>
      </c>
      <c r="B540" s="24" t="n">
        <v>46082</v>
      </c>
      <c r="C540" s="3" t="s">
        <v>499</v>
      </c>
      <c r="D540" s="3" t="s">
        <v>440</v>
      </c>
      <c r="E540" s="3" t="s">
        <v>157</v>
      </c>
      <c r="F540" s="15" t="n">
        <v>1729.52</v>
      </c>
      <c r="G540" s="15" t="n">
        <v>0</v>
      </c>
      <c r="H540" s="15" t="n">
        <v>1729.52</v>
      </c>
      <c r="I540" s="7" t="n">
        <v>3</v>
      </c>
      <c r="J540" s="7" t="s">
        <v>1415</v>
      </c>
    </row>
    <row r="541" customFormat="false" ht="15" hidden="false" customHeight="false" outlineLevel="0" collapsed="false">
      <c r="A541" s="3" t="n">
        <v>3</v>
      </c>
      <c r="B541" s="24" t="n">
        <v>46082</v>
      </c>
      <c r="C541" s="3" t="s">
        <v>499</v>
      </c>
      <c r="D541" s="3" t="s">
        <v>440</v>
      </c>
      <c r="E541" s="3" t="s">
        <v>162</v>
      </c>
      <c r="F541" s="15" t="n">
        <v>1642.69</v>
      </c>
      <c r="G541" s="15" t="n">
        <v>0</v>
      </c>
      <c r="H541" s="15" t="n">
        <v>1642.69</v>
      </c>
      <c r="I541" s="7" t="n">
        <v>4</v>
      </c>
      <c r="J541" s="7" t="s">
        <v>1416</v>
      </c>
    </row>
    <row r="542" customFormat="false" ht="15" hidden="false" customHeight="false" outlineLevel="0" collapsed="false">
      <c r="A542" s="3" t="n">
        <v>3</v>
      </c>
      <c r="B542" s="24" t="n">
        <v>46082</v>
      </c>
      <c r="C542" s="3" t="s">
        <v>499</v>
      </c>
      <c r="D542" s="3" t="s">
        <v>440</v>
      </c>
      <c r="E542" s="3" t="s">
        <v>172</v>
      </c>
      <c r="F542" s="15" t="n">
        <v>1002.76</v>
      </c>
      <c r="G542" s="15" t="n">
        <v>0</v>
      </c>
      <c r="H542" s="15" t="n">
        <v>1002.76</v>
      </c>
      <c r="I542" s="7" t="n">
        <v>5</v>
      </c>
      <c r="J542" s="7" t="s">
        <v>1417</v>
      </c>
    </row>
    <row r="543" customFormat="false" ht="15" hidden="false" customHeight="false" outlineLevel="0" collapsed="false">
      <c r="A543" s="3" t="n">
        <v>3</v>
      </c>
      <c r="B543" s="24" t="n">
        <v>46082</v>
      </c>
      <c r="C543" s="3" t="s">
        <v>500</v>
      </c>
      <c r="D543" s="3" t="s">
        <v>440</v>
      </c>
      <c r="E543" s="3" t="s">
        <v>136</v>
      </c>
      <c r="F543" s="15" t="n">
        <v>4100.47</v>
      </c>
      <c r="G543" s="15" t="n">
        <v>0</v>
      </c>
      <c r="H543" s="15" t="n">
        <v>4100.47</v>
      </c>
      <c r="I543" s="7" t="n">
        <v>1</v>
      </c>
      <c r="J543" s="7" t="s">
        <v>1418</v>
      </c>
    </row>
    <row r="544" customFormat="false" ht="15" hidden="false" customHeight="false" outlineLevel="0" collapsed="false">
      <c r="A544" s="3" t="n">
        <v>3</v>
      </c>
      <c r="B544" s="24" t="n">
        <v>46082</v>
      </c>
      <c r="C544" s="3" t="s">
        <v>500</v>
      </c>
      <c r="D544" s="3" t="s">
        <v>440</v>
      </c>
      <c r="E544" s="3" t="s">
        <v>174</v>
      </c>
      <c r="F544" s="15" t="n">
        <v>1849.52</v>
      </c>
      <c r="G544" s="15" t="n">
        <v>0</v>
      </c>
      <c r="H544" s="15" t="n">
        <v>1849.52</v>
      </c>
      <c r="I544" s="7" t="n">
        <v>2</v>
      </c>
      <c r="J544" s="7" t="s">
        <v>1419</v>
      </c>
    </row>
    <row r="545" customFormat="false" ht="15" hidden="false" customHeight="false" outlineLevel="0" collapsed="false">
      <c r="A545" s="3" t="n">
        <v>3</v>
      </c>
      <c r="B545" s="24" t="n">
        <v>46082</v>
      </c>
      <c r="C545" s="3" t="s">
        <v>500</v>
      </c>
      <c r="D545" s="3" t="s">
        <v>440</v>
      </c>
      <c r="E545" s="3" t="s">
        <v>182</v>
      </c>
      <c r="F545" s="15" t="n">
        <v>947.96</v>
      </c>
      <c r="G545" s="15" t="n">
        <v>0</v>
      </c>
      <c r="H545" s="15" t="n">
        <v>947.96</v>
      </c>
      <c r="I545" s="7" t="n">
        <v>3</v>
      </c>
      <c r="J545" s="7" t="s">
        <v>1420</v>
      </c>
    </row>
    <row r="546" customFormat="false" ht="15" hidden="false" customHeight="false" outlineLevel="0" collapsed="false">
      <c r="A546" s="3" t="n">
        <v>3</v>
      </c>
      <c r="B546" s="24" t="n">
        <v>46082</v>
      </c>
      <c r="C546" s="3" t="s">
        <v>500</v>
      </c>
      <c r="D546" s="3" t="s">
        <v>440</v>
      </c>
      <c r="E546" s="3" t="s">
        <v>169</v>
      </c>
      <c r="F546" s="15" t="n">
        <v>1904.72</v>
      </c>
      <c r="G546" s="15" t="n">
        <v>0</v>
      </c>
      <c r="H546" s="15" t="n">
        <v>1904.72</v>
      </c>
      <c r="I546" s="7" t="n">
        <v>4</v>
      </c>
      <c r="J546" s="7" t="s">
        <v>1421</v>
      </c>
    </row>
    <row r="547" customFormat="false" ht="15" hidden="false" customHeight="false" outlineLevel="0" collapsed="false">
      <c r="A547" s="3" t="n">
        <v>3</v>
      </c>
      <c r="B547" s="24" t="n">
        <v>46082</v>
      </c>
      <c r="C547" s="3" t="s">
        <v>500</v>
      </c>
      <c r="D547" s="3" t="s">
        <v>440</v>
      </c>
      <c r="E547" s="3" t="s">
        <v>180</v>
      </c>
      <c r="F547" s="15" t="n">
        <v>714.76</v>
      </c>
      <c r="G547" s="15" t="n">
        <v>0</v>
      </c>
      <c r="H547" s="15" t="n">
        <v>714.76</v>
      </c>
      <c r="I547" s="7" t="n">
        <v>5</v>
      </c>
      <c r="J547" s="7" t="s">
        <v>1422</v>
      </c>
    </row>
    <row r="548" customFormat="false" ht="15" hidden="false" customHeight="false" outlineLevel="0" collapsed="false">
      <c r="A548" s="3" t="n">
        <v>3</v>
      </c>
      <c r="B548" s="24" t="n">
        <v>46082</v>
      </c>
      <c r="C548" s="3" t="s">
        <v>501</v>
      </c>
      <c r="D548" s="3" t="s">
        <v>440</v>
      </c>
      <c r="E548" s="3" t="s">
        <v>112</v>
      </c>
      <c r="F548" s="15" t="n">
        <v>2802.18</v>
      </c>
      <c r="G548" s="15" t="n">
        <v>0</v>
      </c>
      <c r="H548" s="15" t="n">
        <v>2802.18</v>
      </c>
      <c r="I548" s="7" t="n">
        <v>1</v>
      </c>
      <c r="J548" s="7" t="s">
        <v>1423</v>
      </c>
    </row>
    <row r="549" customFormat="false" ht="15" hidden="false" customHeight="false" outlineLevel="0" collapsed="false">
      <c r="A549" s="3" t="n">
        <v>3</v>
      </c>
      <c r="B549" s="24" t="n">
        <v>46082</v>
      </c>
      <c r="C549" s="3" t="s">
        <v>502</v>
      </c>
      <c r="D549" s="3" t="s">
        <v>440</v>
      </c>
      <c r="E549" s="3" t="s">
        <v>109</v>
      </c>
      <c r="F549" s="15" t="n">
        <v>15088.22</v>
      </c>
      <c r="G549" s="15" t="n">
        <v>0</v>
      </c>
      <c r="H549" s="15" t="n">
        <v>15088.22</v>
      </c>
      <c r="I549" s="7" t="n">
        <v>1</v>
      </c>
      <c r="J549" s="7" t="s">
        <v>1424</v>
      </c>
    </row>
    <row r="550" customFormat="false" ht="15" hidden="false" customHeight="false" outlineLevel="0" collapsed="false">
      <c r="A550" s="3" t="n">
        <v>3</v>
      </c>
      <c r="B550" s="24" t="n">
        <v>46082</v>
      </c>
      <c r="C550" s="3" t="s">
        <v>502</v>
      </c>
      <c r="D550" s="3" t="s">
        <v>440</v>
      </c>
      <c r="E550" s="3" t="s">
        <v>154</v>
      </c>
      <c r="F550" s="15" t="n">
        <v>444.05</v>
      </c>
      <c r="G550" s="15" t="n">
        <v>0</v>
      </c>
      <c r="H550" s="15" t="n">
        <v>444.05</v>
      </c>
      <c r="I550" s="7" t="n">
        <v>2</v>
      </c>
      <c r="J550" s="7" t="s">
        <v>1425</v>
      </c>
    </row>
    <row r="551" customFormat="false" ht="15" hidden="false" customHeight="false" outlineLevel="0" collapsed="false">
      <c r="A551" s="3" t="n">
        <v>3</v>
      </c>
      <c r="B551" s="24" t="n">
        <v>46082</v>
      </c>
      <c r="C551" s="3" t="s">
        <v>502</v>
      </c>
      <c r="D551" s="3" t="s">
        <v>440</v>
      </c>
      <c r="E551" s="3" t="s">
        <v>138</v>
      </c>
      <c r="F551" s="15" t="n">
        <v>891.1</v>
      </c>
      <c r="G551" s="15" t="n">
        <v>0</v>
      </c>
      <c r="H551" s="15" t="n">
        <v>891.1</v>
      </c>
      <c r="I551" s="7" t="n">
        <v>3</v>
      </c>
      <c r="J551" s="7" t="s">
        <v>1426</v>
      </c>
    </row>
    <row r="552" customFormat="false" ht="15" hidden="false" customHeight="false" outlineLevel="0" collapsed="false">
      <c r="A552" s="3" t="n">
        <v>3</v>
      </c>
      <c r="B552" s="24" t="n">
        <v>46082</v>
      </c>
      <c r="C552" s="3" t="s">
        <v>502</v>
      </c>
      <c r="D552" s="3" t="s">
        <v>440</v>
      </c>
      <c r="E552" s="3" t="s">
        <v>163</v>
      </c>
      <c r="F552" s="15" t="n">
        <v>881.1</v>
      </c>
      <c r="G552" s="15" t="n">
        <v>0</v>
      </c>
      <c r="H552" s="15" t="n">
        <v>881.1</v>
      </c>
      <c r="I552" s="7" t="n">
        <v>4</v>
      </c>
      <c r="J552" s="7" t="s">
        <v>1427</v>
      </c>
    </row>
    <row r="553" customFormat="false" ht="15" hidden="false" customHeight="false" outlineLevel="0" collapsed="false">
      <c r="A553" s="3" t="n">
        <v>3</v>
      </c>
      <c r="B553" s="24" t="n">
        <v>46082</v>
      </c>
      <c r="C553" s="3" t="s">
        <v>503</v>
      </c>
      <c r="D553" s="3" t="s">
        <v>440</v>
      </c>
      <c r="E553" s="3" t="s">
        <v>152</v>
      </c>
      <c r="F553" s="15" t="n">
        <v>974.76</v>
      </c>
      <c r="G553" s="15" t="n">
        <v>0</v>
      </c>
      <c r="H553" s="15" t="n">
        <v>974.76</v>
      </c>
      <c r="I553" s="7" t="n">
        <v>1</v>
      </c>
      <c r="J553" s="7" t="s">
        <v>1428</v>
      </c>
    </row>
    <row r="554" customFormat="false" ht="15" hidden="false" customHeight="false" outlineLevel="0" collapsed="false">
      <c r="A554" s="3" t="n">
        <v>3</v>
      </c>
      <c r="B554" s="24" t="n">
        <v>46082</v>
      </c>
      <c r="C554" s="3" t="s">
        <v>504</v>
      </c>
      <c r="D554" s="3" t="s">
        <v>440</v>
      </c>
      <c r="E554" s="3" t="s">
        <v>143</v>
      </c>
      <c r="F554" s="15" t="n">
        <v>1153.16</v>
      </c>
      <c r="G554" s="15" t="n">
        <v>0</v>
      </c>
      <c r="H554" s="15" t="n">
        <v>1153.16</v>
      </c>
      <c r="I554" s="7" t="n">
        <v>1</v>
      </c>
      <c r="J554" s="7" t="s">
        <v>1429</v>
      </c>
    </row>
    <row r="555" customFormat="false" ht="15" hidden="false" customHeight="false" outlineLevel="0" collapsed="false">
      <c r="A555" s="3" t="n">
        <v>3</v>
      </c>
      <c r="B555" s="24" t="n">
        <v>46082</v>
      </c>
      <c r="C555" s="3" t="s">
        <v>505</v>
      </c>
      <c r="D555" s="3" t="s">
        <v>440</v>
      </c>
      <c r="E555" s="3" t="s">
        <v>128</v>
      </c>
      <c r="F555" s="15" t="n">
        <v>3897.98</v>
      </c>
      <c r="G555" s="15" t="n">
        <v>0</v>
      </c>
      <c r="H555" s="15" t="n">
        <v>3897.98</v>
      </c>
      <c r="I555" s="7" t="n">
        <v>1</v>
      </c>
      <c r="J555" s="7" t="s">
        <v>1430</v>
      </c>
    </row>
    <row r="556" customFormat="false" ht="15" hidden="false" customHeight="false" outlineLevel="0" collapsed="false">
      <c r="A556" s="3" t="n">
        <v>3</v>
      </c>
      <c r="B556" s="24" t="n">
        <v>46082</v>
      </c>
      <c r="C556" s="3" t="s">
        <v>506</v>
      </c>
      <c r="D556" s="3" t="s">
        <v>440</v>
      </c>
      <c r="E556" s="3" t="s">
        <v>161</v>
      </c>
      <c r="F556" s="15" t="n">
        <v>2354.22</v>
      </c>
      <c r="G556" s="15" t="n">
        <v>0</v>
      </c>
      <c r="H556" s="15" t="n">
        <v>2354.22</v>
      </c>
      <c r="I556" s="7" t="n">
        <v>1</v>
      </c>
      <c r="J556" s="7" t="s">
        <v>1431</v>
      </c>
    </row>
    <row r="557" customFormat="false" ht="15" hidden="false" customHeight="false" outlineLevel="0" collapsed="false">
      <c r="A557" s="3" t="n">
        <v>3</v>
      </c>
      <c r="B557" s="24" t="n">
        <v>46082</v>
      </c>
      <c r="C557" s="3" t="s">
        <v>507</v>
      </c>
      <c r="D557" s="3" t="s">
        <v>440</v>
      </c>
      <c r="E557" s="3" t="s">
        <v>112</v>
      </c>
      <c r="F557" s="15" t="n">
        <v>5083.9</v>
      </c>
      <c r="G557" s="15" t="n">
        <v>0</v>
      </c>
      <c r="H557" s="15" t="n">
        <v>5083.9</v>
      </c>
      <c r="I557" s="7" t="n">
        <v>1</v>
      </c>
      <c r="J557" s="7" t="s">
        <v>1432</v>
      </c>
    </row>
    <row r="558" customFormat="false" ht="15" hidden="false" customHeight="false" outlineLevel="0" collapsed="false">
      <c r="A558" s="3" t="n">
        <v>3</v>
      </c>
      <c r="B558" s="24" t="n">
        <v>46082</v>
      </c>
      <c r="C558" s="3" t="s">
        <v>508</v>
      </c>
      <c r="D558" s="3" t="s">
        <v>440</v>
      </c>
      <c r="E558" s="3" t="s">
        <v>171</v>
      </c>
      <c r="F558" s="15" t="n">
        <v>1825.52</v>
      </c>
      <c r="G558" s="15" t="n">
        <v>0</v>
      </c>
      <c r="H558" s="15" t="n">
        <v>1825.52</v>
      </c>
      <c r="I558" s="7" t="n">
        <v>1</v>
      </c>
      <c r="J558" s="7" t="s">
        <v>1433</v>
      </c>
    </row>
    <row r="559" customFormat="false" ht="15" hidden="false" customHeight="false" outlineLevel="0" collapsed="false">
      <c r="A559" s="3" t="n">
        <v>3</v>
      </c>
      <c r="B559" s="24" t="n">
        <v>46082</v>
      </c>
      <c r="C559" s="3" t="s">
        <v>509</v>
      </c>
      <c r="D559" s="3" t="s">
        <v>440</v>
      </c>
      <c r="E559" s="3" t="s">
        <v>112</v>
      </c>
      <c r="F559" s="15" t="n">
        <v>904.1</v>
      </c>
      <c r="G559" s="15" t="n">
        <v>0</v>
      </c>
      <c r="H559" s="15" t="n">
        <v>904.1</v>
      </c>
      <c r="I559" s="7" t="n">
        <v>1</v>
      </c>
      <c r="J559" s="7" t="s">
        <v>1434</v>
      </c>
    </row>
    <row r="560" customFormat="false" ht="15" hidden="false" customHeight="false" outlineLevel="0" collapsed="false">
      <c r="A560" s="3" t="n">
        <v>3</v>
      </c>
      <c r="B560" s="24" t="n">
        <v>46082</v>
      </c>
      <c r="C560" s="3" t="s">
        <v>510</v>
      </c>
      <c r="D560" s="3" t="s">
        <v>440</v>
      </c>
      <c r="E560" s="3" t="s">
        <v>112</v>
      </c>
      <c r="F560" s="15" t="n">
        <v>4092.04</v>
      </c>
      <c r="G560" s="15" t="n">
        <v>0</v>
      </c>
      <c r="H560" s="15" t="n">
        <v>4092.04</v>
      </c>
      <c r="I560" s="7" t="n">
        <v>1</v>
      </c>
      <c r="J560" s="7" t="s">
        <v>1435</v>
      </c>
    </row>
    <row r="561" customFormat="false" ht="15" hidden="false" customHeight="false" outlineLevel="0" collapsed="false">
      <c r="A561" s="3" t="n">
        <v>3</v>
      </c>
      <c r="B561" s="24" t="n">
        <v>46082</v>
      </c>
      <c r="C561" s="3" t="s">
        <v>511</v>
      </c>
      <c r="D561" s="3" t="s">
        <v>440</v>
      </c>
      <c r="E561" s="3" t="s">
        <v>137</v>
      </c>
      <c r="F561" s="15" t="n">
        <v>3803.34</v>
      </c>
      <c r="G561" s="15" t="n">
        <v>0</v>
      </c>
      <c r="H561" s="15" t="n">
        <v>3803.34</v>
      </c>
      <c r="I561" s="7" t="n">
        <v>1</v>
      </c>
      <c r="J561" s="7" t="s">
        <v>1436</v>
      </c>
    </row>
    <row r="562" customFormat="false" ht="15" hidden="false" customHeight="false" outlineLevel="0" collapsed="false">
      <c r="A562" s="3" t="n">
        <v>3</v>
      </c>
      <c r="B562" s="24" t="n">
        <v>46082</v>
      </c>
      <c r="C562" s="3" t="s">
        <v>512</v>
      </c>
      <c r="D562" s="3" t="s">
        <v>440</v>
      </c>
      <c r="E562" s="3" t="s">
        <v>166</v>
      </c>
      <c r="F562" s="15" t="n">
        <v>2133.52</v>
      </c>
      <c r="G562" s="15" t="n">
        <v>0</v>
      </c>
      <c r="H562" s="15" t="n">
        <v>2133.52</v>
      </c>
      <c r="I562" s="7" t="n">
        <v>1</v>
      </c>
      <c r="J562" s="7" t="s">
        <v>1437</v>
      </c>
    </row>
    <row r="563" customFormat="false" ht="15" hidden="false" customHeight="false" outlineLevel="0" collapsed="false">
      <c r="A563" s="3" t="n">
        <v>3</v>
      </c>
      <c r="B563" s="24" t="n">
        <v>46082</v>
      </c>
      <c r="C563" s="3" t="s">
        <v>513</v>
      </c>
      <c r="D563" s="3" t="s">
        <v>440</v>
      </c>
      <c r="E563" s="3" t="s">
        <v>112</v>
      </c>
      <c r="F563" s="15" t="n">
        <v>2073.52</v>
      </c>
      <c r="G563" s="15" t="n">
        <v>0</v>
      </c>
      <c r="H563" s="15" t="n">
        <v>2073.52</v>
      </c>
      <c r="I563" s="7" t="n">
        <v>1</v>
      </c>
      <c r="J563" s="7" t="s">
        <v>1438</v>
      </c>
    </row>
    <row r="564" customFormat="false" ht="15" hidden="false" customHeight="false" outlineLevel="0" collapsed="false">
      <c r="A564" s="3" t="n">
        <v>3</v>
      </c>
      <c r="B564" s="24" t="n">
        <v>46082</v>
      </c>
      <c r="C564" s="3" t="s">
        <v>514</v>
      </c>
      <c r="D564" s="3" t="s">
        <v>440</v>
      </c>
      <c r="E564" s="3" t="s">
        <v>168</v>
      </c>
      <c r="F564" s="15" t="n">
        <v>1904.52</v>
      </c>
      <c r="G564" s="15" t="n">
        <v>0</v>
      </c>
      <c r="H564" s="15" t="n">
        <v>1904.52</v>
      </c>
      <c r="I564" s="7" t="n">
        <v>1</v>
      </c>
      <c r="J564" s="7" t="s">
        <v>1439</v>
      </c>
    </row>
    <row r="565" customFormat="false" ht="15" hidden="false" customHeight="false" outlineLevel="0" collapsed="false">
      <c r="A565" s="3" t="n">
        <v>3</v>
      </c>
      <c r="B565" s="24" t="n">
        <v>46082</v>
      </c>
      <c r="C565" s="3" t="s">
        <v>515</v>
      </c>
      <c r="D565" s="3" t="s">
        <v>440</v>
      </c>
      <c r="E565" s="3" t="s">
        <v>112</v>
      </c>
      <c r="F565" s="15" t="n">
        <v>4852.5</v>
      </c>
      <c r="G565" s="15" t="n">
        <v>0</v>
      </c>
      <c r="H565" s="15" t="n">
        <v>4852.5</v>
      </c>
      <c r="I565" s="7" t="n">
        <v>1</v>
      </c>
      <c r="J565" s="7" t="s">
        <v>1440</v>
      </c>
    </row>
    <row r="566" customFormat="false" ht="15" hidden="false" customHeight="false" outlineLevel="0" collapsed="false">
      <c r="A566" s="3" t="n">
        <v>3</v>
      </c>
      <c r="B566" s="24" t="n">
        <v>46082</v>
      </c>
      <c r="C566" s="3" t="s">
        <v>516</v>
      </c>
      <c r="D566" s="3" t="s">
        <v>440</v>
      </c>
      <c r="E566" s="3" t="s">
        <v>146</v>
      </c>
      <c r="F566" s="15" t="n">
        <v>2254.35</v>
      </c>
      <c r="G566" s="15" t="n">
        <v>0</v>
      </c>
      <c r="H566" s="15" t="n">
        <v>2254.35</v>
      </c>
      <c r="I566" s="7" t="n">
        <v>1</v>
      </c>
      <c r="J566" s="7" t="s">
        <v>1441</v>
      </c>
    </row>
    <row r="567" customFormat="false" ht="15" hidden="false" customHeight="false" outlineLevel="0" collapsed="false">
      <c r="A567" s="3" t="n">
        <v>3</v>
      </c>
      <c r="B567" s="24" t="n">
        <v>46082</v>
      </c>
      <c r="C567" s="3" t="s">
        <v>517</v>
      </c>
      <c r="D567" s="3" t="s">
        <v>440</v>
      </c>
      <c r="E567" s="3" t="s">
        <v>112</v>
      </c>
      <c r="F567" s="15" t="n">
        <v>4929</v>
      </c>
      <c r="G567" s="15" t="n">
        <v>0</v>
      </c>
      <c r="H567" s="15" t="n">
        <v>4929</v>
      </c>
      <c r="I567" s="7" t="n">
        <v>1</v>
      </c>
      <c r="J567" s="7" t="s">
        <v>1442</v>
      </c>
    </row>
    <row r="568" customFormat="false" ht="15" hidden="false" customHeight="false" outlineLevel="0" collapsed="false">
      <c r="A568" s="3" t="n">
        <v>3</v>
      </c>
      <c r="B568" s="24" t="n">
        <v>46082</v>
      </c>
      <c r="C568" s="3" t="s">
        <v>518</v>
      </c>
      <c r="D568" s="3" t="s">
        <v>440</v>
      </c>
      <c r="E568" s="3" t="s">
        <v>112</v>
      </c>
      <c r="F568" s="15" t="n">
        <v>1325.49</v>
      </c>
      <c r="G568" s="15" t="n">
        <v>0</v>
      </c>
      <c r="H568" s="15" t="n">
        <v>1325.49</v>
      </c>
      <c r="I568" s="7" t="n">
        <v>1</v>
      </c>
      <c r="J568" s="7" t="s">
        <v>1443</v>
      </c>
    </row>
    <row r="569" customFormat="false" ht="15" hidden="false" customHeight="false" outlineLevel="0" collapsed="false">
      <c r="A569" s="3" t="n">
        <v>3</v>
      </c>
      <c r="B569" s="24" t="n">
        <v>46082</v>
      </c>
      <c r="C569" s="3" t="s">
        <v>519</v>
      </c>
      <c r="D569" s="3" t="s">
        <v>440</v>
      </c>
      <c r="E569" s="3" t="s">
        <v>175</v>
      </c>
      <c r="F569" s="15" t="n">
        <v>1651.52</v>
      </c>
      <c r="G569" s="15" t="n">
        <v>0</v>
      </c>
      <c r="H569" s="15" t="n">
        <v>1651.52</v>
      </c>
      <c r="I569" s="7" t="n">
        <v>1</v>
      </c>
      <c r="J569" s="7" t="s">
        <v>1444</v>
      </c>
    </row>
    <row r="570" customFormat="false" ht="15" hidden="false" customHeight="false" outlineLevel="0" collapsed="false">
      <c r="A570" s="3" t="n">
        <v>3</v>
      </c>
      <c r="B570" s="24" t="n">
        <v>46082</v>
      </c>
      <c r="C570" s="3" t="s">
        <v>520</v>
      </c>
      <c r="D570" s="3" t="s">
        <v>440</v>
      </c>
      <c r="E570" s="3" t="s">
        <v>112</v>
      </c>
      <c r="F570" s="15" t="n">
        <v>4324.67</v>
      </c>
      <c r="G570" s="15" t="n">
        <v>0</v>
      </c>
      <c r="H570" s="15" t="n">
        <v>4324.67</v>
      </c>
      <c r="I570" s="7" t="n">
        <v>1</v>
      </c>
      <c r="J570" s="7" t="s">
        <v>1445</v>
      </c>
    </row>
    <row r="571" customFormat="false" ht="15" hidden="false" customHeight="false" outlineLevel="0" collapsed="false">
      <c r="A571" s="3" t="n">
        <v>3</v>
      </c>
      <c r="B571" s="24" t="n">
        <v>46082</v>
      </c>
      <c r="C571" s="3" t="s">
        <v>521</v>
      </c>
      <c r="D571" s="3" t="s">
        <v>440</v>
      </c>
      <c r="E571" s="3" t="s">
        <v>167</v>
      </c>
      <c r="F571" s="15" t="n">
        <v>3747.04</v>
      </c>
      <c r="G571" s="15" t="n">
        <v>0</v>
      </c>
      <c r="H571" s="15" t="n">
        <v>3747.04</v>
      </c>
      <c r="I571" s="7" t="n">
        <v>1</v>
      </c>
      <c r="J571" s="7" t="s">
        <v>1446</v>
      </c>
    </row>
    <row r="572" customFormat="false" ht="15" hidden="false" customHeight="false" outlineLevel="0" collapsed="false">
      <c r="A572" s="3" t="n">
        <v>3</v>
      </c>
      <c r="B572" s="24" t="n">
        <v>46082</v>
      </c>
      <c r="C572" s="3" t="s">
        <v>522</v>
      </c>
      <c r="D572" s="3" t="s">
        <v>471</v>
      </c>
      <c r="E572" s="3" t="s">
        <v>123</v>
      </c>
      <c r="F572" s="15" t="n">
        <v>14816</v>
      </c>
      <c r="G572" s="15" t="n">
        <v>0</v>
      </c>
      <c r="H572" s="15" t="n">
        <v>14816</v>
      </c>
      <c r="I572" s="7" t="n">
        <v>1</v>
      </c>
      <c r="J572" s="7" t="s">
        <v>1447</v>
      </c>
    </row>
    <row r="573" customFormat="false" ht="15" hidden="false" customHeight="false" outlineLevel="0" collapsed="false">
      <c r="A573" s="3" t="n">
        <v>3</v>
      </c>
      <c r="B573" s="24" t="n">
        <v>46082</v>
      </c>
      <c r="C573" s="3" t="s">
        <v>523</v>
      </c>
      <c r="D573" s="3" t="s">
        <v>471</v>
      </c>
      <c r="E573" s="3" t="s">
        <v>123</v>
      </c>
      <c r="F573" s="15" t="n">
        <v>4544.68</v>
      </c>
      <c r="G573" s="15" t="n">
        <v>0</v>
      </c>
      <c r="H573" s="15" t="n">
        <v>4544.68</v>
      </c>
      <c r="I573" s="7" t="n">
        <v>1</v>
      </c>
      <c r="J573" s="7" t="s">
        <v>1448</v>
      </c>
    </row>
    <row r="574" customFormat="false" ht="15" hidden="false" customHeight="false" outlineLevel="0" collapsed="false">
      <c r="A574" s="3" t="n">
        <v>3</v>
      </c>
      <c r="B574" s="24" t="n">
        <v>46082</v>
      </c>
      <c r="C574" s="3" t="s">
        <v>524</v>
      </c>
      <c r="D574" s="3" t="s">
        <v>471</v>
      </c>
      <c r="E574" s="3" t="s">
        <v>124</v>
      </c>
      <c r="F574" s="15" t="n">
        <v>737.23</v>
      </c>
      <c r="G574" s="15" t="n">
        <v>0</v>
      </c>
      <c r="H574" s="15" t="n">
        <v>737.23</v>
      </c>
      <c r="I574" s="7" t="n">
        <v>1</v>
      </c>
      <c r="J574" s="7" t="s">
        <v>1449</v>
      </c>
    </row>
    <row r="575" customFormat="false" ht="15" hidden="false" customHeight="false" outlineLevel="0" collapsed="false">
      <c r="A575" s="3" t="n">
        <v>3</v>
      </c>
      <c r="B575" s="24" t="n">
        <v>46082</v>
      </c>
      <c r="C575" s="3" t="s">
        <v>524</v>
      </c>
      <c r="D575" s="3" t="s">
        <v>471</v>
      </c>
      <c r="E575" s="3" t="s">
        <v>125</v>
      </c>
      <c r="F575" s="15" t="n">
        <v>584.31</v>
      </c>
      <c r="G575" s="15" t="n">
        <v>0</v>
      </c>
      <c r="H575" s="15" t="n">
        <v>584.31</v>
      </c>
      <c r="I575" s="7" t="n">
        <v>2</v>
      </c>
      <c r="J575" s="7" t="s">
        <v>1450</v>
      </c>
    </row>
    <row r="576" customFormat="false" ht="15" hidden="false" customHeight="false" outlineLevel="0" collapsed="false">
      <c r="A576" s="3" t="n">
        <v>3</v>
      </c>
      <c r="B576" s="24" t="n">
        <v>46082</v>
      </c>
      <c r="C576" s="3" t="s">
        <v>524</v>
      </c>
      <c r="D576" s="3" t="s">
        <v>471</v>
      </c>
      <c r="E576" s="3" t="s">
        <v>131</v>
      </c>
      <c r="F576" s="15" t="n">
        <v>504.62</v>
      </c>
      <c r="G576" s="15" t="n">
        <v>0</v>
      </c>
      <c r="H576" s="15" t="n">
        <v>504.62</v>
      </c>
      <c r="I576" s="7" t="n">
        <v>3</v>
      </c>
      <c r="J576" s="7" t="s">
        <v>1451</v>
      </c>
    </row>
    <row r="577" customFormat="false" ht="15" hidden="false" customHeight="false" outlineLevel="0" collapsed="false">
      <c r="A577" s="3" t="n">
        <v>3</v>
      </c>
      <c r="B577" s="24" t="n">
        <v>46082</v>
      </c>
      <c r="C577" s="3" t="s">
        <v>524</v>
      </c>
      <c r="D577" s="3" t="s">
        <v>471</v>
      </c>
      <c r="E577" s="3" t="s">
        <v>127</v>
      </c>
      <c r="F577" s="15" t="n">
        <v>69.85</v>
      </c>
      <c r="G577" s="15" t="n">
        <v>0</v>
      </c>
      <c r="H577" s="15" t="n">
        <v>69.85</v>
      </c>
      <c r="I577" s="7" t="n">
        <v>4</v>
      </c>
      <c r="J577" s="7" t="s">
        <v>1452</v>
      </c>
    </row>
    <row r="578" customFormat="false" ht="15" hidden="false" customHeight="false" outlineLevel="0" collapsed="false">
      <c r="A578" s="3" t="n">
        <v>3</v>
      </c>
      <c r="B578" s="24" t="n">
        <v>46082</v>
      </c>
      <c r="C578" s="3" t="s">
        <v>524</v>
      </c>
      <c r="D578" s="3" t="s">
        <v>471</v>
      </c>
      <c r="E578" s="3" t="s">
        <v>129</v>
      </c>
      <c r="F578" s="15" t="n">
        <v>391.38</v>
      </c>
      <c r="G578" s="15" t="n">
        <v>0</v>
      </c>
      <c r="H578" s="15" t="n">
        <v>391.38</v>
      </c>
      <c r="I578" s="7" t="n">
        <v>5</v>
      </c>
      <c r="J578" s="7" t="s">
        <v>1453</v>
      </c>
    </row>
    <row r="579" customFormat="false" ht="15" hidden="false" customHeight="false" outlineLevel="0" collapsed="false">
      <c r="A579" s="3" t="n">
        <v>3</v>
      </c>
      <c r="B579" s="24" t="n">
        <v>46082</v>
      </c>
      <c r="C579" s="3" t="s">
        <v>524</v>
      </c>
      <c r="D579" s="3" t="s">
        <v>471</v>
      </c>
      <c r="E579" s="3" t="s">
        <v>116</v>
      </c>
      <c r="F579" s="15" t="n">
        <v>2501.62</v>
      </c>
      <c r="G579" s="15" t="n">
        <v>0</v>
      </c>
      <c r="H579" s="15" t="n">
        <v>2501.62</v>
      </c>
      <c r="I579" s="7" t="n">
        <v>6</v>
      </c>
      <c r="J579" s="7" t="s">
        <v>1454</v>
      </c>
    </row>
    <row r="580" customFormat="false" ht="15" hidden="false" customHeight="false" outlineLevel="0" collapsed="false">
      <c r="A580" s="3" t="n">
        <v>3</v>
      </c>
      <c r="B580" s="24" t="n">
        <v>46082</v>
      </c>
      <c r="C580" s="3" t="s">
        <v>524</v>
      </c>
      <c r="D580" s="3" t="s">
        <v>471</v>
      </c>
      <c r="E580" s="3" t="s">
        <v>115</v>
      </c>
      <c r="F580" s="15" t="n">
        <v>1306.69</v>
      </c>
      <c r="G580" s="15" t="n">
        <v>0</v>
      </c>
      <c r="H580" s="15" t="n">
        <v>1306.69</v>
      </c>
      <c r="I580" s="7" t="n">
        <v>7</v>
      </c>
      <c r="J580" s="7" t="s">
        <v>1455</v>
      </c>
    </row>
    <row r="581" customFormat="false" ht="15" hidden="false" customHeight="false" outlineLevel="0" collapsed="false">
      <c r="A581" s="3" t="n">
        <v>3</v>
      </c>
      <c r="B581" s="24" t="n">
        <v>46082</v>
      </c>
      <c r="C581" s="3" t="s">
        <v>524</v>
      </c>
      <c r="D581" s="3" t="s">
        <v>471</v>
      </c>
      <c r="E581" s="3" t="s">
        <v>117</v>
      </c>
      <c r="F581" s="15" t="n">
        <v>2397.25</v>
      </c>
      <c r="G581" s="15" t="n">
        <v>0</v>
      </c>
      <c r="H581" s="15" t="n">
        <v>2397.25</v>
      </c>
      <c r="I581" s="7" t="n">
        <v>8</v>
      </c>
      <c r="J581" s="7" t="s">
        <v>1456</v>
      </c>
    </row>
    <row r="582" customFormat="false" ht="15" hidden="false" customHeight="false" outlineLevel="0" collapsed="false">
      <c r="A582" s="3" t="n">
        <v>3</v>
      </c>
      <c r="B582" s="24" t="n">
        <v>46082</v>
      </c>
      <c r="C582" s="3" t="s">
        <v>524</v>
      </c>
      <c r="D582" s="3" t="s">
        <v>471</v>
      </c>
      <c r="E582" s="3" t="s">
        <v>108</v>
      </c>
      <c r="F582" s="15" t="n">
        <v>13108.42</v>
      </c>
      <c r="G582" s="15" t="n">
        <v>0</v>
      </c>
      <c r="H582" s="15" t="n">
        <v>13108.42</v>
      </c>
      <c r="I582" s="7" t="n">
        <v>9</v>
      </c>
      <c r="J582" s="7" t="s">
        <v>1457</v>
      </c>
    </row>
    <row r="583" customFormat="false" ht="15" hidden="false" customHeight="false" outlineLevel="0" collapsed="false">
      <c r="A583" s="3" t="n">
        <v>3</v>
      </c>
      <c r="B583" s="24" t="n">
        <v>46082</v>
      </c>
      <c r="C583" s="3" t="s">
        <v>524</v>
      </c>
      <c r="D583" s="3" t="s">
        <v>471</v>
      </c>
      <c r="E583" s="3" t="s">
        <v>110</v>
      </c>
      <c r="F583" s="15" t="n">
        <v>14423.66</v>
      </c>
      <c r="G583" s="15" t="n">
        <v>0</v>
      </c>
      <c r="H583" s="15" t="n">
        <v>14423.66</v>
      </c>
      <c r="I583" s="7" t="n">
        <v>10</v>
      </c>
      <c r="J583" s="7" t="s">
        <v>1458</v>
      </c>
    </row>
    <row r="584" customFormat="false" ht="15" hidden="false" customHeight="false" outlineLevel="0" collapsed="false">
      <c r="A584" s="3" t="n">
        <v>3</v>
      </c>
      <c r="B584" s="24" t="n">
        <v>46082</v>
      </c>
      <c r="C584" s="3" t="s">
        <v>524</v>
      </c>
      <c r="D584" s="3" t="s">
        <v>471</v>
      </c>
      <c r="E584" s="3" t="s">
        <v>121</v>
      </c>
      <c r="F584" s="15" t="n">
        <v>820.14</v>
      </c>
      <c r="G584" s="15" t="n">
        <v>0</v>
      </c>
      <c r="H584" s="15" t="n">
        <v>820.14</v>
      </c>
      <c r="I584" s="7" t="n">
        <v>11</v>
      </c>
      <c r="J584" s="7" t="s">
        <v>1459</v>
      </c>
    </row>
    <row r="585" customFormat="false" ht="15" hidden="false" customHeight="false" outlineLevel="0" collapsed="false">
      <c r="A585" s="3" t="n">
        <v>3</v>
      </c>
      <c r="B585" s="24" t="n">
        <v>46082</v>
      </c>
      <c r="C585" s="3" t="s">
        <v>524</v>
      </c>
      <c r="D585" s="3" t="s">
        <v>471</v>
      </c>
      <c r="E585" s="3" t="s">
        <v>132</v>
      </c>
      <c r="F585" s="15" t="n">
        <v>366.54</v>
      </c>
      <c r="G585" s="15" t="n">
        <v>0</v>
      </c>
      <c r="H585" s="15" t="n">
        <v>366.54</v>
      </c>
      <c r="I585" s="7" t="n">
        <v>12</v>
      </c>
      <c r="J585" s="7" t="s">
        <v>1460</v>
      </c>
    </row>
    <row r="586" customFormat="false" ht="15" hidden="false" customHeight="false" outlineLevel="0" collapsed="false">
      <c r="A586" s="3" t="n">
        <v>3</v>
      </c>
      <c r="B586" s="24" t="n">
        <v>46082</v>
      </c>
      <c r="C586" s="3" t="s">
        <v>524</v>
      </c>
      <c r="D586" s="3" t="s">
        <v>440</v>
      </c>
      <c r="E586" s="3" t="s">
        <v>193</v>
      </c>
      <c r="F586" s="15" t="n">
        <v>167.85</v>
      </c>
      <c r="G586" s="15" t="n">
        <v>0</v>
      </c>
      <c r="H586" s="15" t="n">
        <v>167.85</v>
      </c>
      <c r="I586" s="7" t="n">
        <v>13</v>
      </c>
      <c r="J586" s="7" t="s">
        <v>1461</v>
      </c>
    </row>
    <row r="587" customFormat="false" ht="15" hidden="false" customHeight="false" outlineLevel="0" collapsed="false">
      <c r="A587" s="3" t="n">
        <v>3</v>
      </c>
      <c r="B587" s="24" t="n">
        <v>46082</v>
      </c>
      <c r="C587" s="3" t="s">
        <v>525</v>
      </c>
      <c r="D587" s="3" t="s">
        <v>471</v>
      </c>
      <c r="E587" s="3" t="s">
        <v>118</v>
      </c>
      <c r="F587" s="15" t="n">
        <v>1231.47</v>
      </c>
      <c r="G587" s="15" t="n">
        <v>0</v>
      </c>
      <c r="H587" s="15" t="n">
        <v>1231.47</v>
      </c>
      <c r="I587" s="7" t="n">
        <v>1</v>
      </c>
      <c r="J587" s="7" t="s">
        <v>1462</v>
      </c>
    </row>
    <row r="588" customFormat="false" ht="15" hidden="false" customHeight="false" outlineLevel="0" collapsed="false">
      <c r="A588" s="3" t="n">
        <v>3</v>
      </c>
      <c r="B588" s="24" t="n">
        <v>46082</v>
      </c>
      <c r="C588" s="3" t="s">
        <v>525</v>
      </c>
      <c r="D588" s="3" t="s">
        <v>471</v>
      </c>
      <c r="E588" s="3" t="s">
        <v>113</v>
      </c>
      <c r="F588" s="15" t="n">
        <v>2783.7</v>
      </c>
      <c r="G588" s="15" t="n">
        <v>0</v>
      </c>
      <c r="H588" s="15" t="n">
        <v>2783.7</v>
      </c>
      <c r="I588" s="7" t="n">
        <v>2</v>
      </c>
      <c r="J588" s="7" t="s">
        <v>1463</v>
      </c>
    </row>
    <row r="589" customFormat="false" ht="15" hidden="false" customHeight="false" outlineLevel="0" collapsed="false">
      <c r="A589" s="3" t="n">
        <v>3</v>
      </c>
      <c r="B589" s="24" t="n">
        <v>46082</v>
      </c>
      <c r="C589" s="3" t="s">
        <v>525</v>
      </c>
      <c r="D589" s="3" t="s">
        <v>471</v>
      </c>
      <c r="E589" s="3" t="s">
        <v>111</v>
      </c>
      <c r="F589" s="15" t="n">
        <v>1855.52</v>
      </c>
      <c r="G589" s="15" t="n">
        <v>0</v>
      </c>
      <c r="H589" s="15" t="n">
        <v>1855.52</v>
      </c>
      <c r="I589" s="7" t="n">
        <v>3</v>
      </c>
      <c r="J589" s="7" t="s">
        <v>1464</v>
      </c>
    </row>
    <row r="590" customFormat="false" ht="15" hidden="false" customHeight="false" outlineLevel="0" collapsed="false">
      <c r="A590" s="3" t="n">
        <v>3</v>
      </c>
      <c r="B590" s="24" t="n">
        <v>46082</v>
      </c>
      <c r="C590" s="3" t="s">
        <v>525</v>
      </c>
      <c r="D590" s="3" t="s">
        <v>471</v>
      </c>
      <c r="E590" s="3" t="s">
        <v>114</v>
      </c>
      <c r="F590" s="15" t="n">
        <v>2498.23</v>
      </c>
      <c r="G590" s="15" t="n">
        <v>0</v>
      </c>
      <c r="H590" s="15" t="n">
        <v>2498.23</v>
      </c>
      <c r="I590" s="7" t="n">
        <v>4</v>
      </c>
      <c r="J590" s="7" t="s">
        <v>1465</v>
      </c>
    </row>
    <row r="591" customFormat="false" ht="15" hidden="false" customHeight="false" outlineLevel="0" collapsed="false">
      <c r="A591" s="3" t="n">
        <v>3</v>
      </c>
      <c r="B591" s="24" t="n">
        <v>46082</v>
      </c>
      <c r="C591" s="3" t="s">
        <v>526</v>
      </c>
      <c r="D591" s="3" t="s">
        <v>471</v>
      </c>
      <c r="E591" s="3" t="s">
        <v>140</v>
      </c>
      <c r="F591" s="15" t="n">
        <v>4718.55</v>
      </c>
      <c r="G591" s="15" t="n">
        <v>0</v>
      </c>
      <c r="H591" s="15" t="n">
        <v>4718.55</v>
      </c>
      <c r="I591" s="7" t="n">
        <v>1</v>
      </c>
      <c r="J591" s="7" t="s">
        <v>1466</v>
      </c>
    </row>
    <row r="592" customFormat="false" ht="15" hidden="false" customHeight="false" outlineLevel="0" collapsed="false">
      <c r="A592" s="3" t="n">
        <v>4</v>
      </c>
      <c r="B592" s="24" t="n">
        <v>46113</v>
      </c>
      <c r="C592" s="3" t="s">
        <v>527</v>
      </c>
      <c r="D592" s="3" t="s">
        <v>212</v>
      </c>
      <c r="E592" s="3" t="s">
        <v>109</v>
      </c>
      <c r="F592" s="15" t="n">
        <v>24627.52</v>
      </c>
      <c r="G592" s="15" t="n">
        <v>7434.16</v>
      </c>
      <c r="H592" s="15" t="n">
        <v>32061.68</v>
      </c>
      <c r="I592" s="7" t="n">
        <v>1</v>
      </c>
      <c r="J592" s="7" t="s">
        <v>1467</v>
      </c>
    </row>
    <row r="593" customFormat="false" ht="15" hidden="false" customHeight="false" outlineLevel="0" collapsed="false">
      <c r="A593" s="3" t="n">
        <v>4</v>
      </c>
      <c r="B593" s="24" t="n">
        <v>46113</v>
      </c>
      <c r="C593" s="3" t="s">
        <v>527</v>
      </c>
      <c r="D593" s="3" t="s">
        <v>212</v>
      </c>
      <c r="E593" s="3" t="s">
        <v>148</v>
      </c>
      <c r="F593" s="15" t="n">
        <v>6522.25</v>
      </c>
      <c r="G593" s="15" t="n">
        <v>1967.37</v>
      </c>
      <c r="H593" s="15" t="n">
        <v>8489.62</v>
      </c>
      <c r="I593" s="7" t="n">
        <v>2</v>
      </c>
      <c r="J593" s="7" t="s">
        <v>1468</v>
      </c>
    </row>
    <row r="594" customFormat="false" ht="15" hidden="false" customHeight="false" outlineLevel="0" collapsed="false">
      <c r="A594" s="3" t="n">
        <v>4</v>
      </c>
      <c r="B594" s="24" t="n">
        <v>46113</v>
      </c>
      <c r="C594" s="3" t="s">
        <v>527</v>
      </c>
      <c r="D594" s="3" t="s">
        <v>212</v>
      </c>
      <c r="E594" s="3" t="s">
        <v>144</v>
      </c>
      <c r="F594" s="15" t="n">
        <v>6703.66</v>
      </c>
      <c r="G594" s="15" t="n">
        <v>2021.78</v>
      </c>
      <c r="H594" s="15" t="n">
        <v>8725.44</v>
      </c>
      <c r="I594" s="7" t="n">
        <v>3</v>
      </c>
      <c r="J594" s="7" t="s">
        <v>1469</v>
      </c>
    </row>
    <row r="595" customFormat="false" ht="15" hidden="false" customHeight="false" outlineLevel="0" collapsed="false">
      <c r="A595" s="3" t="n">
        <v>4</v>
      </c>
      <c r="B595" s="24" t="n">
        <v>46113</v>
      </c>
      <c r="C595" s="3" t="s">
        <v>527</v>
      </c>
      <c r="D595" s="3" t="s">
        <v>212</v>
      </c>
      <c r="E595" s="3" t="s">
        <v>147</v>
      </c>
      <c r="F595" s="15" t="n">
        <v>8689.76</v>
      </c>
      <c r="G595" s="15" t="n">
        <v>2615.09</v>
      </c>
      <c r="H595" s="15" t="n">
        <v>11304.85</v>
      </c>
      <c r="I595" s="7" t="n">
        <v>4</v>
      </c>
      <c r="J595" s="7" t="s">
        <v>1470</v>
      </c>
    </row>
    <row r="596" customFormat="false" ht="15" hidden="false" customHeight="false" outlineLevel="0" collapsed="false">
      <c r="A596" s="3" t="n">
        <v>4</v>
      </c>
      <c r="B596" s="24" t="n">
        <v>46113</v>
      </c>
      <c r="C596" s="3" t="s">
        <v>527</v>
      </c>
      <c r="D596" s="3" t="s">
        <v>212</v>
      </c>
      <c r="E596" s="3" t="s">
        <v>135</v>
      </c>
      <c r="F596" s="15" t="n">
        <v>16329.3</v>
      </c>
      <c r="G596" s="15" t="n">
        <v>4908.06</v>
      </c>
      <c r="H596" s="15" t="n">
        <v>21237.36</v>
      </c>
      <c r="I596" s="7" t="n">
        <v>5</v>
      </c>
      <c r="J596" s="7" t="s">
        <v>1471</v>
      </c>
    </row>
    <row r="597" customFormat="false" ht="15" hidden="false" customHeight="false" outlineLevel="0" collapsed="false">
      <c r="A597" s="3" t="n">
        <v>4</v>
      </c>
      <c r="B597" s="24" t="n">
        <v>46113</v>
      </c>
      <c r="C597" s="3" t="s">
        <v>527</v>
      </c>
      <c r="D597" s="3" t="s">
        <v>212</v>
      </c>
      <c r="E597" s="3" t="s">
        <v>119</v>
      </c>
      <c r="F597" s="15" t="n">
        <v>128146.69</v>
      </c>
      <c r="G597" s="15" t="n">
        <v>40237</v>
      </c>
      <c r="H597" s="15" t="n">
        <v>168383.69</v>
      </c>
      <c r="I597" s="7" t="n">
        <v>6</v>
      </c>
      <c r="J597" s="7" t="s">
        <v>1472</v>
      </c>
    </row>
    <row r="598" customFormat="false" ht="15" hidden="false" customHeight="false" outlineLevel="0" collapsed="false">
      <c r="A598" s="3" t="n">
        <v>4</v>
      </c>
      <c r="B598" s="24" t="n">
        <v>46113</v>
      </c>
      <c r="C598" s="3" t="s">
        <v>527</v>
      </c>
      <c r="D598" s="3" t="s">
        <v>212</v>
      </c>
      <c r="E598" s="3" t="s">
        <v>142</v>
      </c>
      <c r="F598" s="15" t="n">
        <v>8726.86</v>
      </c>
      <c r="G598" s="15" t="n">
        <v>2689.42</v>
      </c>
      <c r="H598" s="15" t="n">
        <v>11416.28</v>
      </c>
      <c r="I598" s="7" t="n">
        <v>7</v>
      </c>
      <c r="J598" s="7" t="s">
        <v>1473</v>
      </c>
    </row>
    <row r="599" customFormat="false" ht="15" hidden="false" customHeight="false" outlineLevel="0" collapsed="false">
      <c r="A599" s="3" t="n">
        <v>4</v>
      </c>
      <c r="B599" s="24" t="n">
        <v>46113</v>
      </c>
      <c r="C599" s="3" t="s">
        <v>528</v>
      </c>
      <c r="D599" s="3" t="s">
        <v>214</v>
      </c>
      <c r="E599" s="3" t="s">
        <v>165</v>
      </c>
      <c r="F599" s="15" t="n">
        <v>2948.6</v>
      </c>
      <c r="G599" s="15" t="n">
        <v>1048.09</v>
      </c>
      <c r="H599" s="15" t="n">
        <v>3996.69</v>
      </c>
      <c r="I599" s="7" t="n">
        <v>1</v>
      </c>
      <c r="J599" s="7" t="s">
        <v>1474</v>
      </c>
    </row>
    <row r="600" customFormat="false" ht="15" hidden="false" customHeight="false" outlineLevel="0" collapsed="false">
      <c r="A600" s="3" t="n">
        <v>4</v>
      </c>
      <c r="B600" s="24" t="n">
        <v>46113</v>
      </c>
      <c r="C600" s="3" t="s">
        <v>529</v>
      </c>
      <c r="D600" s="3" t="s">
        <v>214</v>
      </c>
      <c r="E600" s="3" t="s">
        <v>112</v>
      </c>
      <c r="F600" s="15" t="n">
        <v>5594.03</v>
      </c>
      <c r="G600" s="15" t="n">
        <v>2098.46</v>
      </c>
      <c r="H600" s="15" t="n">
        <v>7692.49</v>
      </c>
      <c r="I600" s="7" t="n">
        <v>1</v>
      </c>
      <c r="J600" s="7" t="s">
        <v>1475</v>
      </c>
    </row>
    <row r="601" customFormat="false" ht="15" hidden="false" customHeight="false" outlineLevel="0" collapsed="false">
      <c r="A601" s="3" t="n">
        <v>4</v>
      </c>
      <c r="B601" s="24" t="n">
        <v>46113</v>
      </c>
      <c r="C601" s="3" t="s">
        <v>530</v>
      </c>
      <c r="D601" s="3" t="s">
        <v>217</v>
      </c>
      <c r="E601" s="3" t="s">
        <v>186</v>
      </c>
      <c r="F601" s="15" t="n">
        <v>729.44</v>
      </c>
      <c r="G601" s="15" t="n">
        <v>252.81</v>
      </c>
      <c r="H601" s="15" t="n">
        <v>982.25</v>
      </c>
      <c r="I601" s="7" t="n">
        <v>1</v>
      </c>
      <c r="J601" s="7" t="s">
        <v>1476</v>
      </c>
    </row>
    <row r="602" customFormat="false" ht="15" hidden="false" customHeight="false" outlineLevel="0" collapsed="false">
      <c r="A602" s="3" t="n">
        <v>4</v>
      </c>
      <c r="B602" s="24" t="n">
        <v>46113</v>
      </c>
      <c r="C602" s="3" t="s">
        <v>530</v>
      </c>
      <c r="D602" s="3" t="s">
        <v>217</v>
      </c>
      <c r="E602" s="3" t="s">
        <v>145</v>
      </c>
      <c r="F602" s="15" t="n">
        <v>9343.44</v>
      </c>
      <c r="G602" s="15" t="n">
        <v>3357.9</v>
      </c>
      <c r="H602" s="15" t="n">
        <v>12701.34</v>
      </c>
      <c r="I602" s="7" t="n">
        <v>2</v>
      </c>
      <c r="J602" s="7" t="s">
        <v>1477</v>
      </c>
    </row>
    <row r="603" customFormat="false" ht="15" hidden="false" customHeight="false" outlineLevel="0" collapsed="false">
      <c r="A603" s="3" t="n">
        <v>4</v>
      </c>
      <c r="B603" s="24" t="n">
        <v>46113</v>
      </c>
      <c r="C603" s="3" t="s">
        <v>531</v>
      </c>
      <c r="D603" s="3" t="s">
        <v>217</v>
      </c>
      <c r="E603" s="3" t="s">
        <v>159</v>
      </c>
      <c r="F603" s="15" t="n">
        <v>5824.72</v>
      </c>
      <c r="G603" s="15" t="n">
        <v>2092.87</v>
      </c>
      <c r="H603" s="15" t="n">
        <v>7917.59</v>
      </c>
      <c r="I603" s="7" t="n">
        <v>1</v>
      </c>
      <c r="J603" s="7" t="s">
        <v>1478</v>
      </c>
    </row>
    <row r="604" customFormat="false" ht="15" hidden="false" customHeight="false" outlineLevel="0" collapsed="false">
      <c r="A604" s="3" t="n">
        <v>4</v>
      </c>
      <c r="B604" s="24" t="n">
        <v>46113</v>
      </c>
      <c r="C604" s="3" t="s">
        <v>532</v>
      </c>
      <c r="D604" s="3" t="s">
        <v>217</v>
      </c>
      <c r="E604" s="3" t="s">
        <v>109</v>
      </c>
      <c r="F604" s="15" t="n">
        <v>48064.68</v>
      </c>
      <c r="G604" s="15" t="n">
        <v>16802.931179</v>
      </c>
      <c r="H604" s="15" t="n">
        <v>64867.611179</v>
      </c>
      <c r="I604" s="7" t="n">
        <v>1</v>
      </c>
      <c r="J604" s="7" t="s">
        <v>1479</v>
      </c>
    </row>
    <row r="605" customFormat="false" ht="15" hidden="false" customHeight="false" outlineLevel="0" collapsed="false">
      <c r="A605" s="3" t="n">
        <v>4</v>
      </c>
      <c r="B605" s="24" t="n">
        <v>46113</v>
      </c>
      <c r="C605" s="3" t="s">
        <v>533</v>
      </c>
      <c r="D605" s="3" t="s">
        <v>217</v>
      </c>
      <c r="E605" s="3" t="s">
        <v>112</v>
      </c>
      <c r="F605" s="15" t="n">
        <v>15451.91</v>
      </c>
      <c r="G605" s="15" t="n">
        <v>5627.62</v>
      </c>
      <c r="H605" s="15" t="n">
        <v>21079.53</v>
      </c>
      <c r="I605" s="7" t="n">
        <v>1</v>
      </c>
      <c r="J605" s="7" t="s">
        <v>1480</v>
      </c>
    </row>
    <row r="606" customFormat="false" ht="15" hidden="false" customHeight="false" outlineLevel="0" collapsed="false">
      <c r="A606" s="3" t="n">
        <v>4</v>
      </c>
      <c r="B606" s="24" t="n">
        <v>46113</v>
      </c>
      <c r="C606" s="3" t="s">
        <v>534</v>
      </c>
      <c r="D606" s="3" t="s">
        <v>219</v>
      </c>
      <c r="E606" s="3" t="s">
        <v>112</v>
      </c>
      <c r="F606" s="15" t="n">
        <v>550.800000000001</v>
      </c>
      <c r="G606" s="15" t="n">
        <v>1053.62</v>
      </c>
      <c r="H606" s="15" t="n">
        <v>1604.42</v>
      </c>
      <c r="I606" s="7" t="n">
        <v>1</v>
      </c>
      <c r="J606" s="7" t="s">
        <v>1481</v>
      </c>
    </row>
    <row r="607" customFormat="false" ht="15" hidden="false" customHeight="false" outlineLevel="0" collapsed="false">
      <c r="A607" s="3" t="n">
        <v>4</v>
      </c>
      <c r="B607" s="24" t="n">
        <v>46113</v>
      </c>
      <c r="C607" s="3" t="s">
        <v>535</v>
      </c>
      <c r="D607" s="3" t="s">
        <v>219</v>
      </c>
      <c r="E607" s="3" t="s">
        <v>130</v>
      </c>
      <c r="F607" s="15" t="n">
        <v>22112.44</v>
      </c>
      <c r="G607" s="15" t="n">
        <v>7683.28</v>
      </c>
      <c r="H607" s="15" t="n">
        <v>29795.72</v>
      </c>
      <c r="I607" s="7" t="n">
        <v>1</v>
      </c>
      <c r="J607" s="7" t="s">
        <v>1482</v>
      </c>
    </row>
    <row r="608" customFormat="false" ht="15" hidden="false" customHeight="false" outlineLevel="0" collapsed="false">
      <c r="A608" s="3" t="n">
        <v>4</v>
      </c>
      <c r="B608" s="24" t="n">
        <v>46113</v>
      </c>
      <c r="C608" s="3" t="s">
        <v>536</v>
      </c>
      <c r="D608" s="3" t="s">
        <v>219</v>
      </c>
      <c r="E608" s="3" t="s">
        <v>109</v>
      </c>
      <c r="F608" s="15" t="n">
        <v>28686.67</v>
      </c>
      <c r="G608" s="15" t="n">
        <v>10042.2</v>
      </c>
      <c r="H608" s="15" t="n">
        <v>38728.87</v>
      </c>
      <c r="I608" s="7" t="n">
        <v>1</v>
      </c>
      <c r="J608" s="7" t="s">
        <v>1483</v>
      </c>
    </row>
    <row r="609" customFormat="false" ht="15" hidden="false" customHeight="false" outlineLevel="0" collapsed="false">
      <c r="A609" s="3" t="n">
        <v>4</v>
      </c>
      <c r="B609" s="24" t="n">
        <v>46113</v>
      </c>
      <c r="C609" s="3" t="s">
        <v>537</v>
      </c>
      <c r="D609" s="3" t="s">
        <v>228</v>
      </c>
      <c r="E609" s="3" t="s">
        <v>122</v>
      </c>
      <c r="F609" s="15" t="n">
        <v>47465.04</v>
      </c>
      <c r="G609" s="15" t="n">
        <v>16528.8</v>
      </c>
      <c r="H609" s="15" t="n">
        <v>63993.84</v>
      </c>
      <c r="I609" s="7" t="n">
        <v>1</v>
      </c>
      <c r="J609" s="7" t="s">
        <v>1484</v>
      </c>
    </row>
    <row r="610" customFormat="false" ht="15" hidden="false" customHeight="false" outlineLevel="0" collapsed="false">
      <c r="A610" s="3" t="n">
        <v>4</v>
      </c>
      <c r="B610" s="24" t="n">
        <v>46113</v>
      </c>
      <c r="C610" s="3" t="s">
        <v>538</v>
      </c>
      <c r="D610" s="3" t="s">
        <v>228</v>
      </c>
      <c r="E610" s="3" t="s">
        <v>112</v>
      </c>
      <c r="F610" s="15" t="n">
        <v>14365.06</v>
      </c>
      <c r="G610" s="15" t="n">
        <v>5135.84</v>
      </c>
      <c r="H610" s="15" t="n">
        <v>19500.9</v>
      </c>
      <c r="I610" s="7" t="n">
        <v>1</v>
      </c>
      <c r="J610" s="7" t="s">
        <v>1485</v>
      </c>
    </row>
    <row r="611" customFormat="false" ht="15" hidden="false" customHeight="false" outlineLevel="0" collapsed="false">
      <c r="A611" s="3" t="n">
        <v>4</v>
      </c>
      <c r="B611" s="24" t="n">
        <v>46113</v>
      </c>
      <c r="C611" s="3" t="s">
        <v>539</v>
      </c>
      <c r="D611" s="3" t="s">
        <v>228</v>
      </c>
      <c r="E611" s="3" t="s">
        <v>109</v>
      </c>
      <c r="F611" s="15" t="n">
        <v>10134.68</v>
      </c>
      <c r="G611" s="15" t="n">
        <v>3532.06</v>
      </c>
      <c r="H611" s="15" t="n">
        <v>13666.74</v>
      </c>
      <c r="I611" s="7" t="n">
        <v>1</v>
      </c>
      <c r="J611" s="7" t="s">
        <v>1486</v>
      </c>
    </row>
    <row r="612" customFormat="false" ht="15" hidden="false" customHeight="false" outlineLevel="0" collapsed="false">
      <c r="A612" s="3" t="n">
        <v>4</v>
      </c>
      <c r="B612" s="24" t="n">
        <v>46113</v>
      </c>
      <c r="C612" s="3" t="s">
        <v>540</v>
      </c>
      <c r="D612" s="3" t="s">
        <v>231</v>
      </c>
      <c r="E612" s="3" t="s">
        <v>134</v>
      </c>
      <c r="F612" s="15" t="n">
        <v>18271.98</v>
      </c>
      <c r="G612" s="15" t="n">
        <v>6513.55</v>
      </c>
      <c r="H612" s="15" t="n">
        <v>24785.53</v>
      </c>
      <c r="I612" s="7" t="n">
        <v>1</v>
      </c>
      <c r="J612" s="7" t="s">
        <v>1487</v>
      </c>
    </row>
    <row r="613" customFormat="false" ht="15" hidden="false" customHeight="false" outlineLevel="0" collapsed="false">
      <c r="A613" s="3" t="n">
        <v>4</v>
      </c>
      <c r="B613" s="24" t="n">
        <v>46113</v>
      </c>
      <c r="C613" s="3" t="s">
        <v>541</v>
      </c>
      <c r="D613" s="3" t="s">
        <v>231</v>
      </c>
      <c r="E613" s="3" t="s">
        <v>112</v>
      </c>
      <c r="F613" s="15" t="n">
        <v>18954.41</v>
      </c>
      <c r="G613" s="15" t="n">
        <v>7014.16</v>
      </c>
      <c r="H613" s="15" t="n">
        <v>25968.57</v>
      </c>
      <c r="I613" s="7" t="n">
        <v>1</v>
      </c>
      <c r="J613" s="7" t="s">
        <v>1488</v>
      </c>
    </row>
    <row r="614" customFormat="false" ht="15" hidden="false" customHeight="false" outlineLevel="0" collapsed="false">
      <c r="A614" s="3" t="n">
        <v>4</v>
      </c>
      <c r="B614" s="24" t="n">
        <v>46113</v>
      </c>
      <c r="C614" s="3" t="s">
        <v>542</v>
      </c>
      <c r="D614" s="3" t="s">
        <v>234</v>
      </c>
      <c r="E614" s="3" t="s">
        <v>141</v>
      </c>
      <c r="F614" s="15" t="n">
        <v>5349.8</v>
      </c>
      <c r="G614" s="15" t="n">
        <v>1904.51</v>
      </c>
      <c r="H614" s="15" t="n">
        <v>7254.31</v>
      </c>
      <c r="I614" s="7" t="n">
        <v>1</v>
      </c>
      <c r="J614" s="7" t="s">
        <v>1489</v>
      </c>
    </row>
    <row r="615" customFormat="false" ht="15" hidden="false" customHeight="false" outlineLevel="0" collapsed="false">
      <c r="A615" s="3" t="n">
        <v>4</v>
      </c>
      <c r="B615" s="24" t="n">
        <v>46113</v>
      </c>
      <c r="C615" s="3" t="s">
        <v>543</v>
      </c>
      <c r="D615" s="3" t="s">
        <v>234</v>
      </c>
      <c r="E615" s="3" t="s">
        <v>112</v>
      </c>
      <c r="F615" s="15" t="n">
        <v>10590.51</v>
      </c>
      <c r="G615" s="15" t="n">
        <v>3847.61</v>
      </c>
      <c r="H615" s="15" t="n">
        <v>14438.12</v>
      </c>
      <c r="I615" s="7" t="n">
        <v>1</v>
      </c>
      <c r="J615" s="7" t="s">
        <v>1490</v>
      </c>
    </row>
    <row r="616" customFormat="false" ht="15" hidden="false" customHeight="false" outlineLevel="0" collapsed="false">
      <c r="A616" s="3" t="n">
        <v>4</v>
      </c>
      <c r="B616" s="24" t="n">
        <v>46113</v>
      </c>
      <c r="C616" s="3" t="s">
        <v>544</v>
      </c>
      <c r="D616" s="3" t="s">
        <v>224</v>
      </c>
      <c r="E616" s="3" t="s">
        <v>152</v>
      </c>
      <c r="F616" s="15" t="n">
        <v>2645.49</v>
      </c>
      <c r="G616" s="15" t="n">
        <v>942.05</v>
      </c>
      <c r="H616" s="15" t="n">
        <v>3587.54</v>
      </c>
      <c r="I616" s="7" t="n">
        <v>1</v>
      </c>
      <c r="J616" s="7" t="s">
        <v>1491</v>
      </c>
    </row>
    <row r="617" customFormat="false" ht="15" hidden="false" customHeight="false" outlineLevel="0" collapsed="false">
      <c r="A617" s="3" t="n">
        <v>4</v>
      </c>
      <c r="B617" s="24" t="n">
        <v>46113</v>
      </c>
      <c r="C617" s="3" t="s">
        <v>545</v>
      </c>
      <c r="D617" s="3" t="s">
        <v>224</v>
      </c>
      <c r="E617" s="3" t="s">
        <v>143</v>
      </c>
      <c r="F617" s="15" t="n">
        <v>11175.18</v>
      </c>
      <c r="G617" s="15" t="n">
        <v>3988.78</v>
      </c>
      <c r="H617" s="15" t="n">
        <v>15163.96</v>
      </c>
      <c r="I617" s="7" t="n">
        <v>1</v>
      </c>
      <c r="J617" s="7" t="s">
        <v>1492</v>
      </c>
    </row>
    <row r="618" customFormat="false" ht="15" hidden="false" customHeight="false" outlineLevel="0" collapsed="false">
      <c r="A618" s="3" t="n">
        <v>4</v>
      </c>
      <c r="B618" s="24" t="n">
        <v>46113</v>
      </c>
      <c r="C618" s="3" t="s">
        <v>546</v>
      </c>
      <c r="D618" s="3" t="s">
        <v>224</v>
      </c>
      <c r="E618" s="3" t="s">
        <v>128</v>
      </c>
      <c r="F618" s="15" t="n">
        <v>32035.27</v>
      </c>
      <c r="G618" s="15" t="n">
        <v>11153.319092</v>
      </c>
      <c r="H618" s="15" t="n">
        <v>43188.589092</v>
      </c>
      <c r="I618" s="7" t="n">
        <v>1</v>
      </c>
      <c r="J618" s="7" t="s">
        <v>1493</v>
      </c>
    </row>
    <row r="619" customFormat="false" ht="15" hidden="false" customHeight="false" outlineLevel="0" collapsed="false">
      <c r="A619" s="3" t="n">
        <v>4</v>
      </c>
      <c r="B619" s="24" t="n">
        <v>46113</v>
      </c>
      <c r="C619" s="3" t="s">
        <v>547</v>
      </c>
      <c r="D619" s="3" t="s">
        <v>243</v>
      </c>
      <c r="E619" s="3" t="s">
        <v>161</v>
      </c>
      <c r="F619" s="15" t="n">
        <v>5257.08</v>
      </c>
      <c r="G619" s="15" t="n">
        <v>1872.36</v>
      </c>
      <c r="H619" s="15" t="n">
        <v>7129.44</v>
      </c>
      <c r="I619" s="7" t="n">
        <v>1</v>
      </c>
      <c r="J619" s="7" t="s">
        <v>1494</v>
      </c>
    </row>
    <row r="620" customFormat="false" ht="15" hidden="false" customHeight="false" outlineLevel="0" collapsed="false">
      <c r="A620" s="3" t="n">
        <v>4</v>
      </c>
      <c r="B620" s="24" t="n">
        <v>46113</v>
      </c>
      <c r="C620" s="3" t="s">
        <v>548</v>
      </c>
      <c r="D620" s="3" t="s">
        <v>243</v>
      </c>
      <c r="E620" s="3" t="s">
        <v>112</v>
      </c>
      <c r="F620" s="15" t="n">
        <v>8961.11</v>
      </c>
      <c r="G620" s="15" t="n">
        <v>3331.73</v>
      </c>
      <c r="H620" s="15" t="n">
        <v>12292.84</v>
      </c>
      <c r="I620" s="7" t="n">
        <v>1</v>
      </c>
      <c r="J620" s="7" t="s">
        <v>1495</v>
      </c>
    </row>
    <row r="621" customFormat="false" ht="15" hidden="false" customHeight="false" outlineLevel="0" collapsed="false">
      <c r="A621" s="3" t="n">
        <v>4</v>
      </c>
      <c r="B621" s="24" t="n">
        <v>46113</v>
      </c>
      <c r="C621" s="3" t="s">
        <v>549</v>
      </c>
      <c r="D621" s="3" t="s">
        <v>246</v>
      </c>
      <c r="E621" s="3" t="s">
        <v>171</v>
      </c>
      <c r="F621" s="15" t="n">
        <v>2606.06</v>
      </c>
      <c r="G621" s="15" t="n">
        <v>928.4</v>
      </c>
      <c r="H621" s="15" t="n">
        <v>3534.46</v>
      </c>
      <c r="I621" s="7" t="n">
        <v>1</v>
      </c>
      <c r="J621" s="7" t="s">
        <v>1496</v>
      </c>
    </row>
    <row r="622" customFormat="false" ht="15" hidden="false" customHeight="false" outlineLevel="0" collapsed="false">
      <c r="A622" s="3" t="n">
        <v>4</v>
      </c>
      <c r="B622" s="24" t="n">
        <v>46113</v>
      </c>
      <c r="C622" s="3" t="s">
        <v>550</v>
      </c>
      <c r="D622" s="3" t="s">
        <v>246</v>
      </c>
      <c r="E622" s="3" t="s">
        <v>112</v>
      </c>
      <c r="F622" s="15" t="n">
        <v>2432.41</v>
      </c>
      <c r="G622" s="15" t="n">
        <v>867.44</v>
      </c>
      <c r="H622" s="15" t="n">
        <v>3299.85</v>
      </c>
      <c r="I622" s="7" t="n">
        <v>1</v>
      </c>
      <c r="J622" s="7" t="s">
        <v>1497</v>
      </c>
    </row>
    <row r="623" customFormat="false" ht="15" hidden="false" customHeight="false" outlineLevel="0" collapsed="false">
      <c r="A623" s="3" t="n">
        <v>4</v>
      </c>
      <c r="B623" s="24" t="n">
        <v>46113</v>
      </c>
      <c r="C623" s="3" t="s">
        <v>551</v>
      </c>
      <c r="D623" s="3" t="s">
        <v>249</v>
      </c>
      <c r="E623" s="3" t="s">
        <v>137</v>
      </c>
      <c r="F623" s="15" t="n">
        <v>6963.34</v>
      </c>
      <c r="G623" s="15" t="n">
        <v>2475.52</v>
      </c>
      <c r="H623" s="15" t="n">
        <v>9438.86</v>
      </c>
      <c r="I623" s="7" t="n">
        <v>1</v>
      </c>
      <c r="J623" s="7" t="s">
        <v>1498</v>
      </c>
    </row>
    <row r="624" customFormat="false" ht="15" hidden="false" customHeight="false" outlineLevel="0" collapsed="false">
      <c r="A624" s="3" t="n">
        <v>4</v>
      </c>
      <c r="B624" s="24" t="n">
        <v>46113</v>
      </c>
      <c r="C624" s="3" t="s">
        <v>552</v>
      </c>
      <c r="D624" s="3" t="s">
        <v>249</v>
      </c>
      <c r="E624" s="3" t="s">
        <v>112</v>
      </c>
      <c r="F624" s="15" t="n">
        <v>478.92</v>
      </c>
      <c r="G624" s="15" t="n">
        <v>334.39</v>
      </c>
      <c r="H624" s="15" t="n">
        <v>813.31</v>
      </c>
      <c r="I624" s="7" t="n">
        <v>1</v>
      </c>
      <c r="J624" s="7" t="s">
        <v>1499</v>
      </c>
    </row>
    <row r="625" customFormat="false" ht="15" hidden="false" customHeight="false" outlineLevel="0" collapsed="false">
      <c r="A625" s="3" t="n">
        <v>4</v>
      </c>
      <c r="B625" s="24" t="n">
        <v>46113</v>
      </c>
      <c r="C625" s="3" t="s">
        <v>553</v>
      </c>
      <c r="D625" s="3" t="s">
        <v>252</v>
      </c>
      <c r="E625" s="3" t="s">
        <v>166</v>
      </c>
      <c r="F625" s="15" t="n">
        <v>2857.17</v>
      </c>
      <c r="G625" s="15" t="n">
        <v>1025.26</v>
      </c>
      <c r="H625" s="15" t="n">
        <v>3882.43</v>
      </c>
      <c r="I625" s="7" t="n">
        <v>1</v>
      </c>
      <c r="J625" s="7" t="s">
        <v>1500</v>
      </c>
    </row>
    <row r="626" customFormat="false" ht="15" hidden="false" customHeight="false" outlineLevel="0" collapsed="false">
      <c r="A626" s="3" t="n">
        <v>4</v>
      </c>
      <c r="B626" s="24" t="n">
        <v>46113</v>
      </c>
      <c r="C626" s="3" t="s">
        <v>554</v>
      </c>
      <c r="D626" s="3" t="s">
        <v>252</v>
      </c>
      <c r="E626" s="3" t="s">
        <v>112</v>
      </c>
      <c r="F626" s="15" t="n">
        <v>3654.31</v>
      </c>
      <c r="G626" s="15" t="n">
        <v>1330.79</v>
      </c>
      <c r="H626" s="15" t="n">
        <v>4985.1</v>
      </c>
      <c r="I626" s="7" t="n">
        <v>1</v>
      </c>
      <c r="J626" s="7" t="s">
        <v>1501</v>
      </c>
    </row>
    <row r="627" customFormat="false" ht="15" hidden="false" customHeight="false" outlineLevel="0" collapsed="false">
      <c r="A627" s="3" t="n">
        <v>4</v>
      </c>
      <c r="B627" s="24" t="n">
        <v>46113</v>
      </c>
      <c r="C627" s="3" t="s">
        <v>555</v>
      </c>
      <c r="D627" s="3" t="s">
        <v>255</v>
      </c>
      <c r="E627" s="3" t="s">
        <v>168</v>
      </c>
      <c r="F627" s="15" t="n">
        <v>2851.67</v>
      </c>
      <c r="G627" s="15" t="n">
        <v>1013.51</v>
      </c>
      <c r="H627" s="15" t="n">
        <v>3865.18</v>
      </c>
      <c r="I627" s="7" t="n">
        <v>1</v>
      </c>
      <c r="J627" s="7" t="s">
        <v>1502</v>
      </c>
    </row>
    <row r="628" customFormat="false" ht="15" hidden="false" customHeight="false" outlineLevel="0" collapsed="false">
      <c r="A628" s="3" t="n">
        <v>4</v>
      </c>
      <c r="B628" s="24" t="n">
        <v>46113</v>
      </c>
      <c r="C628" s="3" t="s">
        <v>556</v>
      </c>
      <c r="D628" s="3" t="s">
        <v>255</v>
      </c>
      <c r="E628" s="3" t="s">
        <v>112</v>
      </c>
      <c r="F628" s="15" t="n">
        <v>6085.95</v>
      </c>
      <c r="G628" s="15" t="n">
        <v>2187.21</v>
      </c>
      <c r="H628" s="15" t="n">
        <v>8273.16</v>
      </c>
      <c r="I628" s="7" t="n">
        <v>1</v>
      </c>
      <c r="J628" s="7" t="s">
        <v>1503</v>
      </c>
    </row>
    <row r="629" customFormat="false" ht="15" hidden="false" customHeight="false" outlineLevel="0" collapsed="false">
      <c r="A629" s="3" t="n">
        <v>4</v>
      </c>
      <c r="B629" s="24" t="n">
        <v>46113</v>
      </c>
      <c r="C629" s="3" t="s">
        <v>557</v>
      </c>
      <c r="D629" s="3" t="s">
        <v>258</v>
      </c>
      <c r="E629" s="3" t="s">
        <v>112</v>
      </c>
      <c r="F629" s="15" t="n">
        <v>2519.23</v>
      </c>
      <c r="G629" s="15" t="n">
        <v>917.21</v>
      </c>
      <c r="H629" s="15" t="n">
        <v>3436.44</v>
      </c>
      <c r="I629" s="7" t="n">
        <v>1</v>
      </c>
      <c r="J629" s="7" t="s">
        <v>1504</v>
      </c>
    </row>
    <row r="630" customFormat="false" ht="15" hidden="false" customHeight="false" outlineLevel="0" collapsed="false">
      <c r="A630" s="3" t="n">
        <v>4</v>
      </c>
      <c r="B630" s="24" t="n">
        <v>46113</v>
      </c>
      <c r="C630" s="3" t="s">
        <v>558</v>
      </c>
      <c r="D630" s="3" t="s">
        <v>258</v>
      </c>
      <c r="E630" s="3" t="s">
        <v>146</v>
      </c>
      <c r="F630" s="15" t="n">
        <v>208.76</v>
      </c>
      <c r="G630" s="15" t="n">
        <v>72.36</v>
      </c>
      <c r="H630" s="15" t="n">
        <v>281.12</v>
      </c>
      <c r="I630" s="7" t="n">
        <v>1</v>
      </c>
      <c r="J630" s="7" t="s">
        <v>1505</v>
      </c>
    </row>
    <row r="631" customFormat="false" ht="15" hidden="false" customHeight="false" outlineLevel="0" collapsed="false">
      <c r="A631" s="3" t="n">
        <v>4</v>
      </c>
      <c r="B631" s="24" t="n">
        <v>46113</v>
      </c>
      <c r="C631" s="3" t="s">
        <v>559</v>
      </c>
      <c r="D631" s="3" t="s">
        <v>261</v>
      </c>
      <c r="E631" s="3" t="s">
        <v>175</v>
      </c>
      <c r="F631" s="15" t="n">
        <v>4216.07</v>
      </c>
      <c r="G631" s="15" t="n">
        <v>1512.22</v>
      </c>
      <c r="H631" s="15" t="n">
        <v>5728.29</v>
      </c>
      <c r="I631" s="7" t="n">
        <v>1</v>
      </c>
      <c r="J631" s="7" t="s">
        <v>1506</v>
      </c>
    </row>
    <row r="632" customFormat="false" ht="15" hidden="false" customHeight="false" outlineLevel="0" collapsed="false">
      <c r="A632" s="3" t="n">
        <v>4</v>
      </c>
      <c r="B632" s="24" t="n">
        <v>46113</v>
      </c>
      <c r="C632" s="3" t="s">
        <v>560</v>
      </c>
      <c r="D632" s="3" t="s">
        <v>261</v>
      </c>
      <c r="E632" s="3" t="s">
        <v>112</v>
      </c>
      <c r="F632" s="15" t="n">
        <v>2413.1</v>
      </c>
      <c r="G632" s="15" t="n">
        <v>860.75</v>
      </c>
      <c r="H632" s="15" t="n">
        <v>3273.85</v>
      </c>
      <c r="I632" s="7" t="n">
        <v>1</v>
      </c>
      <c r="J632" s="7" t="s">
        <v>1507</v>
      </c>
    </row>
    <row r="633" customFormat="false" ht="15" hidden="false" customHeight="false" outlineLevel="0" collapsed="false">
      <c r="A633" s="3" t="n">
        <v>4</v>
      </c>
      <c r="B633" s="24" t="n">
        <v>46113</v>
      </c>
      <c r="C633" s="3" t="s">
        <v>561</v>
      </c>
      <c r="D633" s="3" t="s">
        <v>344</v>
      </c>
      <c r="E633" s="3" t="s">
        <v>112</v>
      </c>
      <c r="F633" s="15" t="n">
        <v>2188.78</v>
      </c>
      <c r="G633" s="15" t="n">
        <v>866.25</v>
      </c>
      <c r="H633" s="15" t="n">
        <v>3055.03</v>
      </c>
      <c r="I633" s="7" t="n">
        <v>1</v>
      </c>
      <c r="J633" s="7" t="s">
        <v>1508</v>
      </c>
    </row>
    <row r="634" customFormat="false" ht="15" hidden="false" customHeight="false" outlineLevel="0" collapsed="false">
      <c r="A634" s="3" t="n">
        <v>4</v>
      </c>
      <c r="B634" s="24" t="n">
        <v>46113</v>
      </c>
      <c r="C634" s="3" t="s">
        <v>562</v>
      </c>
      <c r="D634" s="3" t="s">
        <v>237</v>
      </c>
      <c r="E634" s="3" t="s">
        <v>155</v>
      </c>
      <c r="F634" s="15" t="n">
        <v>1118.98</v>
      </c>
      <c r="G634" s="15" t="n">
        <v>510.45</v>
      </c>
      <c r="H634" s="15" t="n">
        <v>1629.43</v>
      </c>
      <c r="I634" s="7" t="n">
        <v>1</v>
      </c>
      <c r="J634" s="7" t="s">
        <v>1509</v>
      </c>
    </row>
    <row r="635" customFormat="false" ht="15" hidden="false" customHeight="false" outlineLevel="0" collapsed="false">
      <c r="A635" s="3" t="n">
        <v>4</v>
      </c>
      <c r="B635" s="24" t="n">
        <v>46113</v>
      </c>
      <c r="C635" s="3" t="s">
        <v>563</v>
      </c>
      <c r="D635" s="3" t="s">
        <v>237</v>
      </c>
      <c r="E635" s="3" t="s">
        <v>112</v>
      </c>
      <c r="F635" s="15" t="n">
        <v>11820.3</v>
      </c>
      <c r="G635" s="15" t="n">
        <v>4576.37</v>
      </c>
      <c r="H635" s="15" t="n">
        <v>16396.67</v>
      </c>
      <c r="I635" s="7" t="n">
        <v>1</v>
      </c>
      <c r="J635" s="7" t="s">
        <v>1510</v>
      </c>
    </row>
    <row r="636" customFormat="false" ht="15" hidden="false" customHeight="false" outlineLevel="0" collapsed="false">
      <c r="A636" s="3" t="n">
        <v>4</v>
      </c>
      <c r="B636" s="24" t="n">
        <v>46113</v>
      </c>
      <c r="C636" s="3" t="s">
        <v>564</v>
      </c>
      <c r="D636" s="3" t="s">
        <v>237</v>
      </c>
      <c r="E636" s="3" t="s">
        <v>109</v>
      </c>
      <c r="F636" s="15" t="n">
        <v>61131.35</v>
      </c>
      <c r="G636" s="15" t="n">
        <v>21282.58</v>
      </c>
      <c r="H636" s="15" t="n">
        <v>82413.93</v>
      </c>
      <c r="I636" s="7" t="n">
        <v>1</v>
      </c>
      <c r="J636" s="7" t="s">
        <v>1511</v>
      </c>
    </row>
    <row r="637" customFormat="false" ht="15" hidden="false" customHeight="false" outlineLevel="0" collapsed="false">
      <c r="A637" s="3" t="n">
        <v>4</v>
      </c>
      <c r="B637" s="24" t="n">
        <v>46113</v>
      </c>
      <c r="C637" s="3" t="s">
        <v>564</v>
      </c>
      <c r="D637" s="3" t="s">
        <v>237</v>
      </c>
      <c r="E637" s="3" t="s">
        <v>133</v>
      </c>
      <c r="F637" s="15" t="n">
        <v>15202.74</v>
      </c>
      <c r="G637" s="15" t="n">
        <v>5298.24</v>
      </c>
      <c r="H637" s="15" t="n">
        <v>20500.98</v>
      </c>
      <c r="I637" s="7" t="n">
        <v>2</v>
      </c>
      <c r="J637" s="7" t="s">
        <v>1512</v>
      </c>
    </row>
    <row r="638" customFormat="false" ht="15" hidden="false" customHeight="false" outlineLevel="0" collapsed="false">
      <c r="A638" s="3" t="n">
        <v>4</v>
      </c>
      <c r="B638" s="24" t="n">
        <v>46113</v>
      </c>
      <c r="C638" s="3" t="s">
        <v>565</v>
      </c>
      <c r="D638" s="3" t="s">
        <v>237</v>
      </c>
      <c r="E638" s="3" t="s">
        <v>130</v>
      </c>
      <c r="F638" s="15" t="n">
        <v>6523.69</v>
      </c>
      <c r="G638" s="15" t="n">
        <v>2268.79</v>
      </c>
      <c r="H638" s="15" t="n">
        <v>8792.48</v>
      </c>
      <c r="I638" s="7" t="n">
        <v>1</v>
      </c>
      <c r="J638" s="7" t="s">
        <v>1513</v>
      </c>
    </row>
    <row r="639" customFormat="false" ht="15" hidden="false" customHeight="false" outlineLevel="0" collapsed="false">
      <c r="A639" s="3" t="n">
        <v>4</v>
      </c>
      <c r="B639" s="24" t="n">
        <v>46113</v>
      </c>
      <c r="C639" s="3" t="s">
        <v>566</v>
      </c>
      <c r="D639" s="3" t="s">
        <v>269</v>
      </c>
      <c r="E639" s="3" t="s">
        <v>112</v>
      </c>
      <c r="F639" s="15" t="n">
        <v>19873.01</v>
      </c>
      <c r="G639" s="15" t="n">
        <v>7194.95</v>
      </c>
      <c r="H639" s="15" t="n">
        <v>27067.96</v>
      </c>
      <c r="I639" s="7" t="n">
        <v>1</v>
      </c>
      <c r="J639" s="7" t="s">
        <v>1514</v>
      </c>
    </row>
    <row r="640" customFormat="false" ht="15" hidden="false" customHeight="false" outlineLevel="0" collapsed="false">
      <c r="A640" s="3" t="n">
        <v>4</v>
      </c>
      <c r="B640" s="24" t="n">
        <v>46113</v>
      </c>
      <c r="C640" s="3" t="s">
        <v>566</v>
      </c>
      <c r="D640" s="3" t="s">
        <v>269</v>
      </c>
      <c r="E640" s="3" t="s">
        <v>164</v>
      </c>
      <c r="F640" s="15" t="n">
        <v>2511.58</v>
      </c>
      <c r="G640" s="15" t="n">
        <v>895.37</v>
      </c>
      <c r="H640" s="15" t="n">
        <v>3406.95</v>
      </c>
      <c r="I640" s="7" t="n">
        <v>2</v>
      </c>
      <c r="J640" s="7" t="s">
        <v>1515</v>
      </c>
    </row>
    <row r="641" customFormat="false" ht="15" hidden="false" customHeight="false" outlineLevel="0" collapsed="false">
      <c r="A641" s="3" t="n">
        <v>4</v>
      </c>
      <c r="B641" s="24" t="n">
        <v>46113</v>
      </c>
      <c r="C641" s="3" t="s">
        <v>566</v>
      </c>
      <c r="D641" s="3" t="s">
        <v>269</v>
      </c>
      <c r="E641" s="3" t="s">
        <v>157</v>
      </c>
      <c r="F641" s="15" t="n">
        <v>4924.27</v>
      </c>
      <c r="G641" s="15" t="n">
        <v>1745.71</v>
      </c>
      <c r="H641" s="15" t="n">
        <v>6669.98</v>
      </c>
      <c r="I641" s="7" t="n">
        <v>3</v>
      </c>
      <c r="J641" s="7" t="s">
        <v>1516</v>
      </c>
    </row>
    <row r="642" customFormat="false" ht="15" hidden="false" customHeight="false" outlineLevel="0" collapsed="false">
      <c r="A642" s="3" t="n">
        <v>4</v>
      </c>
      <c r="B642" s="24" t="n">
        <v>46113</v>
      </c>
      <c r="C642" s="3" t="s">
        <v>566</v>
      </c>
      <c r="D642" s="3" t="s">
        <v>269</v>
      </c>
      <c r="E642" s="3" t="s">
        <v>162</v>
      </c>
      <c r="F642" s="15" t="n">
        <v>2439.12</v>
      </c>
      <c r="G642" s="15" t="n">
        <v>870.26</v>
      </c>
      <c r="H642" s="15" t="n">
        <v>3309.38</v>
      </c>
      <c r="I642" s="7" t="n">
        <v>4</v>
      </c>
      <c r="J642" s="7" t="s">
        <v>1517</v>
      </c>
    </row>
    <row r="643" customFormat="false" ht="15" hidden="false" customHeight="false" outlineLevel="0" collapsed="false">
      <c r="A643" s="3" t="n">
        <v>4</v>
      </c>
      <c r="B643" s="24" t="n">
        <v>46113</v>
      </c>
      <c r="C643" s="3" t="s">
        <v>566</v>
      </c>
      <c r="D643" s="3" t="s">
        <v>269</v>
      </c>
      <c r="E643" s="3" t="s">
        <v>172</v>
      </c>
      <c r="F643" s="15" t="n">
        <v>2412.91</v>
      </c>
      <c r="G643" s="15" t="n">
        <v>867.37</v>
      </c>
      <c r="H643" s="15" t="n">
        <v>3280.28</v>
      </c>
      <c r="I643" s="7" t="n">
        <v>5</v>
      </c>
      <c r="J643" s="7" t="s">
        <v>1518</v>
      </c>
    </row>
    <row r="644" customFormat="false" ht="15" hidden="false" customHeight="false" outlineLevel="0" collapsed="false">
      <c r="A644" s="3" t="n">
        <v>4</v>
      </c>
      <c r="B644" s="24" t="n">
        <v>46113</v>
      </c>
      <c r="C644" s="3" t="s">
        <v>567</v>
      </c>
      <c r="D644" s="3" t="s">
        <v>269</v>
      </c>
      <c r="E644" s="3" t="s">
        <v>109</v>
      </c>
      <c r="F644" s="15" t="n">
        <v>118438.15</v>
      </c>
      <c r="G644" s="15" t="n">
        <v>40841.196633906</v>
      </c>
      <c r="H644" s="15" t="n">
        <v>159279.346633906</v>
      </c>
      <c r="I644" s="7" t="n">
        <v>1</v>
      </c>
      <c r="J644" s="7" t="s">
        <v>1519</v>
      </c>
    </row>
    <row r="645" customFormat="false" ht="15" hidden="false" customHeight="false" outlineLevel="0" collapsed="false">
      <c r="A645" s="3" t="n">
        <v>4</v>
      </c>
      <c r="B645" s="24" t="n">
        <v>46113</v>
      </c>
      <c r="C645" s="3" t="s">
        <v>568</v>
      </c>
      <c r="D645" s="3" t="s">
        <v>269</v>
      </c>
      <c r="E645" s="3" t="s">
        <v>136</v>
      </c>
      <c r="F645" s="15" t="n">
        <v>5538.6</v>
      </c>
      <c r="G645" s="15" t="n">
        <v>2000.79</v>
      </c>
      <c r="H645" s="15" t="n">
        <v>7539.39</v>
      </c>
      <c r="I645" s="7" t="n">
        <v>1</v>
      </c>
      <c r="J645" s="7" t="s">
        <v>1520</v>
      </c>
    </row>
    <row r="646" customFormat="false" ht="15" hidden="false" customHeight="false" outlineLevel="0" collapsed="false">
      <c r="A646" s="3" t="n">
        <v>4</v>
      </c>
      <c r="B646" s="24" t="n">
        <v>46113</v>
      </c>
      <c r="C646" s="3" t="s">
        <v>568</v>
      </c>
      <c r="D646" s="3" t="s">
        <v>269</v>
      </c>
      <c r="E646" s="3" t="s">
        <v>174</v>
      </c>
      <c r="F646" s="15" t="n">
        <v>1281.43</v>
      </c>
      <c r="G646" s="15" t="n">
        <v>541.96</v>
      </c>
      <c r="H646" s="15" t="n">
        <v>1823.39</v>
      </c>
      <c r="I646" s="7" t="n">
        <v>2</v>
      </c>
      <c r="J646" s="7" t="s">
        <v>1521</v>
      </c>
    </row>
    <row r="647" customFormat="false" ht="15" hidden="false" customHeight="false" outlineLevel="0" collapsed="false">
      <c r="A647" s="3" t="n">
        <v>4</v>
      </c>
      <c r="B647" s="24" t="n">
        <v>46113</v>
      </c>
      <c r="C647" s="3" t="s">
        <v>568</v>
      </c>
      <c r="D647" s="3" t="s">
        <v>269</v>
      </c>
      <c r="E647" s="3" t="s">
        <v>169</v>
      </c>
      <c r="F647" s="15" t="n">
        <v>2651.46</v>
      </c>
      <c r="G647" s="15" t="n">
        <v>1014.63</v>
      </c>
      <c r="H647" s="15" t="n">
        <v>3666.09</v>
      </c>
      <c r="I647" s="7" t="n">
        <v>3</v>
      </c>
      <c r="J647" s="7" t="s">
        <v>1522</v>
      </c>
    </row>
    <row r="648" customFormat="false" ht="15" hidden="false" customHeight="false" outlineLevel="0" collapsed="false">
      <c r="A648" s="3" t="n">
        <v>4</v>
      </c>
      <c r="B648" s="24" t="n">
        <v>46113</v>
      </c>
      <c r="C648" s="3" t="s">
        <v>568</v>
      </c>
      <c r="D648" s="3" t="s">
        <v>269</v>
      </c>
      <c r="E648" s="3" t="s">
        <v>180</v>
      </c>
      <c r="F648" s="15" t="n">
        <v>-267.07</v>
      </c>
      <c r="G648" s="15" t="n">
        <v>-63.33</v>
      </c>
      <c r="H648" s="15" t="n">
        <v>-330.4</v>
      </c>
      <c r="I648" s="7" t="n">
        <v>4</v>
      </c>
      <c r="J648" s="7" t="s">
        <v>1523</v>
      </c>
    </row>
    <row r="649" customFormat="false" ht="15" hidden="false" customHeight="false" outlineLevel="0" collapsed="false">
      <c r="A649" s="3" t="n">
        <v>4</v>
      </c>
      <c r="B649" s="24" t="n">
        <v>46113</v>
      </c>
      <c r="C649" s="3" t="s">
        <v>569</v>
      </c>
      <c r="D649" s="3" t="s">
        <v>222</v>
      </c>
      <c r="E649" s="3" t="s">
        <v>160</v>
      </c>
      <c r="F649" s="15" t="n">
        <v>5906.07</v>
      </c>
      <c r="G649" s="15" t="n">
        <v>2085.87</v>
      </c>
      <c r="H649" s="15" t="n">
        <v>7991.94</v>
      </c>
      <c r="I649" s="7" t="n">
        <v>1</v>
      </c>
      <c r="J649" s="7" t="s">
        <v>1524</v>
      </c>
    </row>
    <row r="650" customFormat="false" ht="15" hidden="false" customHeight="false" outlineLevel="0" collapsed="false">
      <c r="A650" s="3" t="n">
        <v>4</v>
      </c>
      <c r="B650" s="24" t="n">
        <v>46113</v>
      </c>
      <c r="C650" s="3" t="s">
        <v>569</v>
      </c>
      <c r="D650" s="3" t="s">
        <v>222</v>
      </c>
      <c r="E650" s="3" t="s">
        <v>140</v>
      </c>
      <c r="F650" s="15" t="n">
        <v>9853.19</v>
      </c>
      <c r="G650" s="15" t="n">
        <v>3460.39</v>
      </c>
      <c r="H650" s="15" t="n">
        <v>13313.58</v>
      </c>
      <c r="I650" s="7" t="n">
        <v>2</v>
      </c>
      <c r="J650" s="7" t="s">
        <v>1525</v>
      </c>
    </row>
    <row r="651" customFormat="false" ht="15" hidden="false" customHeight="false" outlineLevel="0" collapsed="false">
      <c r="A651" s="3" t="n">
        <v>4</v>
      </c>
      <c r="B651" s="24" t="n">
        <v>46113</v>
      </c>
      <c r="C651" s="3" t="s">
        <v>570</v>
      </c>
      <c r="D651" s="3" t="s">
        <v>222</v>
      </c>
      <c r="E651" s="3" t="s">
        <v>113</v>
      </c>
      <c r="F651" s="15" t="n">
        <v>168907.87</v>
      </c>
      <c r="G651" s="15" t="n">
        <v>59720.91</v>
      </c>
      <c r="H651" s="15" t="n">
        <v>228628.78</v>
      </c>
      <c r="I651" s="7" t="n">
        <v>1</v>
      </c>
      <c r="J651" s="7" t="s">
        <v>1526</v>
      </c>
    </row>
    <row r="652" customFormat="false" ht="15" hidden="false" customHeight="false" outlineLevel="0" collapsed="false">
      <c r="A652" s="3" t="n">
        <v>4</v>
      </c>
      <c r="B652" s="24" t="n">
        <v>46113</v>
      </c>
      <c r="C652" s="3" t="s">
        <v>570</v>
      </c>
      <c r="D652" s="3" t="s">
        <v>222</v>
      </c>
      <c r="E652" s="3" t="s">
        <v>111</v>
      </c>
      <c r="F652" s="15" t="n">
        <v>200815.01</v>
      </c>
      <c r="G652" s="15" t="n">
        <v>70946.11</v>
      </c>
      <c r="H652" s="15" t="n">
        <v>271761.12</v>
      </c>
      <c r="I652" s="7" t="n">
        <v>2</v>
      </c>
      <c r="J652" s="7" t="s">
        <v>1527</v>
      </c>
    </row>
    <row r="653" customFormat="false" ht="15" hidden="false" customHeight="false" outlineLevel="0" collapsed="false">
      <c r="A653" s="3" t="n">
        <v>4</v>
      </c>
      <c r="B653" s="24" t="n">
        <v>46113</v>
      </c>
      <c r="C653" s="3" t="s">
        <v>570</v>
      </c>
      <c r="D653" s="3" t="s">
        <v>222</v>
      </c>
      <c r="E653" s="3" t="s">
        <v>114</v>
      </c>
      <c r="F653" s="15" t="n">
        <v>134502.23</v>
      </c>
      <c r="G653" s="15" t="n">
        <v>47648.2</v>
      </c>
      <c r="H653" s="15" t="n">
        <v>182150.43</v>
      </c>
      <c r="I653" s="7" t="n">
        <v>3</v>
      </c>
      <c r="J653" s="7" t="s">
        <v>1528</v>
      </c>
    </row>
    <row r="654" customFormat="false" ht="15" hidden="false" customHeight="false" outlineLevel="0" collapsed="false">
      <c r="A654" s="3" t="n">
        <v>4</v>
      </c>
      <c r="B654" s="24" t="n">
        <v>46113</v>
      </c>
      <c r="C654" s="3" t="s">
        <v>571</v>
      </c>
      <c r="D654" s="3" t="s">
        <v>222</v>
      </c>
      <c r="E654" s="3" t="s">
        <v>124</v>
      </c>
      <c r="F654" s="15" t="n">
        <v>45471.37</v>
      </c>
      <c r="G654" s="15" t="n">
        <v>15949.1</v>
      </c>
      <c r="H654" s="15" t="n">
        <v>61420.47</v>
      </c>
      <c r="I654" s="7" t="n">
        <v>1</v>
      </c>
      <c r="J654" s="7" t="s">
        <v>1529</v>
      </c>
    </row>
    <row r="655" customFormat="false" ht="15" hidden="false" customHeight="false" outlineLevel="0" collapsed="false">
      <c r="A655" s="3" t="n">
        <v>4</v>
      </c>
      <c r="B655" s="24" t="n">
        <v>46113</v>
      </c>
      <c r="C655" s="3" t="s">
        <v>571</v>
      </c>
      <c r="D655" s="3" t="s">
        <v>222</v>
      </c>
      <c r="E655" s="3" t="s">
        <v>125</v>
      </c>
      <c r="F655" s="15" t="n">
        <v>28807.08</v>
      </c>
      <c r="G655" s="15" t="n">
        <v>10169.86</v>
      </c>
      <c r="H655" s="15" t="n">
        <v>38976.94</v>
      </c>
      <c r="I655" s="7" t="n">
        <v>2</v>
      </c>
      <c r="J655" s="7" t="s">
        <v>1530</v>
      </c>
    </row>
    <row r="656" customFormat="false" ht="15" hidden="false" customHeight="false" outlineLevel="0" collapsed="false">
      <c r="A656" s="3" t="n">
        <v>4</v>
      </c>
      <c r="B656" s="24" t="n">
        <v>46113</v>
      </c>
      <c r="C656" s="3" t="s">
        <v>571</v>
      </c>
      <c r="D656" s="3" t="s">
        <v>222</v>
      </c>
      <c r="E656" s="3" t="s">
        <v>123</v>
      </c>
      <c r="F656" s="15" t="n">
        <v>100169.38</v>
      </c>
      <c r="G656" s="15" t="n">
        <v>35435.16</v>
      </c>
      <c r="H656" s="15" t="n">
        <v>135604.54</v>
      </c>
      <c r="I656" s="7" t="n">
        <v>3</v>
      </c>
      <c r="J656" s="7" t="s">
        <v>1531</v>
      </c>
    </row>
    <row r="657" customFormat="false" ht="15" hidden="false" customHeight="false" outlineLevel="0" collapsed="false">
      <c r="A657" s="3" t="n">
        <v>4</v>
      </c>
      <c r="B657" s="24" t="n">
        <v>46113</v>
      </c>
      <c r="C657" s="3" t="s">
        <v>571</v>
      </c>
      <c r="D657" s="3" t="s">
        <v>222</v>
      </c>
      <c r="E657" s="3" t="s">
        <v>131</v>
      </c>
      <c r="F657" s="15" t="n">
        <v>4633.67</v>
      </c>
      <c r="G657" s="15" t="n">
        <v>1730.13</v>
      </c>
      <c r="H657" s="15" t="n">
        <v>6363.8</v>
      </c>
      <c r="I657" s="7" t="n">
        <v>4</v>
      </c>
      <c r="J657" s="7" t="s">
        <v>1532</v>
      </c>
    </row>
    <row r="658" customFormat="false" ht="15" hidden="false" customHeight="false" outlineLevel="0" collapsed="false">
      <c r="A658" s="3" t="n">
        <v>4</v>
      </c>
      <c r="B658" s="24" t="n">
        <v>46113</v>
      </c>
      <c r="C658" s="3" t="s">
        <v>571</v>
      </c>
      <c r="D658" s="3" t="s">
        <v>222</v>
      </c>
      <c r="E658" s="3" t="s">
        <v>127</v>
      </c>
      <c r="F658" s="15" t="n">
        <v>6008.5</v>
      </c>
      <c r="G658" s="15" t="n">
        <v>2326.26</v>
      </c>
      <c r="H658" s="15" t="n">
        <v>8334.76</v>
      </c>
      <c r="I658" s="7" t="n">
        <v>5</v>
      </c>
      <c r="J658" s="7" t="s">
        <v>1533</v>
      </c>
    </row>
    <row r="659" customFormat="false" ht="15" hidden="false" customHeight="false" outlineLevel="0" collapsed="false">
      <c r="A659" s="3" t="n">
        <v>4</v>
      </c>
      <c r="B659" s="24" t="n">
        <v>46113</v>
      </c>
      <c r="C659" s="3" t="s">
        <v>571</v>
      </c>
      <c r="D659" s="3" t="s">
        <v>222</v>
      </c>
      <c r="E659" s="3" t="s">
        <v>129</v>
      </c>
      <c r="F659" s="15" t="n">
        <v>13612.41</v>
      </c>
      <c r="G659" s="15" t="n">
        <v>4888.71</v>
      </c>
      <c r="H659" s="15" t="n">
        <v>18501.12</v>
      </c>
      <c r="I659" s="7" t="n">
        <v>6</v>
      </c>
      <c r="J659" s="7" t="s">
        <v>1534</v>
      </c>
    </row>
    <row r="660" customFormat="false" ht="15" hidden="false" customHeight="false" outlineLevel="0" collapsed="false">
      <c r="A660" s="3" t="n">
        <v>4</v>
      </c>
      <c r="B660" s="24" t="n">
        <v>46113</v>
      </c>
      <c r="C660" s="3" t="s">
        <v>571</v>
      </c>
      <c r="D660" s="3" t="s">
        <v>222</v>
      </c>
      <c r="E660" s="3" t="s">
        <v>116</v>
      </c>
      <c r="F660" s="15" t="n">
        <v>102207.9</v>
      </c>
      <c r="G660" s="15" t="n">
        <v>36071.63</v>
      </c>
      <c r="H660" s="15" t="n">
        <v>138279.53</v>
      </c>
      <c r="I660" s="7" t="n">
        <v>7</v>
      </c>
      <c r="J660" s="7" t="s">
        <v>1535</v>
      </c>
    </row>
    <row r="661" customFormat="false" ht="15" hidden="false" customHeight="false" outlineLevel="0" collapsed="false">
      <c r="A661" s="3" t="n">
        <v>4</v>
      </c>
      <c r="B661" s="24" t="n">
        <v>46113</v>
      </c>
      <c r="C661" s="3" t="s">
        <v>571</v>
      </c>
      <c r="D661" s="3" t="s">
        <v>222</v>
      </c>
      <c r="E661" s="3" t="s">
        <v>115</v>
      </c>
      <c r="F661" s="15" t="n">
        <v>76110.92</v>
      </c>
      <c r="G661" s="15" t="n">
        <v>27051.64</v>
      </c>
      <c r="H661" s="15" t="n">
        <v>103162.56</v>
      </c>
      <c r="I661" s="7" t="n">
        <v>8</v>
      </c>
      <c r="J661" s="7" t="s">
        <v>1536</v>
      </c>
    </row>
    <row r="662" customFormat="false" ht="15" hidden="false" customHeight="false" outlineLevel="0" collapsed="false">
      <c r="A662" s="3" t="n">
        <v>4</v>
      </c>
      <c r="B662" s="24" t="n">
        <v>46113</v>
      </c>
      <c r="C662" s="3" t="s">
        <v>571</v>
      </c>
      <c r="D662" s="3" t="s">
        <v>222</v>
      </c>
      <c r="E662" s="3" t="s">
        <v>117</v>
      </c>
      <c r="F662" s="15" t="n">
        <v>83759.6</v>
      </c>
      <c r="G662" s="15" t="n">
        <v>29842.13</v>
      </c>
      <c r="H662" s="15" t="n">
        <v>113601.73</v>
      </c>
      <c r="I662" s="7" t="n">
        <v>9</v>
      </c>
      <c r="J662" s="7" t="s">
        <v>1537</v>
      </c>
    </row>
    <row r="663" customFormat="false" ht="15" hidden="false" customHeight="false" outlineLevel="0" collapsed="false">
      <c r="A663" s="3" t="n">
        <v>4</v>
      </c>
      <c r="B663" s="24" t="n">
        <v>46113</v>
      </c>
      <c r="C663" s="3" t="s">
        <v>571</v>
      </c>
      <c r="D663" s="3" t="s">
        <v>222</v>
      </c>
      <c r="E663" s="3" t="s">
        <v>108</v>
      </c>
      <c r="F663" s="15" t="n">
        <v>482062.46</v>
      </c>
      <c r="G663" s="15" t="n">
        <v>169924.94</v>
      </c>
      <c r="H663" s="15" t="n">
        <v>651987.4</v>
      </c>
      <c r="I663" s="7" t="n">
        <v>10</v>
      </c>
      <c r="J663" s="7" t="s">
        <v>1538</v>
      </c>
    </row>
    <row r="664" customFormat="false" ht="15" hidden="false" customHeight="false" outlineLevel="0" collapsed="false">
      <c r="A664" s="3" t="n">
        <v>4</v>
      </c>
      <c r="B664" s="24" t="n">
        <v>46113</v>
      </c>
      <c r="C664" s="3" t="s">
        <v>571</v>
      </c>
      <c r="D664" s="3" t="s">
        <v>222</v>
      </c>
      <c r="E664" s="3" t="s">
        <v>110</v>
      </c>
      <c r="F664" s="15" t="n">
        <v>360659.54</v>
      </c>
      <c r="G664" s="15" t="n">
        <v>126867.62</v>
      </c>
      <c r="H664" s="15" t="n">
        <v>487527.16</v>
      </c>
      <c r="I664" s="7" t="n">
        <v>11</v>
      </c>
      <c r="J664" s="7" t="s">
        <v>1539</v>
      </c>
    </row>
    <row r="665" customFormat="false" ht="15" hidden="false" customHeight="false" outlineLevel="0" collapsed="false">
      <c r="A665" s="3" t="n">
        <v>4</v>
      </c>
      <c r="B665" s="24" t="n">
        <v>46113</v>
      </c>
      <c r="C665" s="3" t="s">
        <v>571</v>
      </c>
      <c r="D665" s="3" t="s">
        <v>222</v>
      </c>
      <c r="E665" s="3" t="s">
        <v>151</v>
      </c>
      <c r="F665" s="15" t="n">
        <v>6175.42</v>
      </c>
      <c r="G665" s="15" t="n">
        <v>2172.81</v>
      </c>
      <c r="H665" s="15" t="n">
        <v>8348.23</v>
      </c>
      <c r="I665" s="7" t="n">
        <v>12</v>
      </c>
      <c r="J665" s="7" t="s">
        <v>1540</v>
      </c>
    </row>
    <row r="666" customFormat="false" ht="15" hidden="false" customHeight="false" outlineLevel="0" collapsed="false">
      <c r="A666" s="3" t="n">
        <v>4</v>
      </c>
      <c r="B666" s="24" t="n">
        <v>46113</v>
      </c>
      <c r="C666" s="3" t="s">
        <v>571</v>
      </c>
      <c r="D666" s="3" t="s">
        <v>222</v>
      </c>
      <c r="E666" s="3" t="s">
        <v>121</v>
      </c>
      <c r="F666" s="15" t="n">
        <v>45062.89</v>
      </c>
      <c r="G666" s="15" t="n">
        <v>15877.93</v>
      </c>
      <c r="H666" s="15" t="n">
        <v>60940.82</v>
      </c>
      <c r="I666" s="7" t="n">
        <v>13</v>
      </c>
      <c r="J666" s="7" t="s">
        <v>1541</v>
      </c>
    </row>
    <row r="667" customFormat="false" ht="15" hidden="false" customHeight="false" outlineLevel="0" collapsed="false">
      <c r="A667" s="3" t="n">
        <v>4</v>
      </c>
      <c r="B667" s="24" t="n">
        <v>46113</v>
      </c>
      <c r="C667" s="3" t="s">
        <v>571</v>
      </c>
      <c r="D667" s="3" t="s">
        <v>222</v>
      </c>
      <c r="E667" s="3" t="s">
        <v>132</v>
      </c>
      <c r="F667" s="15" t="n">
        <v>23952.77</v>
      </c>
      <c r="G667" s="15" t="n">
        <v>8439.91</v>
      </c>
      <c r="H667" s="15" t="n">
        <v>32392.68</v>
      </c>
      <c r="I667" s="7" t="n">
        <v>14</v>
      </c>
      <c r="J667" s="7" t="s">
        <v>1542</v>
      </c>
    </row>
    <row r="668" customFormat="false" ht="15" hidden="false" customHeight="false" outlineLevel="0" collapsed="false">
      <c r="A668" s="3" t="n">
        <v>4</v>
      </c>
      <c r="B668" s="24" t="n">
        <v>46113</v>
      </c>
      <c r="C668" s="3" t="s">
        <v>572</v>
      </c>
      <c r="D668" s="3" t="s">
        <v>226</v>
      </c>
      <c r="E668" s="3" t="s">
        <v>112</v>
      </c>
      <c r="F668" s="15" t="n">
        <v>10914.18</v>
      </c>
      <c r="G668" s="15" t="n">
        <v>3368.49</v>
      </c>
      <c r="H668" s="15" t="n">
        <v>14282.67</v>
      </c>
      <c r="I668" s="7" t="n">
        <v>1</v>
      </c>
      <c r="J668" s="7" t="s">
        <v>1543</v>
      </c>
    </row>
    <row r="669" customFormat="false" ht="15" hidden="false" customHeight="false" outlineLevel="0" collapsed="false">
      <c r="A669" s="3" t="n">
        <v>4</v>
      </c>
      <c r="B669" s="24" t="n">
        <v>46113</v>
      </c>
      <c r="C669" s="3" t="s">
        <v>573</v>
      </c>
      <c r="D669" s="3" t="s">
        <v>226</v>
      </c>
      <c r="E669" s="3" t="s">
        <v>109</v>
      </c>
      <c r="F669" s="15" t="n">
        <v>71706.36</v>
      </c>
      <c r="G669" s="15" t="n">
        <v>21753.97</v>
      </c>
      <c r="H669" s="15" t="n">
        <v>93460.33</v>
      </c>
      <c r="I669" s="7" t="n">
        <v>1</v>
      </c>
      <c r="J669" s="7" t="s">
        <v>1544</v>
      </c>
    </row>
    <row r="670" customFormat="false" ht="15" hidden="false" customHeight="false" outlineLevel="0" collapsed="false">
      <c r="A670" s="3" t="n">
        <v>4</v>
      </c>
      <c r="B670" s="24" t="n">
        <v>46113</v>
      </c>
      <c r="C670" s="3" t="s">
        <v>573</v>
      </c>
      <c r="D670" s="3" t="s">
        <v>226</v>
      </c>
      <c r="E670" s="3" t="s">
        <v>138</v>
      </c>
      <c r="F670" s="15" t="n">
        <v>11640.9</v>
      </c>
      <c r="G670" s="15" t="n">
        <v>3502.23</v>
      </c>
      <c r="H670" s="15" t="n">
        <v>15143.13</v>
      </c>
      <c r="I670" s="7" t="n">
        <v>2</v>
      </c>
      <c r="J670" s="7" t="s">
        <v>1545</v>
      </c>
    </row>
    <row r="671" customFormat="false" ht="15" hidden="false" customHeight="false" outlineLevel="0" collapsed="false">
      <c r="A671" s="3" t="n">
        <v>4</v>
      </c>
      <c r="B671" s="24" t="n">
        <v>46113</v>
      </c>
      <c r="C671" s="3" t="s">
        <v>573</v>
      </c>
      <c r="D671" s="3" t="s">
        <v>226</v>
      </c>
      <c r="E671" s="3" t="s">
        <v>163</v>
      </c>
      <c r="F671" s="15" t="n">
        <v>5052.14</v>
      </c>
      <c r="G671" s="15" t="n">
        <v>1526.55</v>
      </c>
      <c r="H671" s="15" t="n">
        <v>6578.69</v>
      </c>
      <c r="I671" s="7" t="n">
        <v>3</v>
      </c>
      <c r="J671" s="7" t="s">
        <v>1546</v>
      </c>
    </row>
    <row r="672" customFormat="false" ht="15" hidden="false" customHeight="false" outlineLevel="0" collapsed="false">
      <c r="A672" s="3" t="n">
        <v>4</v>
      </c>
      <c r="B672" s="24" t="n">
        <v>46113</v>
      </c>
      <c r="C672" s="3" t="s">
        <v>574</v>
      </c>
      <c r="D672" s="3" t="s">
        <v>222</v>
      </c>
      <c r="E672" s="3" t="s">
        <v>118</v>
      </c>
      <c r="F672" s="15" t="n">
        <v>115550.96</v>
      </c>
      <c r="G672" s="15" t="n">
        <v>40627.08</v>
      </c>
      <c r="H672" s="15" t="n">
        <v>156178.04</v>
      </c>
      <c r="I672" s="7" t="n">
        <v>1</v>
      </c>
      <c r="J672" s="7" t="s">
        <v>1547</v>
      </c>
    </row>
    <row r="673" customFormat="false" ht="15" hidden="false" customHeight="false" outlineLevel="0" collapsed="false">
      <c r="A673" s="3" t="n">
        <v>4</v>
      </c>
      <c r="B673" s="24" t="n">
        <v>46113</v>
      </c>
      <c r="C673" s="3" t="s">
        <v>575</v>
      </c>
      <c r="D673" s="3" t="s">
        <v>222</v>
      </c>
      <c r="E673" s="3" t="s">
        <v>120</v>
      </c>
      <c r="F673" s="15" t="n">
        <v>210919.59</v>
      </c>
      <c r="G673" s="15" t="n">
        <v>74524.9</v>
      </c>
      <c r="H673" s="15" t="n">
        <v>285444.49</v>
      </c>
      <c r="I673" s="7" t="n">
        <v>1</v>
      </c>
      <c r="J673" s="7" t="s">
        <v>1548</v>
      </c>
    </row>
    <row r="674" customFormat="false" ht="15" hidden="false" customHeight="false" outlineLevel="0" collapsed="false">
      <c r="A674" s="3" t="n">
        <v>4</v>
      </c>
      <c r="B674" s="24" t="n">
        <v>46113</v>
      </c>
      <c r="C674" s="3" t="s">
        <v>575</v>
      </c>
      <c r="D674" s="3" t="s">
        <v>222</v>
      </c>
      <c r="E674" s="3" t="s">
        <v>126</v>
      </c>
      <c r="F674" s="15" t="n">
        <v>29181.73</v>
      </c>
      <c r="G674" s="15" t="n">
        <v>10294.7</v>
      </c>
      <c r="H674" s="15" t="n">
        <v>39476.43</v>
      </c>
      <c r="I674" s="7" t="n">
        <v>2</v>
      </c>
      <c r="J674" s="7" t="s">
        <v>1549</v>
      </c>
    </row>
    <row r="675" customFormat="false" ht="15" hidden="false" customHeight="false" outlineLevel="0" collapsed="false">
      <c r="A675" s="3" t="n">
        <v>4</v>
      </c>
      <c r="B675" s="24" t="n">
        <v>46113</v>
      </c>
      <c r="C675" s="3" t="s">
        <v>575</v>
      </c>
      <c r="D675" s="3" t="s">
        <v>222</v>
      </c>
      <c r="E675" s="3" t="s">
        <v>158</v>
      </c>
      <c r="F675" s="15" t="n">
        <v>12253.32</v>
      </c>
      <c r="G675" s="15" t="n">
        <v>4303.58</v>
      </c>
      <c r="H675" s="15" t="n">
        <v>16556.9</v>
      </c>
      <c r="I675" s="7" t="n">
        <v>3</v>
      </c>
      <c r="J675" s="7" t="s">
        <v>1550</v>
      </c>
    </row>
    <row r="676" customFormat="false" ht="15" hidden="false" customHeight="false" outlineLevel="0" collapsed="false">
      <c r="A676" s="3" t="n">
        <v>4</v>
      </c>
      <c r="B676" s="24" t="n">
        <v>46113</v>
      </c>
      <c r="C676" s="3" t="s">
        <v>575</v>
      </c>
      <c r="D676" s="3" t="s">
        <v>222</v>
      </c>
      <c r="E676" s="3" t="s">
        <v>139</v>
      </c>
      <c r="F676" s="15" t="n">
        <v>12873.23</v>
      </c>
      <c r="G676" s="15" t="n">
        <v>4552.23</v>
      </c>
      <c r="H676" s="15" t="n">
        <v>17425.46</v>
      </c>
      <c r="I676" s="7" t="n">
        <v>4</v>
      </c>
      <c r="J676" s="7" t="s">
        <v>1551</v>
      </c>
    </row>
    <row r="677" customFormat="false" ht="15" hidden="false" customHeight="false" outlineLevel="0" collapsed="false">
      <c r="A677" s="3" t="n">
        <v>4</v>
      </c>
      <c r="B677" s="24" t="n">
        <v>46113</v>
      </c>
      <c r="C677" s="3" t="s">
        <v>576</v>
      </c>
      <c r="D677" s="3" t="s">
        <v>226</v>
      </c>
      <c r="E677" s="3" t="s">
        <v>109</v>
      </c>
      <c r="F677" s="15" t="n">
        <v>33386.08</v>
      </c>
      <c r="G677" s="15" t="n">
        <v>10057.56</v>
      </c>
      <c r="H677" s="15" t="n">
        <v>43443.64</v>
      </c>
      <c r="I677" s="7" t="n">
        <v>1</v>
      </c>
      <c r="J677" s="7" t="s">
        <v>1552</v>
      </c>
    </row>
    <row r="678" customFormat="false" ht="15" hidden="false" customHeight="false" outlineLevel="0" collapsed="false">
      <c r="A678" s="3" t="n">
        <v>4</v>
      </c>
      <c r="B678" s="24" t="n">
        <v>46113</v>
      </c>
      <c r="C678" s="3" t="s">
        <v>577</v>
      </c>
      <c r="D678" s="3" t="s">
        <v>212</v>
      </c>
      <c r="E678" s="3" t="s">
        <v>186</v>
      </c>
      <c r="F678" s="15" t="n">
        <v>36</v>
      </c>
      <c r="G678" s="15" t="n">
        <v>0</v>
      </c>
      <c r="H678" s="15" t="n">
        <v>36</v>
      </c>
      <c r="I678" s="7" t="n">
        <v>1</v>
      </c>
      <c r="J678" s="7" t="s">
        <v>1553</v>
      </c>
    </row>
    <row r="679" customFormat="false" ht="15" hidden="false" customHeight="false" outlineLevel="0" collapsed="false">
      <c r="A679" s="3" t="n">
        <v>4</v>
      </c>
      <c r="B679" s="24" t="n">
        <v>46113</v>
      </c>
      <c r="C679" s="3" t="s">
        <v>577</v>
      </c>
      <c r="D679" s="3" t="s">
        <v>212</v>
      </c>
      <c r="E679" s="3" t="s">
        <v>109</v>
      </c>
      <c r="F679" s="15" t="n">
        <v>3521.52</v>
      </c>
      <c r="G679" s="15" t="n">
        <v>0</v>
      </c>
      <c r="H679" s="15" t="n">
        <v>3521.52</v>
      </c>
      <c r="I679" s="7" t="n">
        <v>2</v>
      </c>
      <c r="J679" s="7" t="s">
        <v>1554</v>
      </c>
    </row>
    <row r="680" customFormat="false" ht="15" hidden="false" customHeight="false" outlineLevel="0" collapsed="false">
      <c r="A680" s="3" t="n">
        <v>4</v>
      </c>
      <c r="B680" s="24" t="n">
        <v>46113</v>
      </c>
      <c r="C680" s="3" t="s">
        <v>577</v>
      </c>
      <c r="D680" s="3" t="s">
        <v>212</v>
      </c>
      <c r="E680" s="3" t="s">
        <v>148</v>
      </c>
      <c r="F680" s="15" t="n">
        <v>804.9</v>
      </c>
      <c r="G680" s="15" t="n">
        <v>0</v>
      </c>
      <c r="H680" s="15" t="n">
        <v>804.9</v>
      </c>
      <c r="I680" s="7" t="n">
        <v>3</v>
      </c>
      <c r="J680" s="7" t="s">
        <v>1555</v>
      </c>
    </row>
    <row r="681" customFormat="false" ht="15" hidden="false" customHeight="false" outlineLevel="0" collapsed="false">
      <c r="A681" s="3" t="n">
        <v>4</v>
      </c>
      <c r="B681" s="24" t="n">
        <v>46113</v>
      </c>
      <c r="C681" s="3" t="s">
        <v>577</v>
      </c>
      <c r="D681" s="3" t="s">
        <v>212</v>
      </c>
      <c r="E681" s="3" t="s">
        <v>144</v>
      </c>
      <c r="F681" s="15" t="n">
        <v>804.9</v>
      </c>
      <c r="G681" s="15" t="n">
        <v>0</v>
      </c>
      <c r="H681" s="15" t="n">
        <v>804.9</v>
      </c>
      <c r="I681" s="7" t="n">
        <v>4</v>
      </c>
      <c r="J681" s="7" t="s">
        <v>1556</v>
      </c>
    </row>
    <row r="682" customFormat="false" ht="15" hidden="false" customHeight="false" outlineLevel="0" collapsed="false">
      <c r="A682" s="3" t="n">
        <v>4</v>
      </c>
      <c r="B682" s="24" t="n">
        <v>46113</v>
      </c>
      <c r="C682" s="3" t="s">
        <v>577</v>
      </c>
      <c r="D682" s="3" t="s">
        <v>212</v>
      </c>
      <c r="E682" s="3" t="s">
        <v>147</v>
      </c>
      <c r="F682" s="15" t="n">
        <v>652.9</v>
      </c>
      <c r="G682" s="15" t="n">
        <v>0</v>
      </c>
      <c r="H682" s="15" t="n">
        <v>652.9</v>
      </c>
      <c r="I682" s="7" t="n">
        <v>5</v>
      </c>
      <c r="J682" s="7" t="s">
        <v>1557</v>
      </c>
    </row>
    <row r="683" customFormat="false" ht="15" hidden="false" customHeight="false" outlineLevel="0" collapsed="false">
      <c r="A683" s="3" t="n">
        <v>4</v>
      </c>
      <c r="B683" s="24" t="n">
        <v>46113</v>
      </c>
      <c r="C683" s="3" t="s">
        <v>577</v>
      </c>
      <c r="D683" s="3" t="s">
        <v>212</v>
      </c>
      <c r="E683" s="3" t="s">
        <v>135</v>
      </c>
      <c r="F683" s="15" t="n">
        <v>804.9</v>
      </c>
      <c r="G683" s="15" t="n">
        <v>0</v>
      </c>
      <c r="H683" s="15" t="n">
        <v>804.9</v>
      </c>
      <c r="I683" s="7" t="n">
        <v>6</v>
      </c>
      <c r="J683" s="7" t="s">
        <v>1558</v>
      </c>
    </row>
    <row r="684" customFormat="false" ht="15" hidden="false" customHeight="false" outlineLevel="0" collapsed="false">
      <c r="A684" s="3" t="n">
        <v>4</v>
      </c>
      <c r="B684" s="24" t="n">
        <v>46113</v>
      </c>
      <c r="C684" s="3" t="s">
        <v>577</v>
      </c>
      <c r="D684" s="3" t="s">
        <v>212</v>
      </c>
      <c r="E684" s="3" t="s">
        <v>119</v>
      </c>
      <c r="F684" s="15" t="n">
        <v>33759.31</v>
      </c>
      <c r="G684" s="15" t="n">
        <v>0</v>
      </c>
      <c r="H684" s="15" t="n">
        <v>33759.31</v>
      </c>
      <c r="I684" s="7" t="n">
        <v>7</v>
      </c>
      <c r="J684" s="7" t="s">
        <v>1559</v>
      </c>
    </row>
    <row r="685" customFormat="false" ht="15" hidden="false" customHeight="false" outlineLevel="0" collapsed="false">
      <c r="A685" s="3" t="n">
        <v>4</v>
      </c>
      <c r="B685" s="24" t="n">
        <v>46113</v>
      </c>
      <c r="C685" s="3" t="s">
        <v>577</v>
      </c>
      <c r="D685" s="3" t="s">
        <v>212</v>
      </c>
      <c r="E685" s="3" t="s">
        <v>142</v>
      </c>
      <c r="F685" s="15" t="n">
        <v>2429</v>
      </c>
      <c r="G685" s="15" t="n">
        <v>0</v>
      </c>
      <c r="H685" s="15" t="n">
        <v>2429</v>
      </c>
      <c r="I685" s="7" t="n">
        <v>8</v>
      </c>
      <c r="J685" s="7" t="s">
        <v>1560</v>
      </c>
    </row>
    <row r="686" customFormat="false" ht="15" hidden="false" customHeight="false" outlineLevel="0" collapsed="false">
      <c r="A686" s="3" t="n">
        <v>4</v>
      </c>
      <c r="B686" s="24" t="n">
        <v>46113</v>
      </c>
      <c r="C686" s="3" t="s">
        <v>578</v>
      </c>
      <c r="D686" s="3" t="s">
        <v>214</v>
      </c>
      <c r="E686" s="3" t="s">
        <v>165</v>
      </c>
      <c r="F686" s="15" t="n">
        <v>1008.5</v>
      </c>
      <c r="G686" s="15" t="n">
        <v>0</v>
      </c>
      <c r="H686" s="15" t="n">
        <v>1008.5</v>
      </c>
      <c r="I686" s="7" t="n">
        <v>1</v>
      </c>
      <c r="J686" s="7" t="s">
        <v>1561</v>
      </c>
    </row>
    <row r="687" customFormat="false" ht="15" hidden="false" customHeight="false" outlineLevel="0" collapsed="false">
      <c r="A687" s="3" t="n">
        <v>4</v>
      </c>
      <c r="B687" s="24" t="n">
        <v>46113</v>
      </c>
      <c r="C687" s="3" t="s">
        <v>579</v>
      </c>
      <c r="D687" s="3" t="s">
        <v>214</v>
      </c>
      <c r="E687" s="3" t="s">
        <v>186</v>
      </c>
      <c r="F687" s="15" t="n">
        <v>40</v>
      </c>
      <c r="G687" s="15" t="n">
        <v>0</v>
      </c>
      <c r="H687" s="15" t="n">
        <v>40</v>
      </c>
      <c r="I687" s="7" t="n">
        <v>1</v>
      </c>
      <c r="J687" s="7" t="s">
        <v>1562</v>
      </c>
    </row>
    <row r="688" customFormat="false" ht="15" hidden="false" customHeight="false" outlineLevel="0" collapsed="false">
      <c r="A688" s="3" t="n">
        <v>4</v>
      </c>
      <c r="B688" s="24" t="n">
        <v>46113</v>
      </c>
      <c r="C688" s="3" t="s">
        <v>579</v>
      </c>
      <c r="D688" s="3" t="s">
        <v>214</v>
      </c>
      <c r="E688" s="3" t="s">
        <v>112</v>
      </c>
      <c r="F688" s="15" t="n">
        <v>3458.79</v>
      </c>
      <c r="G688" s="15" t="n">
        <v>0</v>
      </c>
      <c r="H688" s="15" t="n">
        <v>3458.79</v>
      </c>
      <c r="I688" s="7" t="n">
        <v>2</v>
      </c>
      <c r="J688" s="7" t="s">
        <v>1563</v>
      </c>
    </row>
    <row r="689" customFormat="false" ht="15" hidden="false" customHeight="false" outlineLevel="0" collapsed="false">
      <c r="A689" s="3" t="n">
        <v>4</v>
      </c>
      <c r="B689" s="24" t="n">
        <v>46113</v>
      </c>
      <c r="C689" s="3" t="s">
        <v>580</v>
      </c>
      <c r="D689" s="3" t="s">
        <v>217</v>
      </c>
      <c r="E689" s="3" t="s">
        <v>145</v>
      </c>
      <c r="F689" s="15" t="n">
        <v>5209.7</v>
      </c>
      <c r="G689" s="15" t="n">
        <v>0</v>
      </c>
      <c r="H689" s="15" t="n">
        <v>5209.7</v>
      </c>
      <c r="I689" s="7" t="n">
        <v>1</v>
      </c>
      <c r="J689" s="7" t="s">
        <v>1564</v>
      </c>
    </row>
    <row r="690" customFormat="false" ht="15" hidden="false" customHeight="false" outlineLevel="0" collapsed="false">
      <c r="A690" s="3" t="n">
        <v>4</v>
      </c>
      <c r="B690" s="24" t="n">
        <v>46113</v>
      </c>
      <c r="C690" s="3" t="s">
        <v>581</v>
      </c>
      <c r="D690" s="3" t="s">
        <v>217</v>
      </c>
      <c r="E690" s="3" t="s">
        <v>159</v>
      </c>
      <c r="F690" s="15" t="n">
        <v>3704.25</v>
      </c>
      <c r="G690" s="15" t="n">
        <v>0</v>
      </c>
      <c r="H690" s="15" t="n">
        <v>3704.25</v>
      </c>
      <c r="I690" s="7" t="n">
        <v>1</v>
      </c>
      <c r="J690" s="7" t="s">
        <v>1565</v>
      </c>
    </row>
    <row r="691" customFormat="false" ht="15" hidden="false" customHeight="false" outlineLevel="0" collapsed="false">
      <c r="A691" s="3" t="n">
        <v>4</v>
      </c>
      <c r="B691" s="24" t="n">
        <v>46113</v>
      </c>
      <c r="C691" s="3" t="s">
        <v>582</v>
      </c>
      <c r="D691" s="3" t="s">
        <v>217</v>
      </c>
      <c r="E691" s="3" t="s">
        <v>109</v>
      </c>
      <c r="F691" s="15" t="n">
        <v>10311.55</v>
      </c>
      <c r="G691" s="15" t="n">
        <v>0</v>
      </c>
      <c r="H691" s="15" t="n">
        <v>10311.55</v>
      </c>
      <c r="I691" s="7" t="n">
        <v>1</v>
      </c>
      <c r="J691" s="7" t="s">
        <v>1566</v>
      </c>
    </row>
    <row r="692" customFormat="false" ht="15" hidden="false" customHeight="false" outlineLevel="0" collapsed="false">
      <c r="A692" s="3" t="n">
        <v>4</v>
      </c>
      <c r="B692" s="24" t="n">
        <v>46113</v>
      </c>
      <c r="C692" s="3" t="s">
        <v>583</v>
      </c>
      <c r="D692" s="3" t="s">
        <v>217</v>
      </c>
      <c r="E692" s="3" t="s">
        <v>112</v>
      </c>
      <c r="F692" s="15" t="n">
        <v>8980.35</v>
      </c>
      <c r="G692" s="15" t="n">
        <v>0</v>
      </c>
      <c r="H692" s="15" t="n">
        <v>8980.35</v>
      </c>
      <c r="I692" s="7" t="n">
        <v>1</v>
      </c>
      <c r="J692" s="7" t="s">
        <v>1567</v>
      </c>
    </row>
    <row r="693" customFormat="false" ht="15" hidden="false" customHeight="false" outlineLevel="0" collapsed="false">
      <c r="A693" s="3" t="n">
        <v>4</v>
      </c>
      <c r="B693" s="24" t="n">
        <v>46113</v>
      </c>
      <c r="C693" s="3" t="s">
        <v>584</v>
      </c>
      <c r="D693" s="3" t="s">
        <v>219</v>
      </c>
      <c r="E693" s="3" t="s">
        <v>186</v>
      </c>
      <c r="F693" s="15" t="n">
        <v>55</v>
      </c>
      <c r="G693" s="15" t="n">
        <v>0</v>
      </c>
      <c r="H693" s="15" t="n">
        <v>55</v>
      </c>
      <c r="I693" s="7" t="n">
        <v>1</v>
      </c>
      <c r="J693" s="7" t="s">
        <v>1568</v>
      </c>
    </row>
    <row r="694" customFormat="false" ht="15" hidden="false" customHeight="false" outlineLevel="0" collapsed="false">
      <c r="A694" s="3" t="n">
        <v>4</v>
      </c>
      <c r="B694" s="24" t="n">
        <v>46113</v>
      </c>
      <c r="C694" s="3" t="s">
        <v>584</v>
      </c>
      <c r="D694" s="3" t="s">
        <v>219</v>
      </c>
      <c r="E694" s="3" t="s">
        <v>153</v>
      </c>
      <c r="F694" s="15" t="n">
        <v>924.38</v>
      </c>
      <c r="G694" s="15" t="n">
        <v>0</v>
      </c>
      <c r="H694" s="15" t="n">
        <v>924.38</v>
      </c>
      <c r="I694" s="7" t="n">
        <v>2</v>
      </c>
      <c r="J694" s="7" t="s">
        <v>1569</v>
      </c>
    </row>
    <row r="695" customFormat="false" ht="15" hidden="false" customHeight="false" outlineLevel="0" collapsed="false">
      <c r="A695" s="3" t="n">
        <v>4</v>
      </c>
      <c r="B695" s="24" t="n">
        <v>46113</v>
      </c>
      <c r="C695" s="3" t="s">
        <v>584</v>
      </c>
      <c r="D695" s="3" t="s">
        <v>219</v>
      </c>
      <c r="E695" s="3" t="s">
        <v>112</v>
      </c>
      <c r="F695" s="15" t="n">
        <v>80</v>
      </c>
      <c r="G695" s="15" t="n">
        <v>0</v>
      </c>
      <c r="H695" s="15" t="n">
        <v>80</v>
      </c>
      <c r="I695" s="7" t="n">
        <v>3</v>
      </c>
      <c r="J695" s="7" t="s">
        <v>1570</v>
      </c>
    </row>
    <row r="696" customFormat="false" ht="15" hidden="false" customHeight="false" outlineLevel="0" collapsed="false">
      <c r="A696" s="3" t="n">
        <v>4</v>
      </c>
      <c r="B696" s="24" t="n">
        <v>46113</v>
      </c>
      <c r="C696" s="3" t="s">
        <v>585</v>
      </c>
      <c r="D696" s="3" t="s">
        <v>219</v>
      </c>
      <c r="E696" s="3" t="s">
        <v>130</v>
      </c>
      <c r="F696" s="15" t="n">
        <v>8114.5</v>
      </c>
      <c r="G696" s="15" t="n">
        <v>0</v>
      </c>
      <c r="H696" s="15" t="n">
        <v>8114.5</v>
      </c>
      <c r="I696" s="7" t="n">
        <v>1</v>
      </c>
      <c r="J696" s="7" t="s">
        <v>1571</v>
      </c>
    </row>
    <row r="697" customFormat="false" ht="15" hidden="false" customHeight="false" outlineLevel="0" collapsed="false">
      <c r="A697" s="3" t="n">
        <v>4</v>
      </c>
      <c r="B697" s="24" t="n">
        <v>46113</v>
      </c>
      <c r="C697" s="3" t="s">
        <v>586</v>
      </c>
      <c r="D697" s="3" t="s">
        <v>219</v>
      </c>
      <c r="E697" s="3" t="s">
        <v>109</v>
      </c>
      <c r="F697" s="15" t="n">
        <v>28334.52</v>
      </c>
      <c r="G697" s="15" t="n">
        <v>0</v>
      </c>
      <c r="H697" s="15" t="n">
        <v>28334.52</v>
      </c>
      <c r="I697" s="7" t="n">
        <v>1</v>
      </c>
      <c r="J697" s="7" t="s">
        <v>1572</v>
      </c>
    </row>
    <row r="698" customFormat="false" ht="15" hidden="false" customHeight="false" outlineLevel="0" collapsed="false">
      <c r="A698" s="3" t="n">
        <v>4</v>
      </c>
      <c r="B698" s="24" t="n">
        <v>46113</v>
      </c>
      <c r="C698" s="3" t="s">
        <v>587</v>
      </c>
      <c r="D698" s="3" t="s">
        <v>219</v>
      </c>
      <c r="E698" s="3" t="s">
        <v>112</v>
      </c>
      <c r="F698" s="15" t="n">
        <v>12504.22</v>
      </c>
      <c r="G698" s="15" t="n">
        <v>0</v>
      </c>
      <c r="H698" s="15" t="n">
        <v>12504.22</v>
      </c>
      <c r="I698" s="7" t="n">
        <v>1</v>
      </c>
      <c r="J698" s="7" t="s">
        <v>1573</v>
      </c>
    </row>
    <row r="699" customFormat="false" ht="15" hidden="false" customHeight="false" outlineLevel="0" collapsed="false">
      <c r="A699" s="3" t="n">
        <v>4</v>
      </c>
      <c r="B699" s="24" t="n">
        <v>46113</v>
      </c>
      <c r="C699" s="3" t="s">
        <v>588</v>
      </c>
      <c r="D699" s="3" t="s">
        <v>228</v>
      </c>
      <c r="E699" s="3" t="s">
        <v>122</v>
      </c>
      <c r="F699" s="15" t="n">
        <v>14498.5</v>
      </c>
      <c r="G699" s="15" t="n">
        <v>0</v>
      </c>
      <c r="H699" s="15" t="n">
        <v>14498.5</v>
      </c>
      <c r="I699" s="7" t="n">
        <v>1</v>
      </c>
      <c r="J699" s="7" t="s">
        <v>1574</v>
      </c>
    </row>
    <row r="700" customFormat="false" ht="15" hidden="false" customHeight="false" outlineLevel="0" collapsed="false">
      <c r="A700" s="3" t="n">
        <v>4</v>
      </c>
      <c r="B700" s="24" t="n">
        <v>46113</v>
      </c>
      <c r="C700" s="3" t="s">
        <v>589</v>
      </c>
      <c r="D700" s="3" t="s">
        <v>228</v>
      </c>
      <c r="E700" s="3" t="s">
        <v>112</v>
      </c>
      <c r="F700" s="15" t="n">
        <v>5129.15</v>
      </c>
      <c r="G700" s="15" t="n">
        <v>0</v>
      </c>
      <c r="H700" s="15" t="n">
        <v>5129.15</v>
      </c>
      <c r="I700" s="7" t="n">
        <v>1</v>
      </c>
      <c r="J700" s="7" t="s">
        <v>1575</v>
      </c>
    </row>
    <row r="701" customFormat="false" ht="15" hidden="false" customHeight="false" outlineLevel="0" collapsed="false">
      <c r="A701" s="3" t="n">
        <v>4</v>
      </c>
      <c r="B701" s="24" t="n">
        <v>46113</v>
      </c>
      <c r="C701" s="3" t="s">
        <v>590</v>
      </c>
      <c r="D701" s="3" t="s">
        <v>228</v>
      </c>
      <c r="E701" s="3" t="s">
        <v>109</v>
      </c>
      <c r="F701" s="15" t="n">
        <v>4175.13</v>
      </c>
      <c r="G701" s="15" t="n">
        <v>0</v>
      </c>
      <c r="H701" s="15" t="n">
        <v>4175.13</v>
      </c>
      <c r="I701" s="7" t="n">
        <v>1</v>
      </c>
      <c r="J701" s="7" t="s">
        <v>1576</v>
      </c>
    </row>
    <row r="702" customFormat="false" ht="15" hidden="false" customHeight="false" outlineLevel="0" collapsed="false">
      <c r="A702" s="3" t="n">
        <v>4</v>
      </c>
      <c r="B702" s="24" t="n">
        <v>46113</v>
      </c>
      <c r="C702" s="3" t="s">
        <v>591</v>
      </c>
      <c r="D702" s="3" t="s">
        <v>231</v>
      </c>
      <c r="E702" s="3" t="s">
        <v>186</v>
      </c>
      <c r="F702" s="15" t="n">
        <v>100</v>
      </c>
      <c r="G702" s="15" t="n">
        <v>0</v>
      </c>
      <c r="H702" s="15" t="n">
        <v>100</v>
      </c>
      <c r="I702" s="7" t="n">
        <v>1</v>
      </c>
      <c r="J702" s="7" t="s">
        <v>1577</v>
      </c>
    </row>
    <row r="703" customFormat="false" ht="15" hidden="false" customHeight="false" outlineLevel="0" collapsed="false">
      <c r="A703" s="3" t="n">
        <v>4</v>
      </c>
      <c r="B703" s="24" t="n">
        <v>46113</v>
      </c>
      <c r="C703" s="3" t="s">
        <v>591</v>
      </c>
      <c r="D703" s="3" t="s">
        <v>231</v>
      </c>
      <c r="E703" s="3" t="s">
        <v>134</v>
      </c>
      <c r="F703" s="15" t="n">
        <v>6293.36</v>
      </c>
      <c r="G703" s="15" t="n">
        <v>0</v>
      </c>
      <c r="H703" s="15" t="n">
        <v>6293.36</v>
      </c>
      <c r="I703" s="7" t="n">
        <v>2</v>
      </c>
      <c r="J703" s="7" t="s">
        <v>1578</v>
      </c>
    </row>
    <row r="704" customFormat="false" ht="15" hidden="false" customHeight="false" outlineLevel="0" collapsed="false">
      <c r="A704" s="3" t="n">
        <v>4</v>
      </c>
      <c r="B704" s="24" t="n">
        <v>46113</v>
      </c>
      <c r="C704" s="3" t="s">
        <v>592</v>
      </c>
      <c r="D704" s="3" t="s">
        <v>231</v>
      </c>
      <c r="E704" s="3" t="s">
        <v>112</v>
      </c>
      <c r="F704" s="15" t="n">
        <v>8096.95</v>
      </c>
      <c r="G704" s="15" t="n">
        <v>0</v>
      </c>
      <c r="H704" s="15" t="n">
        <v>8096.95</v>
      </c>
      <c r="I704" s="7" t="n">
        <v>1</v>
      </c>
      <c r="J704" s="7" t="s">
        <v>1579</v>
      </c>
    </row>
    <row r="705" customFormat="false" ht="15" hidden="false" customHeight="false" outlineLevel="0" collapsed="false">
      <c r="A705" s="3" t="n">
        <v>4</v>
      </c>
      <c r="B705" s="24" t="n">
        <v>46113</v>
      </c>
      <c r="C705" s="3" t="s">
        <v>593</v>
      </c>
      <c r="D705" s="3" t="s">
        <v>234</v>
      </c>
      <c r="E705" s="3" t="s">
        <v>141</v>
      </c>
      <c r="F705" s="15" t="n">
        <v>1841</v>
      </c>
      <c r="G705" s="15" t="n">
        <v>0</v>
      </c>
      <c r="H705" s="15" t="n">
        <v>1841</v>
      </c>
      <c r="I705" s="7" t="n">
        <v>1</v>
      </c>
      <c r="J705" s="7" t="s">
        <v>1580</v>
      </c>
    </row>
    <row r="706" customFormat="false" ht="15" hidden="false" customHeight="false" outlineLevel="0" collapsed="false">
      <c r="A706" s="3" t="n">
        <v>4</v>
      </c>
      <c r="B706" s="24" t="n">
        <v>46113</v>
      </c>
      <c r="C706" s="3" t="s">
        <v>594</v>
      </c>
      <c r="D706" s="3" t="s">
        <v>234</v>
      </c>
      <c r="E706" s="3" t="s">
        <v>112</v>
      </c>
      <c r="F706" s="15" t="n">
        <v>3909.62</v>
      </c>
      <c r="G706" s="15" t="n">
        <v>0</v>
      </c>
      <c r="H706" s="15" t="n">
        <v>3909.62</v>
      </c>
      <c r="I706" s="7" t="n">
        <v>1</v>
      </c>
      <c r="J706" s="7" t="s">
        <v>1581</v>
      </c>
    </row>
    <row r="707" customFormat="false" ht="15" hidden="false" customHeight="false" outlineLevel="0" collapsed="false">
      <c r="A707" s="3" t="n">
        <v>4</v>
      </c>
      <c r="B707" s="24" t="n">
        <v>46113</v>
      </c>
      <c r="C707" s="3" t="s">
        <v>595</v>
      </c>
      <c r="D707" s="3" t="s">
        <v>224</v>
      </c>
      <c r="E707" s="3" t="s">
        <v>152</v>
      </c>
      <c r="F707" s="15" t="n">
        <v>1046.9</v>
      </c>
      <c r="G707" s="15" t="n">
        <v>0</v>
      </c>
      <c r="H707" s="15" t="n">
        <v>1046.9</v>
      </c>
      <c r="I707" s="7" t="n">
        <v>1</v>
      </c>
      <c r="J707" s="7" t="s">
        <v>1582</v>
      </c>
    </row>
    <row r="708" customFormat="false" ht="15" hidden="false" customHeight="false" outlineLevel="0" collapsed="false">
      <c r="A708" s="3" t="n">
        <v>4</v>
      </c>
      <c r="B708" s="24" t="n">
        <v>46113</v>
      </c>
      <c r="C708" s="3" t="s">
        <v>596</v>
      </c>
      <c r="D708" s="3" t="s">
        <v>224</v>
      </c>
      <c r="E708" s="3" t="s">
        <v>143</v>
      </c>
      <c r="F708" s="15" t="n">
        <v>5006.51</v>
      </c>
      <c r="G708" s="15" t="n">
        <v>0</v>
      </c>
      <c r="H708" s="15" t="n">
        <v>5006.51</v>
      </c>
      <c r="I708" s="7" t="n">
        <v>1</v>
      </c>
      <c r="J708" s="7" t="s">
        <v>1583</v>
      </c>
    </row>
    <row r="709" customFormat="false" ht="15" hidden="false" customHeight="false" outlineLevel="0" collapsed="false">
      <c r="A709" s="3" t="n">
        <v>4</v>
      </c>
      <c r="B709" s="24" t="n">
        <v>46113</v>
      </c>
      <c r="C709" s="3" t="s">
        <v>597</v>
      </c>
      <c r="D709" s="3" t="s">
        <v>224</v>
      </c>
      <c r="E709" s="3" t="s">
        <v>128</v>
      </c>
      <c r="F709" s="15" t="n">
        <v>1402.15</v>
      </c>
      <c r="G709" s="15" t="n">
        <v>0</v>
      </c>
      <c r="H709" s="15" t="n">
        <v>1402.15</v>
      </c>
      <c r="I709" s="7" t="n">
        <v>1</v>
      </c>
      <c r="J709" s="7" t="s">
        <v>1584</v>
      </c>
    </row>
    <row r="710" customFormat="false" ht="15" hidden="false" customHeight="false" outlineLevel="0" collapsed="false">
      <c r="A710" s="3" t="n">
        <v>4</v>
      </c>
      <c r="B710" s="24" t="n">
        <v>46113</v>
      </c>
      <c r="C710" s="3" t="s">
        <v>598</v>
      </c>
      <c r="D710" s="3" t="s">
        <v>226</v>
      </c>
      <c r="E710" s="3" t="s">
        <v>109</v>
      </c>
      <c r="F710" s="15" t="n">
        <v>5350.37</v>
      </c>
      <c r="G710" s="15" t="n">
        <v>0</v>
      </c>
      <c r="H710" s="15" t="n">
        <v>5350.37</v>
      </c>
      <c r="I710" s="7" t="n">
        <v>1</v>
      </c>
      <c r="J710" s="7" t="s">
        <v>1585</v>
      </c>
    </row>
    <row r="711" customFormat="false" ht="15" hidden="false" customHeight="false" outlineLevel="0" collapsed="false">
      <c r="A711" s="3" t="n">
        <v>4</v>
      </c>
      <c r="B711" s="24" t="n">
        <v>46113</v>
      </c>
      <c r="C711" s="3" t="s">
        <v>599</v>
      </c>
      <c r="D711" s="3" t="s">
        <v>226</v>
      </c>
      <c r="E711" s="3" t="s">
        <v>186</v>
      </c>
      <c r="F711" s="15" t="n">
        <v>1141.31</v>
      </c>
      <c r="G711" s="15" t="n">
        <v>0</v>
      </c>
      <c r="H711" s="15" t="n">
        <v>1141.31</v>
      </c>
      <c r="I711" s="7" t="n">
        <v>1</v>
      </c>
      <c r="J711" s="7" t="s">
        <v>1586</v>
      </c>
    </row>
    <row r="712" customFormat="false" ht="15" hidden="false" customHeight="false" outlineLevel="0" collapsed="false">
      <c r="A712" s="3" t="n">
        <v>4</v>
      </c>
      <c r="B712" s="24" t="n">
        <v>46113</v>
      </c>
      <c r="C712" s="3" t="s">
        <v>599</v>
      </c>
      <c r="D712" s="3" t="s">
        <v>226</v>
      </c>
      <c r="E712" s="3" t="s">
        <v>149</v>
      </c>
      <c r="F712" s="15" t="n">
        <v>240.3</v>
      </c>
      <c r="G712" s="15" t="n">
        <v>0</v>
      </c>
      <c r="H712" s="15" t="n">
        <v>240.3</v>
      </c>
      <c r="I712" s="7" t="n">
        <v>2</v>
      </c>
      <c r="J712" s="7" t="s">
        <v>1587</v>
      </c>
    </row>
    <row r="713" customFormat="false" ht="15" hidden="false" customHeight="false" outlineLevel="0" collapsed="false">
      <c r="A713" s="3" t="n">
        <v>4</v>
      </c>
      <c r="B713" s="24" t="n">
        <v>46113</v>
      </c>
      <c r="C713" s="3" t="s">
        <v>599</v>
      </c>
      <c r="D713" s="3" t="s">
        <v>226</v>
      </c>
      <c r="E713" s="3" t="s">
        <v>109</v>
      </c>
      <c r="F713" s="15" t="n">
        <v>17715.62</v>
      </c>
      <c r="G713" s="15" t="n">
        <v>0</v>
      </c>
      <c r="H713" s="15" t="n">
        <v>17715.62</v>
      </c>
      <c r="I713" s="7" t="n">
        <v>3</v>
      </c>
      <c r="J713" s="7" t="s">
        <v>1588</v>
      </c>
    </row>
    <row r="714" customFormat="false" ht="15" hidden="false" customHeight="false" outlineLevel="0" collapsed="false">
      <c r="A714" s="3" t="n">
        <v>4</v>
      </c>
      <c r="B714" s="24" t="n">
        <v>46113</v>
      </c>
      <c r="C714" s="3" t="s">
        <v>599</v>
      </c>
      <c r="D714" s="3" t="s">
        <v>226</v>
      </c>
      <c r="E714" s="3" t="s">
        <v>138</v>
      </c>
      <c r="F714" s="15" t="n">
        <v>1181.05</v>
      </c>
      <c r="G714" s="15" t="n">
        <v>0</v>
      </c>
      <c r="H714" s="15" t="n">
        <v>1181.05</v>
      </c>
      <c r="I714" s="7" t="n">
        <v>4</v>
      </c>
      <c r="J714" s="7" t="s">
        <v>1589</v>
      </c>
    </row>
    <row r="715" customFormat="false" ht="15" hidden="false" customHeight="false" outlineLevel="0" collapsed="false">
      <c r="A715" s="3" t="n">
        <v>4</v>
      </c>
      <c r="B715" s="24" t="n">
        <v>46113</v>
      </c>
      <c r="C715" s="3" t="s">
        <v>599</v>
      </c>
      <c r="D715" s="3" t="s">
        <v>226</v>
      </c>
      <c r="E715" s="3" t="s">
        <v>163</v>
      </c>
      <c r="F715" s="15" t="n">
        <v>921</v>
      </c>
      <c r="G715" s="15" t="n">
        <v>0</v>
      </c>
      <c r="H715" s="15" t="n">
        <v>921</v>
      </c>
      <c r="I715" s="7" t="n">
        <v>5</v>
      </c>
      <c r="J715" s="7" t="s">
        <v>1590</v>
      </c>
    </row>
    <row r="716" customFormat="false" ht="15" hidden="false" customHeight="false" outlineLevel="0" collapsed="false">
      <c r="A716" s="3" t="n">
        <v>4</v>
      </c>
      <c r="B716" s="24" t="n">
        <v>46113</v>
      </c>
      <c r="C716" s="3" t="s">
        <v>600</v>
      </c>
      <c r="D716" s="3" t="s">
        <v>226</v>
      </c>
      <c r="E716" s="3" t="s">
        <v>186</v>
      </c>
      <c r="F716" s="15" t="n">
        <v>274</v>
      </c>
      <c r="G716" s="15" t="n">
        <v>0</v>
      </c>
      <c r="H716" s="15" t="n">
        <v>274</v>
      </c>
      <c r="I716" s="7" t="n">
        <v>1</v>
      </c>
      <c r="J716" s="7" t="s">
        <v>1591</v>
      </c>
    </row>
    <row r="717" customFormat="false" ht="15" hidden="false" customHeight="false" outlineLevel="0" collapsed="false">
      <c r="A717" s="3" t="n">
        <v>4</v>
      </c>
      <c r="B717" s="24" t="n">
        <v>46113</v>
      </c>
      <c r="C717" s="3" t="s">
        <v>600</v>
      </c>
      <c r="D717" s="3" t="s">
        <v>226</v>
      </c>
      <c r="E717" s="3" t="s">
        <v>112</v>
      </c>
      <c r="F717" s="15" t="n">
        <v>5370.64</v>
      </c>
      <c r="G717" s="15" t="n">
        <v>0</v>
      </c>
      <c r="H717" s="15" t="n">
        <v>5370.64</v>
      </c>
      <c r="I717" s="7" t="n">
        <v>2</v>
      </c>
      <c r="J717" s="7" t="s">
        <v>1592</v>
      </c>
    </row>
    <row r="718" customFormat="false" ht="15" hidden="false" customHeight="false" outlineLevel="0" collapsed="false">
      <c r="A718" s="3" t="n">
        <v>4</v>
      </c>
      <c r="B718" s="24" t="n">
        <v>46113</v>
      </c>
      <c r="C718" s="3" t="s">
        <v>601</v>
      </c>
      <c r="D718" s="3" t="s">
        <v>243</v>
      </c>
      <c r="E718" s="3" t="s">
        <v>161</v>
      </c>
      <c r="F718" s="15" t="n">
        <v>2137.8</v>
      </c>
      <c r="G718" s="15" t="n">
        <v>0</v>
      </c>
      <c r="H718" s="15" t="n">
        <v>2137.8</v>
      </c>
      <c r="I718" s="7" t="n">
        <v>1</v>
      </c>
      <c r="J718" s="7" t="s">
        <v>1593</v>
      </c>
    </row>
    <row r="719" customFormat="false" ht="15" hidden="false" customHeight="false" outlineLevel="0" collapsed="false">
      <c r="A719" s="3" t="n">
        <v>4</v>
      </c>
      <c r="B719" s="24" t="n">
        <v>46113</v>
      </c>
      <c r="C719" s="3" t="s">
        <v>602</v>
      </c>
      <c r="D719" s="3" t="s">
        <v>243</v>
      </c>
      <c r="E719" s="3" t="s">
        <v>112</v>
      </c>
      <c r="F719" s="15" t="n">
        <v>3845.36</v>
      </c>
      <c r="G719" s="15" t="n">
        <v>0</v>
      </c>
      <c r="H719" s="15" t="n">
        <v>3845.36</v>
      </c>
      <c r="I719" s="7" t="n">
        <v>1</v>
      </c>
      <c r="J719" s="7" t="s">
        <v>1594</v>
      </c>
    </row>
    <row r="720" customFormat="false" ht="15" hidden="false" customHeight="false" outlineLevel="0" collapsed="false">
      <c r="A720" s="3" t="n">
        <v>4</v>
      </c>
      <c r="B720" s="24" t="n">
        <v>46113</v>
      </c>
      <c r="C720" s="3" t="s">
        <v>603</v>
      </c>
      <c r="D720" s="3" t="s">
        <v>246</v>
      </c>
      <c r="E720" s="3" t="s">
        <v>171</v>
      </c>
      <c r="F720" s="15" t="n">
        <v>1330.36</v>
      </c>
      <c r="G720" s="15" t="n">
        <v>0</v>
      </c>
      <c r="H720" s="15" t="n">
        <v>1330.36</v>
      </c>
      <c r="I720" s="7" t="n">
        <v>1</v>
      </c>
      <c r="J720" s="7" t="s">
        <v>1595</v>
      </c>
    </row>
    <row r="721" customFormat="false" ht="15" hidden="false" customHeight="false" outlineLevel="0" collapsed="false">
      <c r="A721" s="3" t="n">
        <v>4</v>
      </c>
      <c r="B721" s="24" t="n">
        <v>46113</v>
      </c>
      <c r="C721" s="3" t="s">
        <v>604</v>
      </c>
      <c r="D721" s="3" t="s">
        <v>246</v>
      </c>
      <c r="E721" s="3" t="s">
        <v>112</v>
      </c>
      <c r="F721" s="15" t="n">
        <v>850.5</v>
      </c>
      <c r="G721" s="15" t="n">
        <v>0</v>
      </c>
      <c r="H721" s="15" t="n">
        <v>850.5</v>
      </c>
      <c r="I721" s="7" t="n">
        <v>1</v>
      </c>
      <c r="J721" s="7" t="s">
        <v>1596</v>
      </c>
    </row>
    <row r="722" customFormat="false" ht="15" hidden="false" customHeight="false" outlineLevel="0" collapsed="false">
      <c r="A722" s="3" t="n">
        <v>4</v>
      </c>
      <c r="B722" s="24" t="n">
        <v>46113</v>
      </c>
      <c r="C722" s="3" t="s">
        <v>605</v>
      </c>
      <c r="D722" s="3" t="s">
        <v>249</v>
      </c>
      <c r="E722" s="3" t="s">
        <v>137</v>
      </c>
      <c r="F722" s="15" t="n">
        <v>2007.47</v>
      </c>
      <c r="G722" s="15" t="n">
        <v>0</v>
      </c>
      <c r="H722" s="15" t="n">
        <v>2007.47</v>
      </c>
      <c r="I722" s="7" t="n">
        <v>1</v>
      </c>
      <c r="J722" s="7" t="s">
        <v>1597</v>
      </c>
    </row>
    <row r="723" customFormat="false" ht="15" hidden="false" customHeight="false" outlineLevel="0" collapsed="false">
      <c r="A723" s="3" t="n">
        <v>4</v>
      </c>
      <c r="B723" s="24" t="n">
        <v>46113</v>
      </c>
      <c r="C723" s="3" t="s">
        <v>606</v>
      </c>
      <c r="D723" s="3" t="s">
        <v>249</v>
      </c>
      <c r="E723" s="3" t="s">
        <v>112</v>
      </c>
      <c r="F723" s="15" t="n">
        <v>830.5</v>
      </c>
      <c r="G723" s="15" t="n">
        <v>0</v>
      </c>
      <c r="H723" s="15" t="n">
        <v>830.5</v>
      </c>
      <c r="I723" s="7" t="n">
        <v>1</v>
      </c>
      <c r="J723" s="7" t="s">
        <v>1598</v>
      </c>
    </row>
    <row r="724" customFormat="false" ht="15" hidden="false" customHeight="false" outlineLevel="0" collapsed="false">
      <c r="A724" s="3" t="n">
        <v>4</v>
      </c>
      <c r="B724" s="24" t="n">
        <v>46113</v>
      </c>
      <c r="C724" s="3" t="s">
        <v>607</v>
      </c>
      <c r="D724" s="3" t="s">
        <v>252</v>
      </c>
      <c r="E724" s="3" t="s">
        <v>112</v>
      </c>
      <c r="F724" s="15" t="n">
        <v>1389.63</v>
      </c>
      <c r="G724" s="15" t="n">
        <v>0</v>
      </c>
      <c r="H724" s="15" t="n">
        <v>1389.63</v>
      </c>
      <c r="I724" s="7" t="n">
        <v>1</v>
      </c>
      <c r="J724" s="7" t="s">
        <v>1599</v>
      </c>
    </row>
    <row r="725" customFormat="false" ht="15" hidden="false" customHeight="false" outlineLevel="0" collapsed="false">
      <c r="A725" s="3" t="n">
        <v>4</v>
      </c>
      <c r="B725" s="24" t="n">
        <v>46113</v>
      </c>
      <c r="C725" s="3" t="s">
        <v>608</v>
      </c>
      <c r="D725" s="3" t="s">
        <v>252</v>
      </c>
      <c r="E725" s="3" t="s">
        <v>166</v>
      </c>
      <c r="F725" s="15" t="n">
        <v>1067.16</v>
      </c>
      <c r="G725" s="15" t="n">
        <v>0</v>
      </c>
      <c r="H725" s="15" t="n">
        <v>1067.16</v>
      </c>
      <c r="I725" s="7" t="n">
        <v>1</v>
      </c>
      <c r="J725" s="7" t="s">
        <v>1600</v>
      </c>
    </row>
    <row r="726" customFormat="false" ht="15" hidden="false" customHeight="false" outlineLevel="0" collapsed="false">
      <c r="A726" s="3" t="n">
        <v>4</v>
      </c>
      <c r="B726" s="24" t="n">
        <v>46113</v>
      </c>
      <c r="C726" s="3" t="s">
        <v>609</v>
      </c>
      <c r="D726" s="3" t="s">
        <v>255</v>
      </c>
      <c r="E726" s="3" t="s">
        <v>168</v>
      </c>
      <c r="F726" s="15" t="n">
        <v>868.5</v>
      </c>
      <c r="G726" s="15" t="n">
        <v>0</v>
      </c>
      <c r="H726" s="15" t="n">
        <v>868.5</v>
      </c>
      <c r="I726" s="7" t="n">
        <v>1</v>
      </c>
      <c r="J726" s="7" t="s">
        <v>1601</v>
      </c>
    </row>
    <row r="727" customFormat="false" ht="15" hidden="false" customHeight="false" outlineLevel="0" collapsed="false">
      <c r="A727" s="3" t="n">
        <v>4</v>
      </c>
      <c r="B727" s="24" t="n">
        <v>46113</v>
      </c>
      <c r="C727" s="3" t="s">
        <v>610</v>
      </c>
      <c r="D727" s="3" t="s">
        <v>255</v>
      </c>
      <c r="E727" s="3" t="s">
        <v>112</v>
      </c>
      <c r="F727" s="15" t="n">
        <v>2238.43</v>
      </c>
      <c r="G727" s="15" t="n">
        <v>0</v>
      </c>
      <c r="H727" s="15" t="n">
        <v>2238.43</v>
      </c>
      <c r="I727" s="7" t="n">
        <v>1</v>
      </c>
      <c r="J727" s="7" t="s">
        <v>1602</v>
      </c>
    </row>
    <row r="728" customFormat="false" ht="15" hidden="false" customHeight="false" outlineLevel="0" collapsed="false">
      <c r="A728" s="3" t="n">
        <v>4</v>
      </c>
      <c r="B728" s="24" t="n">
        <v>46113</v>
      </c>
      <c r="C728" s="3" t="s">
        <v>611</v>
      </c>
      <c r="D728" s="3" t="s">
        <v>258</v>
      </c>
      <c r="E728" s="3" t="s">
        <v>112</v>
      </c>
      <c r="F728" s="15" t="n">
        <v>1018.5</v>
      </c>
      <c r="G728" s="15" t="n">
        <v>0</v>
      </c>
      <c r="H728" s="15" t="n">
        <v>1018.5</v>
      </c>
      <c r="I728" s="7" t="n">
        <v>1</v>
      </c>
      <c r="J728" s="7" t="s">
        <v>1603</v>
      </c>
    </row>
    <row r="729" customFormat="false" ht="15" hidden="false" customHeight="false" outlineLevel="0" collapsed="false">
      <c r="A729" s="3" t="n">
        <v>4</v>
      </c>
      <c r="B729" s="24" t="n">
        <v>46113</v>
      </c>
      <c r="C729" s="3" t="s">
        <v>612</v>
      </c>
      <c r="D729" s="3" t="s">
        <v>261</v>
      </c>
      <c r="E729" s="3" t="s">
        <v>175</v>
      </c>
      <c r="F729" s="15" t="n">
        <v>1109.03</v>
      </c>
      <c r="G729" s="15" t="n">
        <v>0</v>
      </c>
      <c r="H729" s="15" t="n">
        <v>1109.03</v>
      </c>
      <c r="I729" s="7" t="n">
        <v>1</v>
      </c>
      <c r="J729" s="7" t="s">
        <v>1604</v>
      </c>
    </row>
    <row r="730" customFormat="false" ht="15" hidden="false" customHeight="false" outlineLevel="0" collapsed="false">
      <c r="A730" s="3" t="n">
        <v>4</v>
      </c>
      <c r="B730" s="24" t="n">
        <v>46113</v>
      </c>
      <c r="C730" s="3" t="s">
        <v>613</v>
      </c>
      <c r="D730" s="3" t="s">
        <v>261</v>
      </c>
      <c r="E730" s="3" t="s">
        <v>112</v>
      </c>
      <c r="F730" s="15" t="n">
        <v>854.5</v>
      </c>
      <c r="G730" s="15" t="n">
        <v>0</v>
      </c>
      <c r="H730" s="15" t="n">
        <v>854.5</v>
      </c>
      <c r="I730" s="7" t="n">
        <v>1</v>
      </c>
      <c r="J730" s="7" t="s">
        <v>1605</v>
      </c>
    </row>
    <row r="731" customFormat="false" ht="15" hidden="false" customHeight="false" outlineLevel="0" collapsed="false">
      <c r="A731" s="3" t="n">
        <v>4</v>
      </c>
      <c r="B731" s="24" t="n">
        <v>46113</v>
      </c>
      <c r="C731" s="3" t="s">
        <v>614</v>
      </c>
      <c r="D731" s="3" t="s">
        <v>344</v>
      </c>
      <c r="E731" s="3" t="s">
        <v>167</v>
      </c>
      <c r="F731" s="15" t="n">
        <v>128.16</v>
      </c>
      <c r="G731" s="15" t="n">
        <v>0</v>
      </c>
      <c r="H731" s="15" t="n">
        <v>128.16</v>
      </c>
      <c r="I731" s="7" t="n">
        <v>1</v>
      </c>
      <c r="J731" s="7" t="s">
        <v>1606</v>
      </c>
    </row>
    <row r="732" customFormat="false" ht="15" hidden="false" customHeight="false" outlineLevel="0" collapsed="false">
      <c r="A732" s="3" t="n">
        <v>4</v>
      </c>
      <c r="B732" s="24" t="n">
        <v>46113</v>
      </c>
      <c r="C732" s="3" t="s">
        <v>615</v>
      </c>
      <c r="D732" s="3" t="s">
        <v>344</v>
      </c>
      <c r="E732" s="3" t="s">
        <v>112</v>
      </c>
      <c r="F732" s="15" t="n">
        <v>914.5</v>
      </c>
      <c r="G732" s="15" t="n">
        <v>0</v>
      </c>
      <c r="H732" s="15" t="n">
        <v>914.5</v>
      </c>
      <c r="I732" s="7" t="n">
        <v>1</v>
      </c>
      <c r="J732" s="7" t="s">
        <v>1607</v>
      </c>
    </row>
    <row r="733" customFormat="false" ht="15" hidden="false" customHeight="false" outlineLevel="0" collapsed="false">
      <c r="A733" s="3" t="n">
        <v>4</v>
      </c>
      <c r="B733" s="24" t="n">
        <v>46113</v>
      </c>
      <c r="C733" s="3" t="s">
        <v>616</v>
      </c>
      <c r="D733" s="3" t="s">
        <v>222</v>
      </c>
      <c r="E733" s="3" t="s">
        <v>120</v>
      </c>
      <c r="F733" s="15" t="n">
        <v>26127.48</v>
      </c>
      <c r="G733" s="15" t="n">
        <v>0</v>
      </c>
      <c r="H733" s="15" t="n">
        <v>26127.48</v>
      </c>
      <c r="I733" s="7" t="n">
        <v>1</v>
      </c>
      <c r="J733" s="7" t="s">
        <v>1608</v>
      </c>
    </row>
    <row r="734" customFormat="false" ht="15" hidden="false" customHeight="false" outlineLevel="0" collapsed="false">
      <c r="A734" s="3" t="n">
        <v>4</v>
      </c>
      <c r="B734" s="24" t="n">
        <v>46113</v>
      </c>
      <c r="C734" s="3" t="s">
        <v>616</v>
      </c>
      <c r="D734" s="3" t="s">
        <v>222</v>
      </c>
      <c r="E734" s="3" t="s">
        <v>126</v>
      </c>
      <c r="F734" s="15" t="n">
        <v>4189.46</v>
      </c>
      <c r="G734" s="15" t="n">
        <v>0</v>
      </c>
      <c r="H734" s="15" t="n">
        <v>4189.46</v>
      </c>
      <c r="I734" s="7" t="n">
        <v>2</v>
      </c>
      <c r="J734" s="7" t="s">
        <v>1609</v>
      </c>
    </row>
    <row r="735" customFormat="false" ht="15" hidden="false" customHeight="false" outlineLevel="0" collapsed="false">
      <c r="A735" s="3" t="n">
        <v>4</v>
      </c>
      <c r="B735" s="24" t="n">
        <v>46113</v>
      </c>
      <c r="C735" s="3" t="s">
        <v>616</v>
      </c>
      <c r="D735" s="3" t="s">
        <v>222</v>
      </c>
      <c r="E735" s="3" t="s">
        <v>158</v>
      </c>
      <c r="F735" s="15" t="n">
        <v>1298.6</v>
      </c>
      <c r="G735" s="15" t="n">
        <v>0</v>
      </c>
      <c r="H735" s="15" t="n">
        <v>1298.6</v>
      </c>
      <c r="I735" s="7" t="n">
        <v>3</v>
      </c>
      <c r="J735" s="7" t="s">
        <v>1610</v>
      </c>
    </row>
    <row r="736" customFormat="false" ht="15" hidden="false" customHeight="false" outlineLevel="0" collapsed="false">
      <c r="A736" s="3" t="n">
        <v>4</v>
      </c>
      <c r="B736" s="24" t="n">
        <v>46113</v>
      </c>
      <c r="C736" s="3" t="s">
        <v>616</v>
      </c>
      <c r="D736" s="3" t="s">
        <v>222</v>
      </c>
      <c r="E736" s="3" t="s">
        <v>139</v>
      </c>
      <c r="F736" s="15" t="n">
        <v>4008.95</v>
      </c>
      <c r="G736" s="15" t="n">
        <v>0</v>
      </c>
      <c r="H736" s="15" t="n">
        <v>4008.95</v>
      </c>
      <c r="I736" s="7" t="n">
        <v>4</v>
      </c>
      <c r="J736" s="7" t="s">
        <v>1611</v>
      </c>
    </row>
    <row r="737" customFormat="false" ht="15" hidden="false" customHeight="false" outlineLevel="0" collapsed="false">
      <c r="A737" s="3" t="n">
        <v>4</v>
      </c>
      <c r="B737" s="24" t="n">
        <v>46113</v>
      </c>
      <c r="C737" s="3" t="s">
        <v>617</v>
      </c>
      <c r="D737" s="3" t="s">
        <v>237</v>
      </c>
      <c r="E737" s="3" t="s">
        <v>155</v>
      </c>
      <c r="F737" s="15" t="n">
        <v>866.5</v>
      </c>
      <c r="G737" s="15" t="n">
        <v>0</v>
      </c>
      <c r="H737" s="15" t="n">
        <v>866.5</v>
      </c>
      <c r="I737" s="7" t="n">
        <v>1</v>
      </c>
      <c r="J737" s="7" t="s">
        <v>1612</v>
      </c>
    </row>
    <row r="738" customFormat="false" ht="15" hidden="false" customHeight="false" outlineLevel="0" collapsed="false">
      <c r="A738" s="3" t="n">
        <v>4</v>
      </c>
      <c r="B738" s="24" t="n">
        <v>46113</v>
      </c>
      <c r="C738" s="3" t="s">
        <v>618</v>
      </c>
      <c r="D738" s="3" t="s">
        <v>237</v>
      </c>
      <c r="E738" s="3" t="s">
        <v>112</v>
      </c>
      <c r="F738" s="15" t="n">
        <v>5069.98</v>
      </c>
      <c r="G738" s="15" t="n">
        <v>0</v>
      </c>
      <c r="H738" s="15" t="n">
        <v>5069.98</v>
      </c>
      <c r="I738" s="7" t="n">
        <v>1</v>
      </c>
      <c r="J738" s="7" t="s">
        <v>1613</v>
      </c>
    </row>
    <row r="739" customFormat="false" ht="15" hidden="false" customHeight="false" outlineLevel="0" collapsed="false">
      <c r="A739" s="3" t="n">
        <v>4</v>
      </c>
      <c r="B739" s="24" t="n">
        <v>46113</v>
      </c>
      <c r="C739" s="3" t="s">
        <v>619</v>
      </c>
      <c r="D739" s="3" t="s">
        <v>237</v>
      </c>
      <c r="E739" s="3" t="s">
        <v>109</v>
      </c>
      <c r="F739" s="15" t="n">
        <v>22098.09</v>
      </c>
      <c r="G739" s="15" t="n">
        <v>0</v>
      </c>
      <c r="H739" s="15" t="n">
        <v>22098.09</v>
      </c>
      <c r="I739" s="7" t="n">
        <v>1</v>
      </c>
      <c r="J739" s="7" t="s">
        <v>1614</v>
      </c>
    </row>
    <row r="740" customFormat="false" ht="15" hidden="false" customHeight="false" outlineLevel="0" collapsed="false">
      <c r="A740" s="3" t="n">
        <v>4</v>
      </c>
      <c r="B740" s="24" t="n">
        <v>46113</v>
      </c>
      <c r="C740" s="3" t="s">
        <v>619</v>
      </c>
      <c r="D740" s="3" t="s">
        <v>237</v>
      </c>
      <c r="E740" s="3" t="s">
        <v>133</v>
      </c>
      <c r="F740" s="15" t="n">
        <v>3396.34</v>
      </c>
      <c r="G740" s="15" t="n">
        <v>0</v>
      </c>
      <c r="H740" s="15" t="n">
        <v>3396.34</v>
      </c>
      <c r="I740" s="7" t="n">
        <v>2</v>
      </c>
      <c r="J740" s="7" t="s">
        <v>1615</v>
      </c>
    </row>
    <row r="741" customFormat="false" ht="15" hidden="false" customHeight="false" outlineLevel="0" collapsed="false">
      <c r="A741" s="3" t="n">
        <v>4</v>
      </c>
      <c r="B741" s="24" t="n">
        <v>46113</v>
      </c>
      <c r="C741" s="3" t="s">
        <v>620</v>
      </c>
      <c r="D741" s="3" t="s">
        <v>269</v>
      </c>
      <c r="E741" s="3" t="s">
        <v>136</v>
      </c>
      <c r="F741" s="15" t="n">
        <v>1726.86</v>
      </c>
      <c r="G741" s="15" t="n">
        <v>0</v>
      </c>
      <c r="H741" s="15" t="n">
        <v>1726.86</v>
      </c>
      <c r="I741" s="7" t="n">
        <v>1</v>
      </c>
      <c r="J741" s="7" t="s">
        <v>1616</v>
      </c>
    </row>
    <row r="742" customFormat="false" ht="15" hidden="false" customHeight="false" outlineLevel="0" collapsed="false">
      <c r="A742" s="3" t="n">
        <v>4</v>
      </c>
      <c r="B742" s="24" t="n">
        <v>46113</v>
      </c>
      <c r="C742" s="3" t="s">
        <v>620</v>
      </c>
      <c r="D742" s="3" t="s">
        <v>269</v>
      </c>
      <c r="E742" s="3" t="s">
        <v>174</v>
      </c>
      <c r="F742" s="15" t="n">
        <v>890.5</v>
      </c>
      <c r="G742" s="15" t="n">
        <v>0</v>
      </c>
      <c r="H742" s="15" t="n">
        <v>890.5</v>
      </c>
      <c r="I742" s="7" t="n">
        <v>2</v>
      </c>
      <c r="J742" s="7" t="s">
        <v>1617</v>
      </c>
    </row>
    <row r="743" customFormat="false" ht="15" hidden="false" customHeight="false" outlineLevel="0" collapsed="false">
      <c r="A743" s="3" t="n">
        <v>4</v>
      </c>
      <c r="B743" s="24" t="n">
        <v>46113</v>
      </c>
      <c r="C743" s="3" t="s">
        <v>620</v>
      </c>
      <c r="D743" s="3" t="s">
        <v>269</v>
      </c>
      <c r="E743" s="3" t="s">
        <v>169</v>
      </c>
      <c r="F743" s="15" t="n">
        <v>1316.53</v>
      </c>
      <c r="G743" s="15" t="n">
        <v>0</v>
      </c>
      <c r="H743" s="15" t="n">
        <v>1316.53</v>
      </c>
      <c r="I743" s="7" t="n">
        <v>3</v>
      </c>
      <c r="J743" s="7" t="s">
        <v>1618</v>
      </c>
    </row>
    <row r="744" customFormat="false" ht="15" hidden="false" customHeight="false" outlineLevel="0" collapsed="false">
      <c r="A744" s="3" t="n">
        <v>4</v>
      </c>
      <c r="B744" s="24" t="n">
        <v>46113</v>
      </c>
      <c r="C744" s="3" t="s">
        <v>620</v>
      </c>
      <c r="D744" s="3" t="s">
        <v>269</v>
      </c>
      <c r="E744" s="3" t="s">
        <v>180</v>
      </c>
      <c r="F744" s="15" t="n">
        <v>64.66</v>
      </c>
      <c r="G744" s="15" t="n">
        <v>0</v>
      </c>
      <c r="H744" s="15" t="n">
        <v>64.66</v>
      </c>
      <c r="I744" s="7" t="n">
        <v>4</v>
      </c>
      <c r="J744" s="7" t="s">
        <v>1619</v>
      </c>
    </row>
    <row r="745" customFormat="false" ht="15" hidden="false" customHeight="false" outlineLevel="0" collapsed="false">
      <c r="A745" s="3" t="n">
        <v>4</v>
      </c>
      <c r="B745" s="24" t="n">
        <v>46113</v>
      </c>
      <c r="C745" s="3" t="s">
        <v>621</v>
      </c>
      <c r="D745" s="3" t="s">
        <v>237</v>
      </c>
      <c r="E745" s="3" t="s">
        <v>130</v>
      </c>
      <c r="F745" s="15" t="n">
        <v>694.28</v>
      </c>
      <c r="G745" s="15" t="n">
        <v>0</v>
      </c>
      <c r="H745" s="15" t="n">
        <v>694.28</v>
      </c>
      <c r="I745" s="7" t="n">
        <v>1</v>
      </c>
      <c r="J745" s="7" t="s">
        <v>1620</v>
      </c>
    </row>
    <row r="746" customFormat="false" ht="15" hidden="false" customHeight="false" outlineLevel="0" collapsed="false">
      <c r="A746" s="3" t="n">
        <v>4</v>
      </c>
      <c r="B746" s="24" t="n">
        <v>46113</v>
      </c>
      <c r="C746" s="3" t="s">
        <v>622</v>
      </c>
      <c r="D746" s="3" t="s">
        <v>269</v>
      </c>
      <c r="E746" s="3" t="s">
        <v>112</v>
      </c>
      <c r="F746" s="15" t="n">
        <v>7591.73</v>
      </c>
      <c r="G746" s="15" t="n">
        <v>0</v>
      </c>
      <c r="H746" s="15" t="n">
        <v>7591.73</v>
      </c>
      <c r="I746" s="7" t="n">
        <v>1</v>
      </c>
      <c r="J746" s="7" t="s">
        <v>1621</v>
      </c>
    </row>
    <row r="747" customFormat="false" ht="15" hidden="false" customHeight="false" outlineLevel="0" collapsed="false">
      <c r="A747" s="3" t="n">
        <v>4</v>
      </c>
      <c r="B747" s="24" t="n">
        <v>46113</v>
      </c>
      <c r="C747" s="3" t="s">
        <v>622</v>
      </c>
      <c r="D747" s="3" t="s">
        <v>269</v>
      </c>
      <c r="E747" s="3" t="s">
        <v>164</v>
      </c>
      <c r="F747" s="15" t="n">
        <v>848.5</v>
      </c>
      <c r="G747" s="15" t="n">
        <v>0</v>
      </c>
      <c r="H747" s="15" t="n">
        <v>848.5</v>
      </c>
      <c r="I747" s="7" t="n">
        <v>2</v>
      </c>
      <c r="J747" s="7" t="s">
        <v>1622</v>
      </c>
    </row>
    <row r="748" customFormat="false" ht="15" hidden="false" customHeight="false" outlineLevel="0" collapsed="false">
      <c r="A748" s="3" t="n">
        <v>4</v>
      </c>
      <c r="B748" s="24" t="n">
        <v>46113</v>
      </c>
      <c r="C748" s="3" t="s">
        <v>622</v>
      </c>
      <c r="D748" s="3" t="s">
        <v>269</v>
      </c>
      <c r="E748" s="3" t="s">
        <v>157</v>
      </c>
      <c r="F748" s="15" t="n">
        <v>1541</v>
      </c>
      <c r="G748" s="15" t="n">
        <v>0</v>
      </c>
      <c r="H748" s="15" t="n">
        <v>1541</v>
      </c>
      <c r="I748" s="7" t="n">
        <v>3</v>
      </c>
      <c r="J748" s="7" t="s">
        <v>1623</v>
      </c>
    </row>
    <row r="749" customFormat="false" ht="15" hidden="false" customHeight="false" outlineLevel="0" collapsed="false">
      <c r="A749" s="3" t="n">
        <v>4</v>
      </c>
      <c r="B749" s="24" t="n">
        <v>46113</v>
      </c>
      <c r="C749" s="3" t="s">
        <v>622</v>
      </c>
      <c r="D749" s="3" t="s">
        <v>269</v>
      </c>
      <c r="E749" s="3" t="s">
        <v>162</v>
      </c>
      <c r="F749" s="15" t="n">
        <v>1038.5</v>
      </c>
      <c r="G749" s="15" t="n">
        <v>0</v>
      </c>
      <c r="H749" s="15" t="n">
        <v>1038.5</v>
      </c>
      <c r="I749" s="7" t="n">
        <v>4</v>
      </c>
      <c r="J749" s="7" t="s">
        <v>1624</v>
      </c>
    </row>
    <row r="750" customFormat="false" ht="15" hidden="false" customHeight="false" outlineLevel="0" collapsed="false">
      <c r="A750" s="3" t="n">
        <v>4</v>
      </c>
      <c r="B750" s="24" t="n">
        <v>46113</v>
      </c>
      <c r="C750" s="3" t="s">
        <v>622</v>
      </c>
      <c r="D750" s="3" t="s">
        <v>269</v>
      </c>
      <c r="E750" s="3" t="s">
        <v>172</v>
      </c>
      <c r="F750" s="15" t="n">
        <v>890.5</v>
      </c>
      <c r="G750" s="15" t="n">
        <v>0</v>
      </c>
      <c r="H750" s="15" t="n">
        <v>890.5</v>
      </c>
      <c r="I750" s="7" t="n">
        <v>5</v>
      </c>
      <c r="J750" s="7" t="s">
        <v>1625</v>
      </c>
    </row>
    <row r="751" customFormat="false" ht="15" hidden="false" customHeight="false" outlineLevel="0" collapsed="false">
      <c r="A751" s="3" t="n">
        <v>4</v>
      </c>
      <c r="B751" s="24" t="n">
        <v>46113</v>
      </c>
      <c r="C751" s="3" t="s">
        <v>623</v>
      </c>
      <c r="D751" s="3" t="s">
        <v>269</v>
      </c>
      <c r="E751" s="3" t="s">
        <v>109</v>
      </c>
      <c r="F751" s="15" t="n">
        <v>57275.87</v>
      </c>
      <c r="G751" s="15" t="n">
        <v>0</v>
      </c>
      <c r="H751" s="15" t="n">
        <v>57275.87</v>
      </c>
      <c r="I751" s="7" t="n">
        <v>1</v>
      </c>
      <c r="J751" s="7" t="s">
        <v>1626</v>
      </c>
    </row>
    <row r="752" customFormat="false" ht="15" hidden="false" customHeight="false" outlineLevel="0" collapsed="false">
      <c r="A752" s="3" t="n">
        <v>4</v>
      </c>
      <c r="B752" s="24" t="n">
        <v>46113</v>
      </c>
      <c r="C752" s="3" t="s">
        <v>624</v>
      </c>
      <c r="D752" s="3" t="s">
        <v>222</v>
      </c>
      <c r="E752" s="3" t="s">
        <v>160</v>
      </c>
      <c r="F752" s="15" t="n">
        <v>522</v>
      </c>
      <c r="G752" s="15" t="n">
        <v>0</v>
      </c>
      <c r="H752" s="15" t="n">
        <v>522</v>
      </c>
      <c r="I752" s="7" t="n">
        <v>1</v>
      </c>
      <c r="J752" s="7" t="s">
        <v>1627</v>
      </c>
    </row>
    <row r="753" customFormat="false" ht="15" hidden="false" customHeight="false" outlineLevel="0" collapsed="false">
      <c r="A753" s="3" t="n">
        <v>4</v>
      </c>
      <c r="B753" s="24" t="n">
        <v>46113</v>
      </c>
      <c r="C753" s="3" t="s">
        <v>624</v>
      </c>
      <c r="D753" s="3" t="s">
        <v>222</v>
      </c>
      <c r="E753" s="3" t="s">
        <v>140</v>
      </c>
      <c r="F753" s="15" t="n">
        <v>5823.51</v>
      </c>
      <c r="G753" s="15" t="n">
        <v>0</v>
      </c>
      <c r="H753" s="15" t="n">
        <v>5823.51</v>
      </c>
      <c r="I753" s="7" t="n">
        <v>2</v>
      </c>
      <c r="J753" s="7" t="s">
        <v>1628</v>
      </c>
    </row>
    <row r="754" customFormat="false" ht="15" hidden="false" customHeight="false" outlineLevel="0" collapsed="false">
      <c r="A754" s="3" t="n">
        <v>4</v>
      </c>
      <c r="B754" s="24" t="n">
        <v>46113</v>
      </c>
      <c r="C754" s="3" t="s">
        <v>625</v>
      </c>
      <c r="D754" s="3" t="s">
        <v>222</v>
      </c>
      <c r="E754" s="3" t="s">
        <v>118</v>
      </c>
      <c r="F754" s="15" t="n">
        <v>54</v>
      </c>
      <c r="G754" s="15" t="n">
        <v>0</v>
      </c>
      <c r="H754" s="15" t="n">
        <v>54</v>
      </c>
      <c r="I754" s="7" t="n">
        <v>1</v>
      </c>
      <c r="J754" s="7" t="s">
        <v>1629</v>
      </c>
    </row>
    <row r="755" customFormat="false" ht="15" hidden="false" customHeight="false" outlineLevel="0" collapsed="false">
      <c r="A755" s="3" t="n">
        <v>4</v>
      </c>
      <c r="B755" s="24" t="n">
        <v>46113</v>
      </c>
      <c r="C755" s="3" t="s">
        <v>625</v>
      </c>
      <c r="D755" s="3" t="s">
        <v>222</v>
      </c>
      <c r="E755" s="3" t="s">
        <v>113</v>
      </c>
      <c r="F755" s="15" t="n">
        <v>13461.4</v>
      </c>
      <c r="G755" s="15" t="n">
        <v>0</v>
      </c>
      <c r="H755" s="15" t="n">
        <v>13461.4</v>
      </c>
      <c r="I755" s="7" t="n">
        <v>2</v>
      </c>
      <c r="J755" s="7" t="s">
        <v>1630</v>
      </c>
    </row>
    <row r="756" customFormat="false" ht="15" hidden="false" customHeight="false" outlineLevel="0" collapsed="false">
      <c r="A756" s="3" t="n">
        <v>4</v>
      </c>
      <c r="B756" s="24" t="n">
        <v>46113</v>
      </c>
      <c r="C756" s="3" t="s">
        <v>625</v>
      </c>
      <c r="D756" s="3" t="s">
        <v>222</v>
      </c>
      <c r="E756" s="3" t="s">
        <v>111</v>
      </c>
      <c r="F756" s="15" t="n">
        <v>10522.9</v>
      </c>
      <c r="G756" s="15" t="n">
        <v>0</v>
      </c>
      <c r="H756" s="15" t="n">
        <v>10522.9</v>
      </c>
      <c r="I756" s="7" t="n">
        <v>3</v>
      </c>
      <c r="J756" s="7" t="s">
        <v>1631</v>
      </c>
    </row>
    <row r="757" customFormat="false" ht="15" hidden="false" customHeight="false" outlineLevel="0" collapsed="false">
      <c r="A757" s="3" t="n">
        <v>4</v>
      </c>
      <c r="B757" s="24" t="n">
        <v>46113</v>
      </c>
      <c r="C757" s="3" t="s">
        <v>625</v>
      </c>
      <c r="D757" s="3" t="s">
        <v>222</v>
      </c>
      <c r="E757" s="3" t="s">
        <v>114</v>
      </c>
      <c r="F757" s="15" t="n">
        <v>8808.5</v>
      </c>
      <c r="G757" s="15" t="n">
        <v>0</v>
      </c>
      <c r="H757" s="15" t="n">
        <v>8808.5</v>
      </c>
      <c r="I757" s="7" t="n">
        <v>4</v>
      </c>
      <c r="J757" s="7" t="s">
        <v>1632</v>
      </c>
    </row>
    <row r="758" customFormat="false" ht="15" hidden="false" customHeight="false" outlineLevel="0" collapsed="false">
      <c r="A758" s="3" t="n">
        <v>4</v>
      </c>
      <c r="B758" s="24" t="n">
        <v>46113</v>
      </c>
      <c r="C758" s="3" t="s">
        <v>626</v>
      </c>
      <c r="D758" s="3" t="s">
        <v>222</v>
      </c>
      <c r="E758" s="3" t="s">
        <v>113</v>
      </c>
      <c r="F758" s="15" t="n">
        <v>1459.9</v>
      </c>
      <c r="G758" s="15" t="n">
        <v>0</v>
      </c>
      <c r="H758" s="15" t="n">
        <v>1459.9</v>
      </c>
      <c r="I758" s="7" t="n">
        <v>1</v>
      </c>
      <c r="J758" s="7" t="s">
        <v>1633</v>
      </c>
    </row>
    <row r="759" customFormat="false" ht="15" hidden="false" customHeight="false" outlineLevel="0" collapsed="false">
      <c r="A759" s="3" t="n">
        <v>4</v>
      </c>
      <c r="B759" s="24" t="n">
        <v>46113</v>
      </c>
      <c r="C759" s="3" t="s">
        <v>626</v>
      </c>
      <c r="D759" s="3" t="s">
        <v>222</v>
      </c>
      <c r="E759" s="3" t="s">
        <v>111</v>
      </c>
      <c r="F759" s="15" t="n">
        <v>948.6</v>
      </c>
      <c r="G759" s="15" t="n">
        <v>0</v>
      </c>
      <c r="H759" s="15" t="n">
        <v>948.6</v>
      </c>
      <c r="I759" s="7" t="n">
        <v>2</v>
      </c>
      <c r="J759" s="7" t="s">
        <v>1634</v>
      </c>
    </row>
    <row r="760" customFormat="false" ht="15" hidden="false" customHeight="false" outlineLevel="0" collapsed="false">
      <c r="A760" s="3" t="n">
        <v>4</v>
      </c>
      <c r="B760" s="24" t="n">
        <v>46113</v>
      </c>
      <c r="C760" s="3" t="s">
        <v>626</v>
      </c>
      <c r="D760" s="3" t="s">
        <v>222</v>
      </c>
      <c r="E760" s="3" t="s">
        <v>114</v>
      </c>
      <c r="F760" s="15" t="n">
        <v>924.02</v>
      </c>
      <c r="G760" s="15" t="n">
        <v>0</v>
      </c>
      <c r="H760" s="15" t="n">
        <v>924.02</v>
      </c>
      <c r="I760" s="7" t="n">
        <v>3</v>
      </c>
      <c r="J760" s="7" t="s">
        <v>1635</v>
      </c>
    </row>
    <row r="761" customFormat="false" ht="15" hidden="false" customHeight="false" outlineLevel="0" collapsed="false">
      <c r="A761" s="3" t="n">
        <v>4</v>
      </c>
      <c r="B761" s="24" t="n">
        <v>46113</v>
      </c>
      <c r="C761" s="3" t="s">
        <v>627</v>
      </c>
      <c r="D761" s="3" t="s">
        <v>222</v>
      </c>
      <c r="E761" s="3" t="s">
        <v>186</v>
      </c>
      <c r="F761" s="15" t="n">
        <v>145.15</v>
      </c>
      <c r="G761" s="15" t="n">
        <v>0</v>
      </c>
      <c r="H761" s="15" t="n">
        <v>145.15</v>
      </c>
      <c r="I761" s="7" t="n">
        <v>1</v>
      </c>
      <c r="J761" s="7" t="s">
        <v>1636</v>
      </c>
    </row>
    <row r="762" customFormat="false" ht="15" hidden="false" customHeight="false" outlineLevel="0" collapsed="false">
      <c r="A762" s="3" t="n">
        <v>4</v>
      </c>
      <c r="B762" s="24" t="n">
        <v>46113</v>
      </c>
      <c r="C762" s="3" t="s">
        <v>627</v>
      </c>
      <c r="D762" s="3" t="s">
        <v>222</v>
      </c>
      <c r="E762" s="3" t="s">
        <v>124</v>
      </c>
      <c r="F762" s="15" t="n">
        <v>1087.42</v>
      </c>
      <c r="G762" s="15" t="n">
        <v>0</v>
      </c>
      <c r="H762" s="15" t="n">
        <v>1087.42</v>
      </c>
      <c r="I762" s="7" t="n">
        <v>2</v>
      </c>
      <c r="J762" s="7" t="s">
        <v>1637</v>
      </c>
    </row>
    <row r="763" customFormat="false" ht="15" hidden="false" customHeight="false" outlineLevel="0" collapsed="false">
      <c r="A763" s="3" t="n">
        <v>4</v>
      </c>
      <c r="B763" s="24" t="n">
        <v>46113</v>
      </c>
      <c r="C763" s="3" t="s">
        <v>627</v>
      </c>
      <c r="D763" s="3" t="s">
        <v>222</v>
      </c>
      <c r="E763" s="3" t="s">
        <v>125</v>
      </c>
      <c r="F763" s="15" t="n">
        <v>415.9</v>
      </c>
      <c r="G763" s="15" t="n">
        <v>0</v>
      </c>
      <c r="H763" s="15" t="n">
        <v>415.9</v>
      </c>
      <c r="I763" s="7" t="n">
        <v>3</v>
      </c>
      <c r="J763" s="7" t="s">
        <v>1638</v>
      </c>
    </row>
    <row r="764" customFormat="false" ht="15" hidden="false" customHeight="false" outlineLevel="0" collapsed="false">
      <c r="A764" s="3" t="n">
        <v>4</v>
      </c>
      <c r="B764" s="24" t="n">
        <v>46113</v>
      </c>
      <c r="C764" s="3" t="s">
        <v>627</v>
      </c>
      <c r="D764" s="3" t="s">
        <v>222</v>
      </c>
      <c r="E764" s="3" t="s">
        <v>123</v>
      </c>
      <c r="F764" s="15" t="n">
        <v>2971.74</v>
      </c>
      <c r="G764" s="15" t="n">
        <v>0</v>
      </c>
      <c r="H764" s="15" t="n">
        <v>2971.74</v>
      </c>
      <c r="I764" s="7" t="n">
        <v>4</v>
      </c>
      <c r="J764" s="7" t="s">
        <v>1639</v>
      </c>
    </row>
    <row r="765" customFormat="false" ht="15" hidden="false" customHeight="false" outlineLevel="0" collapsed="false">
      <c r="A765" s="3" t="n">
        <v>4</v>
      </c>
      <c r="B765" s="24" t="n">
        <v>46113</v>
      </c>
      <c r="C765" s="3" t="s">
        <v>627</v>
      </c>
      <c r="D765" s="3" t="s">
        <v>222</v>
      </c>
      <c r="E765" s="3" t="s">
        <v>131</v>
      </c>
      <c r="F765" s="15" t="n">
        <v>156.59</v>
      </c>
      <c r="G765" s="15" t="n">
        <v>0</v>
      </c>
      <c r="H765" s="15" t="n">
        <v>156.59</v>
      </c>
      <c r="I765" s="7" t="n">
        <v>5</v>
      </c>
      <c r="J765" s="7" t="s">
        <v>1640</v>
      </c>
    </row>
    <row r="766" customFormat="false" ht="15" hidden="false" customHeight="false" outlineLevel="0" collapsed="false">
      <c r="A766" s="3" t="n">
        <v>4</v>
      </c>
      <c r="B766" s="24" t="n">
        <v>46113</v>
      </c>
      <c r="C766" s="3" t="s">
        <v>627</v>
      </c>
      <c r="D766" s="3" t="s">
        <v>222</v>
      </c>
      <c r="E766" s="3" t="s">
        <v>127</v>
      </c>
      <c r="F766" s="15" t="n">
        <v>56.63</v>
      </c>
      <c r="G766" s="15" t="n">
        <v>0</v>
      </c>
      <c r="H766" s="15" t="n">
        <v>56.63</v>
      </c>
      <c r="I766" s="7" t="n">
        <v>6</v>
      </c>
      <c r="J766" s="7" t="s">
        <v>1641</v>
      </c>
    </row>
    <row r="767" customFormat="false" ht="15" hidden="false" customHeight="false" outlineLevel="0" collapsed="false">
      <c r="A767" s="3" t="n">
        <v>4</v>
      </c>
      <c r="B767" s="24" t="n">
        <v>46113</v>
      </c>
      <c r="C767" s="3" t="s">
        <v>627</v>
      </c>
      <c r="D767" s="3" t="s">
        <v>222</v>
      </c>
      <c r="E767" s="3" t="s">
        <v>116</v>
      </c>
      <c r="F767" s="15" t="n">
        <v>636.61</v>
      </c>
      <c r="G767" s="15" t="n">
        <v>0</v>
      </c>
      <c r="H767" s="15" t="n">
        <v>636.61</v>
      </c>
      <c r="I767" s="7" t="n">
        <v>7</v>
      </c>
      <c r="J767" s="7" t="s">
        <v>1642</v>
      </c>
    </row>
    <row r="768" customFormat="false" ht="15" hidden="false" customHeight="false" outlineLevel="0" collapsed="false">
      <c r="A768" s="3" t="n">
        <v>4</v>
      </c>
      <c r="B768" s="24" t="n">
        <v>46113</v>
      </c>
      <c r="C768" s="3" t="s">
        <v>627</v>
      </c>
      <c r="D768" s="3" t="s">
        <v>222</v>
      </c>
      <c r="E768" s="3" t="s">
        <v>115</v>
      </c>
      <c r="F768" s="15" t="n">
        <v>572.42</v>
      </c>
      <c r="G768" s="15" t="n">
        <v>0</v>
      </c>
      <c r="H768" s="15" t="n">
        <v>572.42</v>
      </c>
      <c r="I768" s="7" t="n">
        <v>8</v>
      </c>
      <c r="J768" s="7" t="s">
        <v>1643</v>
      </c>
    </row>
    <row r="769" customFormat="false" ht="15" hidden="false" customHeight="false" outlineLevel="0" collapsed="false">
      <c r="A769" s="3" t="n">
        <v>4</v>
      </c>
      <c r="B769" s="24" t="n">
        <v>46113</v>
      </c>
      <c r="C769" s="3" t="s">
        <v>627</v>
      </c>
      <c r="D769" s="3" t="s">
        <v>222</v>
      </c>
      <c r="E769" s="3" t="s">
        <v>117</v>
      </c>
      <c r="F769" s="15" t="n">
        <v>866.06</v>
      </c>
      <c r="G769" s="15" t="n">
        <v>0</v>
      </c>
      <c r="H769" s="15" t="n">
        <v>866.06</v>
      </c>
      <c r="I769" s="7" t="n">
        <v>9</v>
      </c>
      <c r="J769" s="7" t="s">
        <v>1644</v>
      </c>
    </row>
    <row r="770" customFormat="false" ht="15" hidden="false" customHeight="false" outlineLevel="0" collapsed="false">
      <c r="A770" s="3" t="n">
        <v>4</v>
      </c>
      <c r="B770" s="24" t="n">
        <v>46113</v>
      </c>
      <c r="C770" s="3" t="s">
        <v>627</v>
      </c>
      <c r="D770" s="3" t="s">
        <v>222</v>
      </c>
      <c r="E770" s="3" t="s">
        <v>108</v>
      </c>
      <c r="F770" s="15" t="n">
        <v>7113.27</v>
      </c>
      <c r="G770" s="15" t="n">
        <v>0</v>
      </c>
      <c r="H770" s="15" t="n">
        <v>7113.27</v>
      </c>
      <c r="I770" s="7" t="n">
        <v>10</v>
      </c>
      <c r="J770" s="7" t="s">
        <v>1645</v>
      </c>
    </row>
    <row r="771" customFormat="false" ht="15" hidden="false" customHeight="false" outlineLevel="0" collapsed="false">
      <c r="A771" s="3" t="n">
        <v>4</v>
      </c>
      <c r="B771" s="24" t="n">
        <v>46113</v>
      </c>
      <c r="C771" s="3" t="s">
        <v>627</v>
      </c>
      <c r="D771" s="3" t="s">
        <v>222</v>
      </c>
      <c r="E771" s="3" t="s">
        <v>110</v>
      </c>
      <c r="F771" s="15" t="n">
        <v>6459.27</v>
      </c>
      <c r="G771" s="15" t="n">
        <v>0</v>
      </c>
      <c r="H771" s="15" t="n">
        <v>6459.27</v>
      </c>
      <c r="I771" s="7" t="n">
        <v>11</v>
      </c>
      <c r="J771" s="7" t="s">
        <v>1646</v>
      </c>
    </row>
    <row r="772" customFormat="false" ht="15" hidden="false" customHeight="false" outlineLevel="0" collapsed="false">
      <c r="A772" s="3" t="n">
        <v>4</v>
      </c>
      <c r="B772" s="24" t="n">
        <v>46113</v>
      </c>
      <c r="C772" s="3" t="s">
        <v>627</v>
      </c>
      <c r="D772" s="3" t="s">
        <v>222</v>
      </c>
      <c r="E772" s="3" t="s">
        <v>113</v>
      </c>
      <c r="F772" s="15" t="n">
        <v>723.35</v>
      </c>
      <c r="G772" s="15" t="n">
        <v>0</v>
      </c>
      <c r="H772" s="15" t="n">
        <v>723.35</v>
      </c>
      <c r="I772" s="7" t="n">
        <v>12</v>
      </c>
      <c r="J772" s="7" t="s">
        <v>1647</v>
      </c>
    </row>
    <row r="773" customFormat="false" ht="15" hidden="false" customHeight="false" outlineLevel="0" collapsed="false">
      <c r="A773" s="3" t="n">
        <v>4</v>
      </c>
      <c r="B773" s="24" t="n">
        <v>46113</v>
      </c>
      <c r="C773" s="3" t="s">
        <v>627</v>
      </c>
      <c r="D773" s="3" t="s">
        <v>222</v>
      </c>
      <c r="E773" s="3" t="s">
        <v>111</v>
      </c>
      <c r="F773" s="15" t="n">
        <v>1157.36</v>
      </c>
      <c r="G773" s="15" t="n">
        <v>0</v>
      </c>
      <c r="H773" s="15" t="n">
        <v>1157.36</v>
      </c>
      <c r="I773" s="7" t="n">
        <v>13</v>
      </c>
      <c r="J773" s="7" t="s">
        <v>1648</v>
      </c>
    </row>
    <row r="774" customFormat="false" ht="15" hidden="false" customHeight="false" outlineLevel="0" collapsed="false">
      <c r="A774" s="3" t="n">
        <v>4</v>
      </c>
      <c r="B774" s="24" t="n">
        <v>46113</v>
      </c>
      <c r="C774" s="3" t="s">
        <v>627</v>
      </c>
      <c r="D774" s="3" t="s">
        <v>222</v>
      </c>
      <c r="E774" s="3" t="s">
        <v>114</v>
      </c>
      <c r="F774" s="15" t="n">
        <v>578.68</v>
      </c>
      <c r="G774" s="15" t="n">
        <v>0</v>
      </c>
      <c r="H774" s="15" t="n">
        <v>578.68</v>
      </c>
      <c r="I774" s="7" t="n">
        <v>14</v>
      </c>
      <c r="J774" s="7" t="s">
        <v>1649</v>
      </c>
    </row>
    <row r="775" customFormat="false" ht="15" hidden="false" customHeight="false" outlineLevel="0" collapsed="false">
      <c r="A775" s="3" t="n">
        <v>4</v>
      </c>
      <c r="B775" s="24" t="n">
        <v>46113</v>
      </c>
      <c r="C775" s="3" t="s">
        <v>627</v>
      </c>
      <c r="D775" s="3" t="s">
        <v>222</v>
      </c>
      <c r="E775" s="3" t="s">
        <v>121</v>
      </c>
      <c r="F775" s="15" t="n">
        <v>859.22</v>
      </c>
      <c r="G775" s="15" t="n">
        <v>0</v>
      </c>
      <c r="H775" s="15" t="n">
        <v>859.22</v>
      </c>
      <c r="I775" s="7" t="n">
        <v>15</v>
      </c>
      <c r="J775" s="7" t="s">
        <v>1650</v>
      </c>
    </row>
    <row r="776" customFormat="false" ht="15" hidden="false" customHeight="false" outlineLevel="0" collapsed="false">
      <c r="A776" s="3" t="n">
        <v>4</v>
      </c>
      <c r="B776" s="24" t="n">
        <v>46113</v>
      </c>
      <c r="C776" s="3" t="s">
        <v>627</v>
      </c>
      <c r="D776" s="3" t="s">
        <v>222</v>
      </c>
      <c r="E776" s="3" t="s">
        <v>194</v>
      </c>
      <c r="F776" s="15" t="n">
        <v>52.77</v>
      </c>
      <c r="G776" s="15" t="n">
        <v>0</v>
      </c>
      <c r="H776" s="15" t="n">
        <v>52.77</v>
      </c>
      <c r="I776" s="7" t="n">
        <v>16</v>
      </c>
      <c r="J776" s="7" t="s">
        <v>1651</v>
      </c>
    </row>
    <row r="777" customFormat="false" ht="15" hidden="false" customHeight="false" outlineLevel="0" collapsed="false">
      <c r="A777" s="3" t="n">
        <v>4</v>
      </c>
      <c r="B777" s="24" t="n">
        <v>46113</v>
      </c>
      <c r="C777" s="3" t="s">
        <v>627</v>
      </c>
      <c r="D777" s="3" t="s">
        <v>222</v>
      </c>
      <c r="E777" s="3" t="s">
        <v>132</v>
      </c>
      <c r="F777" s="15" t="n">
        <v>394.69</v>
      </c>
      <c r="G777" s="15" t="n">
        <v>0</v>
      </c>
      <c r="H777" s="15" t="n">
        <v>394.69</v>
      </c>
      <c r="I777" s="7" t="n">
        <v>17</v>
      </c>
      <c r="J777" s="7" t="s">
        <v>1652</v>
      </c>
    </row>
    <row r="778" customFormat="false" ht="15" hidden="false" customHeight="false" outlineLevel="0" collapsed="false">
      <c r="A778" s="3" t="n">
        <v>4</v>
      </c>
      <c r="B778" s="24" t="n">
        <v>46113</v>
      </c>
      <c r="C778" s="3" t="s">
        <v>628</v>
      </c>
      <c r="D778" s="3" t="s">
        <v>222</v>
      </c>
      <c r="E778" s="3" t="s">
        <v>124</v>
      </c>
      <c r="F778" s="15" t="n">
        <v>2603.5</v>
      </c>
      <c r="G778" s="15" t="n">
        <v>0</v>
      </c>
      <c r="H778" s="15" t="n">
        <v>2603.5</v>
      </c>
      <c r="I778" s="7" t="n">
        <v>1</v>
      </c>
      <c r="J778" s="7" t="s">
        <v>1653</v>
      </c>
    </row>
    <row r="779" customFormat="false" ht="15" hidden="false" customHeight="false" outlineLevel="0" collapsed="false">
      <c r="A779" s="3" t="n">
        <v>4</v>
      </c>
      <c r="B779" s="24" t="n">
        <v>46113</v>
      </c>
      <c r="C779" s="3" t="s">
        <v>628</v>
      </c>
      <c r="D779" s="3" t="s">
        <v>222</v>
      </c>
      <c r="E779" s="3" t="s">
        <v>125</v>
      </c>
      <c r="F779" s="15" t="n">
        <v>1988.3</v>
      </c>
      <c r="G779" s="15" t="n">
        <v>0</v>
      </c>
      <c r="H779" s="15" t="n">
        <v>1988.3</v>
      </c>
      <c r="I779" s="7" t="n">
        <v>2</v>
      </c>
      <c r="J779" s="7" t="s">
        <v>1654</v>
      </c>
    </row>
    <row r="780" customFormat="false" ht="15" hidden="false" customHeight="false" outlineLevel="0" collapsed="false">
      <c r="A780" s="3" t="n">
        <v>4</v>
      </c>
      <c r="B780" s="24" t="n">
        <v>46113</v>
      </c>
      <c r="C780" s="3" t="s">
        <v>628</v>
      </c>
      <c r="D780" s="3" t="s">
        <v>222</v>
      </c>
      <c r="E780" s="3" t="s">
        <v>123</v>
      </c>
      <c r="F780" s="15" t="n">
        <v>11448.3</v>
      </c>
      <c r="G780" s="15" t="n">
        <v>0</v>
      </c>
      <c r="H780" s="15" t="n">
        <v>11448.3</v>
      </c>
      <c r="I780" s="7" t="n">
        <v>3</v>
      </c>
      <c r="J780" s="7" t="s">
        <v>1655</v>
      </c>
    </row>
    <row r="781" customFormat="false" ht="15" hidden="false" customHeight="false" outlineLevel="0" collapsed="false">
      <c r="A781" s="3" t="n">
        <v>4</v>
      </c>
      <c r="B781" s="24" t="n">
        <v>46113</v>
      </c>
      <c r="C781" s="3" t="s">
        <v>628</v>
      </c>
      <c r="D781" s="3" t="s">
        <v>222</v>
      </c>
      <c r="E781" s="3" t="s">
        <v>131</v>
      </c>
      <c r="F781" s="15" t="n">
        <v>720.1</v>
      </c>
      <c r="G781" s="15" t="n">
        <v>0</v>
      </c>
      <c r="H781" s="15" t="n">
        <v>720.1</v>
      </c>
      <c r="I781" s="7" t="n">
        <v>4</v>
      </c>
      <c r="J781" s="7" t="s">
        <v>1656</v>
      </c>
    </row>
    <row r="782" customFormat="false" ht="15" hidden="false" customHeight="false" outlineLevel="0" collapsed="false">
      <c r="A782" s="3" t="n">
        <v>4</v>
      </c>
      <c r="B782" s="24" t="n">
        <v>46113</v>
      </c>
      <c r="C782" s="3" t="s">
        <v>628</v>
      </c>
      <c r="D782" s="3" t="s">
        <v>222</v>
      </c>
      <c r="E782" s="3" t="s">
        <v>127</v>
      </c>
      <c r="F782" s="15" t="n">
        <v>5</v>
      </c>
      <c r="G782" s="15" t="n">
        <v>0</v>
      </c>
      <c r="H782" s="15" t="n">
        <v>5</v>
      </c>
      <c r="I782" s="7" t="n">
        <v>5</v>
      </c>
      <c r="J782" s="7" t="s">
        <v>1657</v>
      </c>
    </row>
    <row r="783" customFormat="false" ht="15" hidden="false" customHeight="false" outlineLevel="0" collapsed="false">
      <c r="A783" s="3" t="n">
        <v>4</v>
      </c>
      <c r="B783" s="24" t="n">
        <v>46113</v>
      </c>
      <c r="C783" s="3" t="s">
        <v>628</v>
      </c>
      <c r="D783" s="3" t="s">
        <v>222</v>
      </c>
      <c r="E783" s="3" t="s">
        <v>129</v>
      </c>
      <c r="F783" s="15" t="n">
        <v>595.2</v>
      </c>
      <c r="G783" s="15" t="n">
        <v>0</v>
      </c>
      <c r="H783" s="15" t="n">
        <v>595.2</v>
      </c>
      <c r="I783" s="7" t="n">
        <v>6</v>
      </c>
      <c r="J783" s="7" t="s">
        <v>1658</v>
      </c>
    </row>
    <row r="784" customFormat="false" ht="15" hidden="false" customHeight="false" outlineLevel="0" collapsed="false">
      <c r="A784" s="3" t="n">
        <v>4</v>
      </c>
      <c r="B784" s="24" t="n">
        <v>46113</v>
      </c>
      <c r="C784" s="3" t="s">
        <v>628</v>
      </c>
      <c r="D784" s="3" t="s">
        <v>222</v>
      </c>
      <c r="E784" s="3" t="s">
        <v>116</v>
      </c>
      <c r="F784" s="15" t="n">
        <v>16201.2</v>
      </c>
      <c r="G784" s="15" t="n">
        <v>0</v>
      </c>
      <c r="H784" s="15" t="n">
        <v>16201.2</v>
      </c>
      <c r="I784" s="7" t="n">
        <v>7</v>
      </c>
      <c r="J784" s="7" t="s">
        <v>1659</v>
      </c>
    </row>
    <row r="785" customFormat="false" ht="15" hidden="false" customHeight="false" outlineLevel="0" collapsed="false">
      <c r="A785" s="3" t="n">
        <v>4</v>
      </c>
      <c r="B785" s="24" t="n">
        <v>46113</v>
      </c>
      <c r="C785" s="3" t="s">
        <v>628</v>
      </c>
      <c r="D785" s="3" t="s">
        <v>222</v>
      </c>
      <c r="E785" s="3" t="s">
        <v>115</v>
      </c>
      <c r="F785" s="15" t="n">
        <v>1449.6</v>
      </c>
      <c r="G785" s="15" t="n">
        <v>0</v>
      </c>
      <c r="H785" s="15" t="n">
        <v>1449.6</v>
      </c>
      <c r="I785" s="7" t="n">
        <v>8</v>
      </c>
      <c r="J785" s="7" t="s">
        <v>1660</v>
      </c>
    </row>
    <row r="786" customFormat="false" ht="15" hidden="false" customHeight="false" outlineLevel="0" collapsed="false">
      <c r="A786" s="3" t="n">
        <v>4</v>
      </c>
      <c r="B786" s="24" t="n">
        <v>46113</v>
      </c>
      <c r="C786" s="3" t="s">
        <v>628</v>
      </c>
      <c r="D786" s="3" t="s">
        <v>222</v>
      </c>
      <c r="E786" s="3" t="s">
        <v>117</v>
      </c>
      <c r="F786" s="15" t="n">
        <v>10686.9</v>
      </c>
      <c r="G786" s="15" t="n">
        <v>0</v>
      </c>
      <c r="H786" s="15" t="n">
        <v>10686.9</v>
      </c>
      <c r="I786" s="7" t="n">
        <v>9</v>
      </c>
      <c r="J786" s="7" t="s">
        <v>1661</v>
      </c>
    </row>
    <row r="787" customFormat="false" ht="15" hidden="false" customHeight="false" outlineLevel="0" collapsed="false">
      <c r="A787" s="3" t="n">
        <v>4</v>
      </c>
      <c r="B787" s="24" t="n">
        <v>46113</v>
      </c>
      <c r="C787" s="3" t="s">
        <v>628</v>
      </c>
      <c r="D787" s="3" t="s">
        <v>222</v>
      </c>
      <c r="E787" s="3" t="s">
        <v>150</v>
      </c>
      <c r="F787" s="15" t="n">
        <v>198.4</v>
      </c>
      <c r="G787" s="15" t="n">
        <v>0</v>
      </c>
      <c r="H787" s="15" t="n">
        <v>198.4</v>
      </c>
      <c r="I787" s="7" t="n">
        <v>10</v>
      </c>
      <c r="J787" s="7" t="s">
        <v>1662</v>
      </c>
    </row>
    <row r="788" customFormat="false" ht="15" hidden="false" customHeight="false" outlineLevel="0" collapsed="false">
      <c r="A788" s="3" t="n">
        <v>4</v>
      </c>
      <c r="B788" s="24" t="n">
        <v>46113</v>
      </c>
      <c r="C788" s="3" t="s">
        <v>628</v>
      </c>
      <c r="D788" s="3" t="s">
        <v>222</v>
      </c>
      <c r="E788" s="3" t="s">
        <v>108</v>
      </c>
      <c r="F788" s="15" t="n">
        <v>81196.9</v>
      </c>
      <c r="G788" s="15" t="n">
        <v>0</v>
      </c>
      <c r="H788" s="15" t="n">
        <v>81196.9</v>
      </c>
      <c r="I788" s="7" t="n">
        <v>11</v>
      </c>
      <c r="J788" s="7" t="s">
        <v>1663</v>
      </c>
    </row>
    <row r="789" customFormat="false" ht="15" hidden="false" customHeight="false" outlineLevel="0" collapsed="false">
      <c r="A789" s="3" t="n">
        <v>4</v>
      </c>
      <c r="B789" s="24" t="n">
        <v>46113</v>
      </c>
      <c r="C789" s="3" t="s">
        <v>628</v>
      </c>
      <c r="D789" s="3" t="s">
        <v>222</v>
      </c>
      <c r="E789" s="3" t="s">
        <v>110</v>
      </c>
      <c r="F789" s="15" t="n">
        <v>57561.04</v>
      </c>
      <c r="G789" s="15" t="n">
        <v>0</v>
      </c>
      <c r="H789" s="15" t="n">
        <v>57561.04</v>
      </c>
      <c r="I789" s="7" t="n">
        <v>12</v>
      </c>
      <c r="J789" s="7" t="s">
        <v>1664</v>
      </c>
    </row>
    <row r="790" customFormat="false" ht="15" hidden="false" customHeight="false" outlineLevel="0" collapsed="false">
      <c r="A790" s="3" t="n">
        <v>4</v>
      </c>
      <c r="B790" s="24" t="n">
        <v>46113</v>
      </c>
      <c r="C790" s="3" t="s">
        <v>628</v>
      </c>
      <c r="D790" s="3" t="s">
        <v>222</v>
      </c>
      <c r="E790" s="3" t="s">
        <v>113</v>
      </c>
      <c r="F790" s="15" t="n">
        <v>1040.6</v>
      </c>
      <c r="G790" s="15" t="n">
        <v>0</v>
      </c>
      <c r="H790" s="15" t="n">
        <v>1040.6</v>
      </c>
      <c r="I790" s="7" t="n">
        <v>13</v>
      </c>
      <c r="J790" s="7" t="s">
        <v>1665</v>
      </c>
    </row>
    <row r="791" customFormat="false" ht="15" hidden="false" customHeight="false" outlineLevel="0" collapsed="false">
      <c r="A791" s="3" t="n">
        <v>4</v>
      </c>
      <c r="B791" s="24" t="n">
        <v>46113</v>
      </c>
      <c r="C791" s="3" t="s">
        <v>628</v>
      </c>
      <c r="D791" s="3" t="s">
        <v>222</v>
      </c>
      <c r="E791" s="3" t="s">
        <v>111</v>
      </c>
      <c r="F791" s="15" t="n">
        <v>1365.1</v>
      </c>
      <c r="G791" s="15" t="n">
        <v>0</v>
      </c>
      <c r="H791" s="15" t="n">
        <v>1365.1</v>
      </c>
      <c r="I791" s="7" t="n">
        <v>14</v>
      </c>
      <c r="J791" s="7" t="s">
        <v>1666</v>
      </c>
    </row>
    <row r="792" customFormat="false" ht="15" hidden="false" customHeight="false" outlineLevel="0" collapsed="false">
      <c r="A792" s="3" t="n">
        <v>4</v>
      </c>
      <c r="B792" s="24" t="n">
        <v>46113</v>
      </c>
      <c r="C792" s="3" t="s">
        <v>628</v>
      </c>
      <c r="D792" s="3" t="s">
        <v>222</v>
      </c>
      <c r="E792" s="3" t="s">
        <v>114</v>
      </c>
      <c r="F792" s="15" t="n">
        <v>553.4</v>
      </c>
      <c r="G792" s="15" t="n">
        <v>0</v>
      </c>
      <c r="H792" s="15" t="n">
        <v>553.4</v>
      </c>
      <c r="I792" s="7" t="n">
        <v>15</v>
      </c>
      <c r="J792" s="7" t="s">
        <v>1667</v>
      </c>
    </row>
    <row r="793" customFormat="false" ht="15" hidden="false" customHeight="false" outlineLevel="0" collapsed="false">
      <c r="A793" s="3" t="n">
        <v>4</v>
      </c>
      <c r="B793" s="24" t="n">
        <v>46113</v>
      </c>
      <c r="C793" s="3" t="s">
        <v>628</v>
      </c>
      <c r="D793" s="3" t="s">
        <v>222</v>
      </c>
      <c r="E793" s="3" t="s">
        <v>151</v>
      </c>
      <c r="F793" s="15" t="n">
        <v>248</v>
      </c>
      <c r="G793" s="15" t="n">
        <v>0</v>
      </c>
      <c r="H793" s="15" t="n">
        <v>248</v>
      </c>
      <c r="I793" s="7" t="n">
        <v>16</v>
      </c>
      <c r="J793" s="7" t="s">
        <v>1668</v>
      </c>
    </row>
    <row r="794" customFormat="false" ht="15" hidden="false" customHeight="false" outlineLevel="0" collapsed="false">
      <c r="A794" s="3" t="n">
        <v>4</v>
      </c>
      <c r="B794" s="24" t="n">
        <v>46113</v>
      </c>
      <c r="C794" s="3" t="s">
        <v>628</v>
      </c>
      <c r="D794" s="3" t="s">
        <v>222</v>
      </c>
      <c r="E794" s="3" t="s">
        <v>121</v>
      </c>
      <c r="F794" s="15" t="n">
        <v>5594.7</v>
      </c>
      <c r="G794" s="15" t="n">
        <v>0</v>
      </c>
      <c r="H794" s="15" t="n">
        <v>5594.7</v>
      </c>
      <c r="I794" s="7" t="n">
        <v>17</v>
      </c>
      <c r="J794" s="7" t="s">
        <v>1669</v>
      </c>
    </row>
    <row r="795" customFormat="false" ht="15" hidden="false" customHeight="false" outlineLevel="0" collapsed="false">
      <c r="A795" s="3" t="n">
        <v>4</v>
      </c>
      <c r="B795" s="24" t="n">
        <v>46113</v>
      </c>
      <c r="C795" s="3" t="s">
        <v>628</v>
      </c>
      <c r="D795" s="3" t="s">
        <v>222</v>
      </c>
      <c r="E795" s="3" t="s">
        <v>132</v>
      </c>
      <c r="F795" s="15" t="n">
        <v>2469.2</v>
      </c>
      <c r="G795" s="15" t="n">
        <v>0</v>
      </c>
      <c r="H795" s="15" t="n">
        <v>2469.2</v>
      </c>
      <c r="I795" s="7" t="n">
        <v>18</v>
      </c>
      <c r="J795" s="7" t="s">
        <v>1670</v>
      </c>
    </row>
    <row r="796" customFormat="false" ht="15" hidden="false" customHeight="false" outlineLevel="0" collapsed="false">
      <c r="A796" s="3" t="n">
        <v>4</v>
      </c>
      <c r="B796" s="24" t="n">
        <v>46113</v>
      </c>
      <c r="C796" s="3" t="s">
        <v>629</v>
      </c>
      <c r="D796" s="3" t="s">
        <v>222</v>
      </c>
      <c r="E796" s="3" t="s">
        <v>118</v>
      </c>
      <c r="F796" s="15" t="n">
        <v>7515.93</v>
      </c>
      <c r="G796" s="15" t="n">
        <v>0</v>
      </c>
      <c r="H796" s="15" t="n">
        <v>7515.93</v>
      </c>
      <c r="I796" s="7" t="n">
        <v>1</v>
      </c>
      <c r="J796" s="7" t="s">
        <v>1671</v>
      </c>
    </row>
    <row r="797" customFormat="false" ht="15" hidden="false" customHeight="false" outlineLevel="0" collapsed="false">
      <c r="A797" s="3" t="n">
        <v>5</v>
      </c>
      <c r="B797" s="24" t="n">
        <v>46143</v>
      </c>
      <c r="C797" s="3" t="s">
        <v>630</v>
      </c>
      <c r="D797" s="3" t="s">
        <v>222</v>
      </c>
      <c r="E797" s="3" t="s">
        <v>113</v>
      </c>
      <c r="F797" s="15" t="n">
        <v>135747.64</v>
      </c>
      <c r="G797" s="15" t="n">
        <v>47854.12</v>
      </c>
      <c r="H797" s="15" t="n">
        <v>183601.76</v>
      </c>
      <c r="I797" s="7" t="n">
        <v>1</v>
      </c>
      <c r="J797" s="7" t="s">
        <v>1672</v>
      </c>
    </row>
    <row r="798" customFormat="false" ht="15" hidden="false" customHeight="false" outlineLevel="0" collapsed="false">
      <c r="A798" s="3" t="n">
        <v>5</v>
      </c>
      <c r="B798" s="24" t="n">
        <v>46143</v>
      </c>
      <c r="C798" s="3" t="s">
        <v>630</v>
      </c>
      <c r="D798" s="3" t="s">
        <v>222</v>
      </c>
      <c r="E798" s="3" t="s">
        <v>111</v>
      </c>
      <c r="F798" s="15" t="n">
        <v>135511.13</v>
      </c>
      <c r="G798" s="15" t="n">
        <v>47679.64</v>
      </c>
      <c r="H798" s="15" t="n">
        <v>183190.77</v>
      </c>
      <c r="I798" s="7" t="n">
        <v>2</v>
      </c>
      <c r="J798" s="7" t="s">
        <v>1673</v>
      </c>
    </row>
    <row r="799" customFormat="false" ht="15" hidden="false" customHeight="false" outlineLevel="0" collapsed="false">
      <c r="A799" s="3" t="n">
        <v>5</v>
      </c>
      <c r="B799" s="24" t="n">
        <v>46143</v>
      </c>
      <c r="C799" s="3" t="s">
        <v>630</v>
      </c>
      <c r="D799" s="3" t="s">
        <v>222</v>
      </c>
      <c r="E799" s="3" t="s">
        <v>114</v>
      </c>
      <c r="F799" s="15" t="n">
        <v>138129.17</v>
      </c>
      <c r="G799" s="15" t="n">
        <v>49041.57</v>
      </c>
      <c r="H799" s="15" t="n">
        <v>187170.74</v>
      </c>
      <c r="I799" s="7" t="n">
        <v>3</v>
      </c>
      <c r="J799" s="7" t="s">
        <v>1674</v>
      </c>
    </row>
    <row r="800" customFormat="false" ht="15" hidden="false" customHeight="false" outlineLevel="0" collapsed="false">
      <c r="A800" s="3" t="n">
        <v>5</v>
      </c>
      <c r="B800" s="24" t="n">
        <v>46143</v>
      </c>
      <c r="C800" s="3" t="s">
        <v>631</v>
      </c>
      <c r="D800" s="3" t="s">
        <v>222</v>
      </c>
      <c r="E800" s="3" t="s">
        <v>118</v>
      </c>
      <c r="F800" s="15" t="n">
        <v>81006.74</v>
      </c>
      <c r="G800" s="15" t="n">
        <v>28567.08</v>
      </c>
      <c r="H800" s="15" t="n">
        <v>109573.82</v>
      </c>
      <c r="I800" s="7" t="n">
        <v>1</v>
      </c>
      <c r="J800" s="7" t="s">
        <v>1675</v>
      </c>
    </row>
    <row r="801" customFormat="false" ht="15" hidden="false" customHeight="false" outlineLevel="0" collapsed="false">
      <c r="A801" s="3" t="n">
        <v>5</v>
      </c>
      <c r="B801" s="24" t="n">
        <v>46143</v>
      </c>
      <c r="C801" s="3" t="s">
        <v>632</v>
      </c>
      <c r="D801" s="3" t="s">
        <v>214</v>
      </c>
      <c r="E801" s="3" t="s">
        <v>165</v>
      </c>
      <c r="F801" s="15" t="n">
        <v>2546.69</v>
      </c>
      <c r="G801" s="15" t="n">
        <v>907.81</v>
      </c>
      <c r="H801" s="15" t="n">
        <v>3454.5</v>
      </c>
      <c r="I801" s="7" t="n">
        <v>1</v>
      </c>
      <c r="J801" s="7" t="s">
        <v>1676</v>
      </c>
    </row>
    <row r="802" customFormat="false" ht="15" hidden="false" customHeight="false" outlineLevel="0" collapsed="false">
      <c r="A802" s="3" t="n">
        <v>5</v>
      </c>
      <c r="B802" s="24" t="n">
        <v>46143</v>
      </c>
      <c r="C802" s="3" t="s">
        <v>633</v>
      </c>
      <c r="D802" s="3" t="s">
        <v>214</v>
      </c>
      <c r="E802" s="3" t="s">
        <v>112</v>
      </c>
      <c r="F802" s="15" t="n">
        <v>15664.44</v>
      </c>
      <c r="G802" s="15" t="n">
        <v>5718.21</v>
      </c>
      <c r="H802" s="15" t="n">
        <v>21382.65</v>
      </c>
      <c r="I802" s="7" t="n">
        <v>1</v>
      </c>
      <c r="J802" s="7" t="s">
        <v>1677</v>
      </c>
    </row>
    <row r="803" customFormat="false" ht="15" hidden="false" customHeight="false" outlineLevel="0" collapsed="false">
      <c r="A803" s="3" t="n">
        <v>5</v>
      </c>
      <c r="B803" s="24" t="n">
        <v>46143</v>
      </c>
      <c r="C803" s="3" t="s">
        <v>634</v>
      </c>
      <c r="D803" s="3" t="s">
        <v>222</v>
      </c>
      <c r="E803" s="3" t="s">
        <v>120</v>
      </c>
      <c r="F803" s="15" t="n">
        <v>78472.22</v>
      </c>
      <c r="G803" s="15" t="n">
        <v>28169.56</v>
      </c>
      <c r="H803" s="15" t="n">
        <v>106641.78</v>
      </c>
      <c r="I803" s="7" t="n">
        <v>1</v>
      </c>
      <c r="J803" s="7" t="s">
        <v>1678</v>
      </c>
    </row>
    <row r="804" customFormat="false" ht="15" hidden="false" customHeight="false" outlineLevel="0" collapsed="false">
      <c r="A804" s="3" t="n">
        <v>5</v>
      </c>
      <c r="B804" s="24" t="n">
        <v>46143</v>
      </c>
      <c r="C804" s="3" t="s">
        <v>634</v>
      </c>
      <c r="D804" s="3" t="s">
        <v>222</v>
      </c>
      <c r="E804" s="3" t="s">
        <v>126</v>
      </c>
      <c r="F804" s="15" t="n">
        <v>39428.31</v>
      </c>
      <c r="G804" s="15" t="n">
        <v>13916.9</v>
      </c>
      <c r="H804" s="15" t="n">
        <v>53345.21</v>
      </c>
      <c r="I804" s="7" t="n">
        <v>2</v>
      </c>
      <c r="J804" s="7" t="s">
        <v>1679</v>
      </c>
    </row>
    <row r="805" customFormat="false" ht="15" hidden="false" customHeight="false" outlineLevel="0" collapsed="false">
      <c r="A805" s="3" t="n">
        <v>5</v>
      </c>
      <c r="B805" s="24" t="n">
        <v>46143</v>
      </c>
      <c r="C805" s="3" t="s">
        <v>634</v>
      </c>
      <c r="D805" s="3" t="s">
        <v>222</v>
      </c>
      <c r="E805" s="3" t="s">
        <v>139</v>
      </c>
      <c r="F805" s="15" t="n">
        <v>18094.21</v>
      </c>
      <c r="G805" s="15" t="n">
        <v>6403.18</v>
      </c>
      <c r="H805" s="15" t="n">
        <v>24497.39</v>
      </c>
      <c r="I805" s="7" t="n">
        <v>3</v>
      </c>
      <c r="J805" s="7" t="s">
        <v>1680</v>
      </c>
    </row>
    <row r="806" customFormat="false" ht="15" hidden="false" customHeight="false" outlineLevel="0" collapsed="false">
      <c r="A806" s="3" t="n">
        <v>5</v>
      </c>
      <c r="B806" s="24" t="n">
        <v>46143</v>
      </c>
      <c r="C806" s="3" t="s">
        <v>635</v>
      </c>
      <c r="D806" s="3" t="s">
        <v>243</v>
      </c>
      <c r="E806" s="3" t="s">
        <v>161</v>
      </c>
      <c r="F806" s="15" t="n">
        <v>3104.7</v>
      </c>
      <c r="G806" s="15" t="n">
        <v>1113.27</v>
      </c>
      <c r="H806" s="15" t="n">
        <v>4217.97</v>
      </c>
      <c r="I806" s="7" t="n">
        <v>1</v>
      </c>
      <c r="J806" s="7" t="s">
        <v>1681</v>
      </c>
    </row>
    <row r="807" customFormat="false" ht="15" hidden="false" customHeight="false" outlineLevel="0" collapsed="false">
      <c r="A807" s="3" t="n">
        <v>5</v>
      </c>
      <c r="B807" s="24" t="n">
        <v>46143</v>
      </c>
      <c r="C807" s="3" t="s">
        <v>636</v>
      </c>
      <c r="D807" s="3" t="s">
        <v>243</v>
      </c>
      <c r="E807" s="3" t="s">
        <v>112</v>
      </c>
      <c r="F807" s="15" t="n">
        <v>6444.5</v>
      </c>
      <c r="G807" s="15" t="n">
        <v>2297.6</v>
      </c>
      <c r="H807" s="15" t="n">
        <v>8742.1</v>
      </c>
      <c r="I807" s="7" t="n">
        <v>1</v>
      </c>
      <c r="J807" s="7" t="s">
        <v>1682</v>
      </c>
    </row>
    <row r="808" customFormat="false" ht="15" hidden="false" customHeight="false" outlineLevel="0" collapsed="false">
      <c r="A808" s="3" t="n">
        <v>5</v>
      </c>
      <c r="B808" s="24" t="n">
        <v>46143</v>
      </c>
      <c r="C808" s="3" t="s">
        <v>637</v>
      </c>
      <c r="D808" s="3" t="s">
        <v>246</v>
      </c>
      <c r="E808" s="3" t="s">
        <v>171</v>
      </c>
      <c r="F808" s="15" t="n">
        <v>1563.72</v>
      </c>
      <c r="G808" s="15" t="n">
        <v>575.28</v>
      </c>
      <c r="H808" s="15" t="n">
        <v>2139</v>
      </c>
      <c r="I808" s="7" t="n">
        <v>1</v>
      </c>
      <c r="J808" s="7" t="s">
        <v>1683</v>
      </c>
    </row>
    <row r="809" customFormat="false" ht="15" hidden="false" customHeight="false" outlineLevel="0" collapsed="false">
      <c r="A809" s="3" t="n">
        <v>5</v>
      </c>
      <c r="B809" s="24" t="n">
        <v>46143</v>
      </c>
      <c r="C809" s="3" t="s">
        <v>638</v>
      </c>
      <c r="D809" s="3" t="s">
        <v>246</v>
      </c>
      <c r="E809" s="3" t="s">
        <v>112</v>
      </c>
      <c r="F809" s="15" t="n">
        <v>2369.83</v>
      </c>
      <c r="G809" s="15" t="n">
        <v>845.74</v>
      </c>
      <c r="H809" s="15" t="n">
        <v>3215.57</v>
      </c>
      <c r="I809" s="7" t="n">
        <v>1</v>
      </c>
      <c r="J809" s="7" t="s">
        <v>1684</v>
      </c>
    </row>
    <row r="810" customFormat="false" ht="15" hidden="false" customHeight="false" outlineLevel="0" collapsed="false">
      <c r="A810" s="3" t="n">
        <v>5</v>
      </c>
      <c r="B810" s="24" t="n">
        <v>46143</v>
      </c>
      <c r="C810" s="3" t="s">
        <v>639</v>
      </c>
      <c r="D810" s="3" t="s">
        <v>231</v>
      </c>
      <c r="E810" s="3" t="s">
        <v>134</v>
      </c>
      <c r="F810" s="15" t="n">
        <v>10823.15</v>
      </c>
      <c r="G810" s="15" t="n">
        <v>3868.69</v>
      </c>
      <c r="H810" s="15" t="n">
        <v>14691.84</v>
      </c>
      <c r="I810" s="7" t="n">
        <v>1</v>
      </c>
      <c r="J810" s="7" t="s">
        <v>1685</v>
      </c>
    </row>
    <row r="811" customFormat="false" ht="15" hidden="false" customHeight="false" outlineLevel="0" collapsed="false">
      <c r="A811" s="3" t="n">
        <v>5</v>
      </c>
      <c r="B811" s="24" t="n">
        <v>46143</v>
      </c>
      <c r="C811" s="3" t="s">
        <v>640</v>
      </c>
      <c r="D811" s="3" t="s">
        <v>231</v>
      </c>
      <c r="E811" s="3" t="s">
        <v>112</v>
      </c>
      <c r="F811" s="15" t="n">
        <v>9309.78</v>
      </c>
      <c r="G811" s="15" t="n">
        <v>3455.7</v>
      </c>
      <c r="H811" s="15" t="n">
        <v>12765.48</v>
      </c>
      <c r="I811" s="7" t="n">
        <v>1</v>
      </c>
      <c r="J811" s="7" t="s">
        <v>1686</v>
      </c>
    </row>
    <row r="812" customFormat="false" ht="15" hidden="false" customHeight="false" outlineLevel="0" collapsed="false">
      <c r="A812" s="3" t="n">
        <v>5</v>
      </c>
      <c r="B812" s="24" t="n">
        <v>46143</v>
      </c>
      <c r="C812" s="3" t="s">
        <v>641</v>
      </c>
      <c r="D812" s="3" t="s">
        <v>252</v>
      </c>
      <c r="E812" s="3" t="s">
        <v>112</v>
      </c>
      <c r="F812" s="15" t="n">
        <v>2946.93</v>
      </c>
      <c r="G812" s="15" t="n">
        <v>1045.76</v>
      </c>
      <c r="H812" s="15" t="n">
        <v>3992.69</v>
      </c>
      <c r="I812" s="7" t="n">
        <v>1</v>
      </c>
      <c r="J812" s="7" t="s">
        <v>1687</v>
      </c>
    </row>
    <row r="813" customFormat="false" ht="15" hidden="false" customHeight="false" outlineLevel="0" collapsed="false">
      <c r="A813" s="3" t="n">
        <v>5</v>
      </c>
      <c r="B813" s="24" t="n">
        <v>46143</v>
      </c>
      <c r="C813" s="3" t="s">
        <v>642</v>
      </c>
      <c r="D813" s="3" t="s">
        <v>252</v>
      </c>
      <c r="E813" s="3" t="s">
        <v>166</v>
      </c>
      <c r="F813" s="15" t="n">
        <v>2531.71</v>
      </c>
      <c r="G813" s="15" t="n">
        <v>902.63</v>
      </c>
      <c r="H813" s="15" t="n">
        <v>3434.34</v>
      </c>
      <c r="I813" s="7" t="n">
        <v>1</v>
      </c>
      <c r="J813" s="7" t="s">
        <v>1688</v>
      </c>
    </row>
    <row r="814" customFormat="false" ht="15" hidden="false" customHeight="false" outlineLevel="0" collapsed="false">
      <c r="A814" s="3" t="n">
        <v>5</v>
      </c>
      <c r="B814" s="24" t="n">
        <v>46143</v>
      </c>
      <c r="C814" s="3" t="s">
        <v>643</v>
      </c>
      <c r="D814" s="3" t="s">
        <v>261</v>
      </c>
      <c r="E814" s="3" t="s">
        <v>175</v>
      </c>
      <c r="F814" s="15" t="n">
        <v>449.24</v>
      </c>
      <c r="G814" s="15" t="n">
        <v>160.57</v>
      </c>
      <c r="H814" s="15" t="n">
        <v>609.81</v>
      </c>
      <c r="I814" s="7" t="n">
        <v>1</v>
      </c>
      <c r="J814" s="7" t="s">
        <v>1689</v>
      </c>
    </row>
    <row r="815" customFormat="false" ht="15" hidden="false" customHeight="false" outlineLevel="0" collapsed="false">
      <c r="A815" s="3" t="n">
        <v>5</v>
      </c>
      <c r="B815" s="24" t="n">
        <v>46143</v>
      </c>
      <c r="C815" s="3" t="s">
        <v>643</v>
      </c>
      <c r="D815" s="3" t="s">
        <v>261</v>
      </c>
      <c r="E815" s="3" t="s">
        <v>112</v>
      </c>
      <c r="F815" s="15" t="n">
        <v>2373.33</v>
      </c>
      <c r="G815" s="15" t="n">
        <v>846.95</v>
      </c>
      <c r="H815" s="15" t="n">
        <v>3220.28</v>
      </c>
      <c r="I815" s="7" t="n">
        <v>2</v>
      </c>
      <c r="J815" s="7" t="s">
        <v>1690</v>
      </c>
    </row>
    <row r="816" customFormat="false" ht="15" hidden="false" customHeight="false" outlineLevel="0" collapsed="false">
      <c r="A816" s="3" t="n">
        <v>5</v>
      </c>
      <c r="B816" s="24" t="n">
        <v>46143</v>
      </c>
      <c r="C816" s="3" t="s">
        <v>644</v>
      </c>
      <c r="D816" s="3" t="s">
        <v>255</v>
      </c>
      <c r="E816" s="3" t="s">
        <v>168</v>
      </c>
      <c r="F816" s="15" t="n">
        <v>11.15</v>
      </c>
      <c r="G816" s="15" t="n">
        <v>10.38</v>
      </c>
      <c r="H816" s="15" t="n">
        <v>21.53</v>
      </c>
      <c r="I816" s="7" t="n">
        <v>1</v>
      </c>
      <c r="J816" s="7" t="s">
        <v>1691</v>
      </c>
    </row>
    <row r="817" customFormat="false" ht="15" hidden="false" customHeight="false" outlineLevel="0" collapsed="false">
      <c r="A817" s="3" t="n">
        <v>5</v>
      </c>
      <c r="B817" s="24" t="n">
        <v>46143</v>
      </c>
      <c r="C817" s="3" t="s">
        <v>644</v>
      </c>
      <c r="D817" s="3" t="s">
        <v>255</v>
      </c>
      <c r="E817" s="3" t="s">
        <v>112</v>
      </c>
      <c r="F817" s="15" t="n">
        <v>4696.63</v>
      </c>
      <c r="G817" s="15" t="n">
        <v>1676.58</v>
      </c>
      <c r="H817" s="15" t="n">
        <v>6373.21</v>
      </c>
      <c r="I817" s="7" t="n">
        <v>2</v>
      </c>
      <c r="J817" s="7" t="s">
        <v>1692</v>
      </c>
    </row>
    <row r="818" customFormat="false" ht="15" hidden="false" customHeight="false" outlineLevel="0" collapsed="false">
      <c r="A818" s="3" t="n">
        <v>5</v>
      </c>
      <c r="B818" s="24" t="n">
        <v>46143</v>
      </c>
      <c r="C818" s="3" t="s">
        <v>645</v>
      </c>
      <c r="D818" s="3" t="s">
        <v>258</v>
      </c>
      <c r="E818" s="3" t="s">
        <v>128</v>
      </c>
      <c r="F818" s="15" t="n">
        <v>2369.17</v>
      </c>
      <c r="G818" s="15" t="n">
        <v>825.02</v>
      </c>
      <c r="H818" s="15" t="n">
        <v>3194.19</v>
      </c>
      <c r="I818" s="7" t="n">
        <v>1</v>
      </c>
      <c r="J818" s="7" t="s">
        <v>1693</v>
      </c>
    </row>
    <row r="819" customFormat="false" ht="15" hidden="false" customHeight="false" outlineLevel="0" collapsed="false">
      <c r="A819" s="3" t="n">
        <v>5</v>
      </c>
      <c r="B819" s="24" t="n">
        <v>46143</v>
      </c>
      <c r="C819" s="3" t="s">
        <v>645</v>
      </c>
      <c r="D819" s="3" t="s">
        <v>258</v>
      </c>
      <c r="E819" s="3" t="s">
        <v>146</v>
      </c>
      <c r="F819" s="15" t="n">
        <v>5574.35</v>
      </c>
      <c r="G819" s="15" t="n">
        <v>1939.78</v>
      </c>
      <c r="H819" s="15" t="n">
        <v>7514.13</v>
      </c>
      <c r="I819" s="7" t="n">
        <v>2</v>
      </c>
      <c r="J819" s="7" t="s">
        <v>1694</v>
      </c>
    </row>
    <row r="820" customFormat="false" ht="15" hidden="false" customHeight="false" outlineLevel="0" collapsed="false">
      <c r="A820" s="3" t="n">
        <v>5</v>
      </c>
      <c r="B820" s="24" t="n">
        <v>46143</v>
      </c>
      <c r="C820" s="3" t="s">
        <v>646</v>
      </c>
      <c r="D820" s="3" t="s">
        <v>258</v>
      </c>
      <c r="E820" s="3" t="s">
        <v>112</v>
      </c>
      <c r="F820" s="15" t="n">
        <v>82.49</v>
      </c>
      <c r="G820" s="15" t="n">
        <v>99.82</v>
      </c>
      <c r="H820" s="15" t="n">
        <v>182.31</v>
      </c>
      <c r="I820" s="7" t="n">
        <v>1</v>
      </c>
      <c r="J820" s="7" t="s">
        <v>1695</v>
      </c>
    </row>
    <row r="821" customFormat="false" ht="15" hidden="false" customHeight="false" outlineLevel="0" collapsed="false">
      <c r="A821" s="3" t="n">
        <v>5</v>
      </c>
      <c r="B821" s="24" t="n">
        <v>46143</v>
      </c>
      <c r="C821" s="3" t="s">
        <v>647</v>
      </c>
      <c r="D821" s="3" t="s">
        <v>249</v>
      </c>
      <c r="E821" s="3" t="s">
        <v>137</v>
      </c>
      <c r="F821" s="15" t="n">
        <v>3000.07</v>
      </c>
      <c r="G821" s="15" t="n">
        <v>1199.01</v>
      </c>
      <c r="H821" s="15" t="n">
        <v>4199.08</v>
      </c>
      <c r="I821" s="7" t="n">
        <v>1</v>
      </c>
      <c r="J821" s="7" t="s">
        <v>1696</v>
      </c>
    </row>
    <row r="822" customFormat="false" ht="15" hidden="false" customHeight="false" outlineLevel="0" collapsed="false">
      <c r="A822" s="3" t="n">
        <v>5</v>
      </c>
      <c r="B822" s="24" t="n">
        <v>46143</v>
      </c>
      <c r="C822" s="3" t="s">
        <v>648</v>
      </c>
      <c r="D822" s="3" t="s">
        <v>212</v>
      </c>
      <c r="E822" s="3" t="s">
        <v>173</v>
      </c>
      <c r="F822" s="15" t="n">
        <v>2316.16</v>
      </c>
      <c r="G822" s="15" t="n">
        <v>698.59</v>
      </c>
      <c r="H822" s="15" t="n">
        <v>3014.75</v>
      </c>
      <c r="I822" s="7" t="n">
        <v>1</v>
      </c>
      <c r="J822" s="7" t="s">
        <v>1697</v>
      </c>
    </row>
    <row r="823" customFormat="false" ht="15" hidden="false" customHeight="false" outlineLevel="0" collapsed="false">
      <c r="A823" s="3" t="n">
        <v>5</v>
      </c>
      <c r="B823" s="24" t="n">
        <v>46143</v>
      </c>
      <c r="C823" s="3" t="s">
        <v>648</v>
      </c>
      <c r="D823" s="3" t="s">
        <v>212</v>
      </c>
      <c r="E823" s="3" t="s">
        <v>119</v>
      </c>
      <c r="F823" s="15" t="n">
        <v>121401.12</v>
      </c>
      <c r="G823" s="15" t="n">
        <v>37630.95</v>
      </c>
      <c r="H823" s="15" t="n">
        <v>159032.07</v>
      </c>
      <c r="I823" s="7" t="n">
        <v>2</v>
      </c>
      <c r="J823" s="7" t="s">
        <v>1698</v>
      </c>
    </row>
    <row r="824" customFormat="false" ht="15" hidden="false" customHeight="false" outlineLevel="0" collapsed="false">
      <c r="A824" s="3" t="n">
        <v>5</v>
      </c>
      <c r="B824" s="24" t="n">
        <v>46143</v>
      </c>
      <c r="C824" s="3" t="s">
        <v>649</v>
      </c>
      <c r="D824" s="3" t="s">
        <v>224</v>
      </c>
      <c r="E824" s="3" t="s">
        <v>143</v>
      </c>
      <c r="F824" s="15" t="n">
        <v>8993.52</v>
      </c>
      <c r="G824" s="15" t="n">
        <v>3214.64</v>
      </c>
      <c r="H824" s="15" t="n">
        <v>12208.16</v>
      </c>
      <c r="I824" s="7" t="n">
        <v>1</v>
      </c>
      <c r="J824" s="7" t="s">
        <v>1699</v>
      </c>
    </row>
    <row r="825" customFormat="false" ht="15" hidden="false" customHeight="false" outlineLevel="0" collapsed="false">
      <c r="A825" s="3" t="n">
        <v>5</v>
      </c>
      <c r="B825" s="24" t="n">
        <v>46143</v>
      </c>
      <c r="C825" s="3" t="s">
        <v>650</v>
      </c>
      <c r="D825" s="3" t="s">
        <v>224</v>
      </c>
      <c r="E825" s="3" t="s">
        <v>152</v>
      </c>
      <c r="F825" s="15" t="n">
        <v>2740.47</v>
      </c>
      <c r="G825" s="15" t="n">
        <v>974.98</v>
      </c>
      <c r="H825" s="15" t="n">
        <v>3715.45</v>
      </c>
      <c r="I825" s="7" t="n">
        <v>1</v>
      </c>
      <c r="J825" s="7" t="s">
        <v>1700</v>
      </c>
    </row>
    <row r="826" customFormat="false" ht="15" hidden="false" customHeight="false" outlineLevel="0" collapsed="false">
      <c r="A826" s="3" t="n">
        <v>5</v>
      </c>
      <c r="B826" s="24" t="n">
        <v>46143</v>
      </c>
      <c r="C826" s="3" t="s">
        <v>651</v>
      </c>
      <c r="D826" s="3" t="s">
        <v>224</v>
      </c>
      <c r="E826" s="3" t="s">
        <v>128</v>
      </c>
      <c r="F826" s="15" t="n">
        <v>27339.08</v>
      </c>
      <c r="G826" s="15" t="n">
        <v>9514.240801</v>
      </c>
      <c r="H826" s="15" t="n">
        <v>36853.320801</v>
      </c>
      <c r="I826" s="7" t="n">
        <v>1</v>
      </c>
      <c r="J826" s="7" t="s">
        <v>1701</v>
      </c>
    </row>
    <row r="827" customFormat="false" ht="15" hidden="false" customHeight="false" outlineLevel="0" collapsed="false">
      <c r="A827" s="3" t="n">
        <v>5</v>
      </c>
      <c r="B827" s="24" t="n">
        <v>46143</v>
      </c>
      <c r="C827" s="3" t="s">
        <v>651</v>
      </c>
      <c r="D827" s="3" t="s">
        <v>224</v>
      </c>
      <c r="E827" s="3" t="s">
        <v>143</v>
      </c>
      <c r="F827" s="15" t="n">
        <v>1297.52</v>
      </c>
      <c r="G827" s="15" t="n">
        <v>529.635815</v>
      </c>
      <c r="H827" s="15" t="n">
        <v>1827.155815</v>
      </c>
      <c r="I827" s="7" t="n">
        <v>2</v>
      </c>
      <c r="J827" s="7" t="s">
        <v>1702</v>
      </c>
    </row>
    <row r="828" customFormat="false" ht="15" hidden="false" customHeight="false" outlineLevel="0" collapsed="false">
      <c r="A828" s="3" t="n">
        <v>5</v>
      </c>
      <c r="B828" s="24" t="n">
        <v>46143</v>
      </c>
      <c r="C828" s="3" t="s">
        <v>652</v>
      </c>
      <c r="D828" s="3" t="s">
        <v>234</v>
      </c>
      <c r="E828" s="3" t="s">
        <v>141</v>
      </c>
      <c r="F828" s="15" t="n">
        <v>3028.12</v>
      </c>
      <c r="G828" s="15" t="n">
        <v>1074.66</v>
      </c>
      <c r="H828" s="15" t="n">
        <v>4102.78</v>
      </c>
      <c r="I828" s="7" t="n">
        <v>1</v>
      </c>
      <c r="J828" s="7" t="s">
        <v>1703</v>
      </c>
    </row>
    <row r="829" customFormat="false" ht="15" hidden="false" customHeight="false" outlineLevel="0" collapsed="false">
      <c r="A829" s="3" t="n">
        <v>5</v>
      </c>
      <c r="B829" s="24" t="n">
        <v>46143</v>
      </c>
      <c r="C829" s="3" t="s">
        <v>653</v>
      </c>
      <c r="D829" s="3" t="s">
        <v>234</v>
      </c>
      <c r="E829" s="3" t="s">
        <v>112</v>
      </c>
      <c r="F829" s="15" t="n">
        <v>7415.08</v>
      </c>
      <c r="G829" s="15" t="n">
        <v>2655.14</v>
      </c>
      <c r="H829" s="15" t="n">
        <v>10070.22</v>
      </c>
      <c r="I829" s="7" t="n">
        <v>1</v>
      </c>
      <c r="J829" s="7" t="s">
        <v>1704</v>
      </c>
    </row>
    <row r="830" customFormat="false" ht="15" hidden="false" customHeight="false" outlineLevel="0" collapsed="false">
      <c r="A830" s="3" t="n">
        <v>5</v>
      </c>
      <c r="B830" s="24" t="n">
        <v>46143</v>
      </c>
      <c r="C830" s="3" t="s">
        <v>654</v>
      </c>
      <c r="D830" s="3" t="s">
        <v>228</v>
      </c>
      <c r="E830" s="3" t="s">
        <v>112</v>
      </c>
      <c r="F830" s="15" t="n">
        <v>8675.82</v>
      </c>
      <c r="G830" s="15" t="n">
        <v>3274.84</v>
      </c>
      <c r="H830" s="15" t="n">
        <v>11950.66</v>
      </c>
      <c r="I830" s="7" t="n">
        <v>1</v>
      </c>
      <c r="J830" s="7" t="s">
        <v>1705</v>
      </c>
    </row>
    <row r="831" customFormat="false" ht="15" hidden="false" customHeight="false" outlineLevel="0" collapsed="false">
      <c r="A831" s="3" t="n">
        <v>5</v>
      </c>
      <c r="B831" s="24" t="n">
        <v>46143</v>
      </c>
      <c r="C831" s="3" t="s">
        <v>655</v>
      </c>
      <c r="D831" s="3" t="s">
        <v>219</v>
      </c>
      <c r="E831" s="3" t="s">
        <v>109</v>
      </c>
      <c r="F831" s="15" t="n">
        <v>-1408</v>
      </c>
      <c r="G831" s="15" t="n">
        <v>-487.99</v>
      </c>
      <c r="H831" s="15" t="n">
        <v>-1895.99</v>
      </c>
      <c r="I831" s="7" t="n">
        <v>1</v>
      </c>
      <c r="J831" s="7" t="s">
        <v>1706</v>
      </c>
    </row>
    <row r="832" customFormat="false" ht="15" hidden="false" customHeight="false" outlineLevel="0" collapsed="false">
      <c r="A832" s="3" t="n">
        <v>5</v>
      </c>
      <c r="B832" s="24" t="n">
        <v>46143</v>
      </c>
      <c r="C832" s="3" t="s">
        <v>655</v>
      </c>
      <c r="D832" s="3" t="s">
        <v>219</v>
      </c>
      <c r="E832" s="3" t="s">
        <v>112</v>
      </c>
      <c r="F832" s="15" t="n">
        <v>5153.96</v>
      </c>
      <c r="G832" s="15" t="n">
        <v>2070.96</v>
      </c>
      <c r="H832" s="15" t="n">
        <v>7224.92</v>
      </c>
      <c r="I832" s="7" t="n">
        <v>2</v>
      </c>
      <c r="J832" s="7" t="s">
        <v>1707</v>
      </c>
    </row>
    <row r="833" customFormat="false" ht="15" hidden="false" customHeight="false" outlineLevel="0" collapsed="false">
      <c r="A833" s="3" t="n">
        <v>5</v>
      </c>
      <c r="B833" s="24" t="n">
        <v>46143</v>
      </c>
      <c r="C833" s="3" t="s">
        <v>656</v>
      </c>
      <c r="D833" s="3" t="s">
        <v>228</v>
      </c>
      <c r="E833" s="3" t="s">
        <v>122</v>
      </c>
      <c r="F833" s="15" t="n">
        <v>39679.55</v>
      </c>
      <c r="G833" s="15" t="n">
        <v>13926.332648</v>
      </c>
      <c r="H833" s="15" t="n">
        <v>53605.882648</v>
      </c>
      <c r="I833" s="7" t="n">
        <v>1</v>
      </c>
      <c r="J833" s="7" t="s">
        <v>1708</v>
      </c>
    </row>
    <row r="834" customFormat="false" ht="15" hidden="false" customHeight="false" outlineLevel="0" collapsed="false">
      <c r="A834" s="3" t="n">
        <v>5</v>
      </c>
      <c r="B834" s="24" t="n">
        <v>46143</v>
      </c>
      <c r="C834" s="3" t="s">
        <v>657</v>
      </c>
      <c r="D834" s="3" t="s">
        <v>228</v>
      </c>
      <c r="E834" s="3" t="s">
        <v>109</v>
      </c>
      <c r="F834" s="15" t="n">
        <v>10374.68</v>
      </c>
      <c r="G834" s="15" t="n">
        <v>3615.245216</v>
      </c>
      <c r="H834" s="15" t="n">
        <v>13989.925216</v>
      </c>
      <c r="I834" s="7" t="n">
        <v>1</v>
      </c>
      <c r="J834" s="7" t="s">
        <v>1709</v>
      </c>
    </row>
    <row r="835" customFormat="false" ht="15" hidden="false" customHeight="false" outlineLevel="0" collapsed="false">
      <c r="A835" s="3" t="n">
        <v>5</v>
      </c>
      <c r="B835" s="24" t="n">
        <v>46143</v>
      </c>
      <c r="C835" s="3" t="s">
        <v>658</v>
      </c>
      <c r="D835" s="3" t="s">
        <v>228</v>
      </c>
      <c r="E835" s="3" t="s">
        <v>149</v>
      </c>
      <c r="F835" s="15" t="n">
        <v>20322.88</v>
      </c>
      <c r="G835" s="15" t="n">
        <v>7055.8</v>
      </c>
      <c r="H835" s="15" t="n">
        <v>27378.68</v>
      </c>
      <c r="I835" s="7" t="n">
        <v>1</v>
      </c>
      <c r="J835" s="7" t="s">
        <v>1710</v>
      </c>
    </row>
    <row r="836" customFormat="false" ht="15" hidden="false" customHeight="false" outlineLevel="0" collapsed="false">
      <c r="A836" s="3" t="n">
        <v>5</v>
      </c>
      <c r="B836" s="24" t="n">
        <v>46143</v>
      </c>
      <c r="C836" s="3" t="s">
        <v>659</v>
      </c>
      <c r="D836" s="3" t="s">
        <v>217</v>
      </c>
      <c r="E836" s="3" t="s">
        <v>112</v>
      </c>
      <c r="F836" s="15" t="n">
        <v>11380.16</v>
      </c>
      <c r="G836" s="15" t="n">
        <v>4120.16</v>
      </c>
      <c r="H836" s="15" t="n">
        <v>15500.32</v>
      </c>
      <c r="I836" s="7" t="n">
        <v>1</v>
      </c>
      <c r="J836" s="7" t="s">
        <v>1711</v>
      </c>
    </row>
    <row r="837" customFormat="false" ht="15" hidden="false" customHeight="false" outlineLevel="0" collapsed="false">
      <c r="A837" s="3" t="n">
        <v>5</v>
      </c>
      <c r="B837" s="24" t="n">
        <v>46143</v>
      </c>
      <c r="C837" s="3" t="s">
        <v>660</v>
      </c>
      <c r="D837" s="3" t="s">
        <v>217</v>
      </c>
      <c r="E837" s="3" t="s">
        <v>159</v>
      </c>
      <c r="F837" s="15" t="n">
        <v>2352.62</v>
      </c>
      <c r="G837" s="15" t="n">
        <v>872.36</v>
      </c>
      <c r="H837" s="15" t="n">
        <v>3224.98</v>
      </c>
      <c r="I837" s="7" t="n">
        <v>1</v>
      </c>
      <c r="J837" s="7" t="s">
        <v>1712</v>
      </c>
    </row>
    <row r="838" customFormat="false" ht="15" hidden="false" customHeight="false" outlineLevel="0" collapsed="false">
      <c r="A838" s="3" t="n">
        <v>5</v>
      </c>
      <c r="B838" s="24" t="n">
        <v>46143</v>
      </c>
      <c r="C838" s="3" t="s">
        <v>661</v>
      </c>
      <c r="D838" s="3" t="s">
        <v>217</v>
      </c>
      <c r="E838" s="3" t="s">
        <v>109</v>
      </c>
      <c r="F838" s="15" t="n">
        <v>2478.98</v>
      </c>
      <c r="G838" s="15" t="n">
        <v>887.61</v>
      </c>
      <c r="H838" s="15" t="n">
        <v>3366.59</v>
      </c>
      <c r="I838" s="7" t="n">
        <v>1</v>
      </c>
      <c r="J838" s="7" t="s">
        <v>1713</v>
      </c>
    </row>
    <row r="839" customFormat="false" ht="15" hidden="false" customHeight="false" outlineLevel="0" collapsed="false">
      <c r="A839" s="3" t="n">
        <v>5</v>
      </c>
      <c r="B839" s="24" t="n">
        <v>46143</v>
      </c>
      <c r="C839" s="3" t="s">
        <v>661</v>
      </c>
      <c r="D839" s="3" t="s">
        <v>217</v>
      </c>
      <c r="E839" s="3" t="s">
        <v>145</v>
      </c>
      <c r="F839" s="15" t="n">
        <v>2035.05</v>
      </c>
      <c r="G839" s="15" t="n">
        <v>785.7</v>
      </c>
      <c r="H839" s="15" t="n">
        <v>2820.75</v>
      </c>
      <c r="I839" s="7" t="n">
        <v>2</v>
      </c>
      <c r="J839" s="7" t="s">
        <v>1714</v>
      </c>
    </row>
    <row r="840" customFormat="false" ht="15" hidden="false" customHeight="false" outlineLevel="0" collapsed="false">
      <c r="A840" s="3" t="n">
        <v>5</v>
      </c>
      <c r="B840" s="24" t="n">
        <v>46143</v>
      </c>
      <c r="C840" s="3" t="s">
        <v>661</v>
      </c>
      <c r="D840" s="3" t="s">
        <v>217</v>
      </c>
      <c r="E840" s="3" t="s">
        <v>159</v>
      </c>
      <c r="F840" s="15" t="n">
        <v>2478.98</v>
      </c>
      <c r="G840" s="15" t="n">
        <v>887.61</v>
      </c>
      <c r="H840" s="15" t="n">
        <v>3366.59</v>
      </c>
      <c r="I840" s="7" t="n">
        <v>3</v>
      </c>
      <c r="J840" s="7" t="s">
        <v>1715</v>
      </c>
    </row>
    <row r="841" customFormat="false" ht="15" hidden="false" customHeight="false" outlineLevel="0" collapsed="false">
      <c r="A841" s="3" t="n">
        <v>5</v>
      </c>
      <c r="B841" s="24" t="n">
        <v>46143</v>
      </c>
      <c r="C841" s="3" t="s">
        <v>662</v>
      </c>
      <c r="D841" s="3" t="s">
        <v>217</v>
      </c>
      <c r="E841" s="3" t="s">
        <v>109</v>
      </c>
      <c r="F841" s="15" t="n">
        <v>46529.36</v>
      </c>
      <c r="G841" s="15" t="n">
        <v>16210.18</v>
      </c>
      <c r="H841" s="15" t="n">
        <v>62739.54</v>
      </c>
      <c r="I841" s="7" t="n">
        <v>1</v>
      </c>
      <c r="J841" s="7" t="s">
        <v>1716</v>
      </c>
    </row>
    <row r="842" customFormat="false" ht="15" hidden="false" customHeight="false" outlineLevel="0" collapsed="false">
      <c r="A842" s="3" t="n">
        <v>5</v>
      </c>
      <c r="B842" s="24" t="n">
        <v>46143</v>
      </c>
      <c r="C842" s="3" t="s">
        <v>663</v>
      </c>
      <c r="D842" s="3" t="s">
        <v>219</v>
      </c>
      <c r="E842" s="3" t="s">
        <v>130</v>
      </c>
      <c r="F842" s="15" t="n">
        <v>22352.44</v>
      </c>
      <c r="G842" s="15" t="n">
        <v>7766.46</v>
      </c>
      <c r="H842" s="15" t="n">
        <v>30118.9</v>
      </c>
      <c r="I842" s="7" t="n">
        <v>1</v>
      </c>
      <c r="J842" s="7" t="s">
        <v>1717</v>
      </c>
    </row>
    <row r="843" customFormat="false" ht="15" hidden="false" customHeight="false" outlineLevel="0" collapsed="false">
      <c r="A843" s="3" t="n">
        <v>5</v>
      </c>
      <c r="B843" s="24" t="n">
        <v>46143</v>
      </c>
      <c r="C843" s="3" t="s">
        <v>664</v>
      </c>
      <c r="D843" s="3" t="s">
        <v>219</v>
      </c>
      <c r="E843" s="3" t="s">
        <v>153</v>
      </c>
      <c r="F843" s="15" t="n">
        <v>1828.1</v>
      </c>
      <c r="G843" s="15" t="n">
        <v>670.09</v>
      </c>
      <c r="H843" s="15" t="n">
        <v>2498.19</v>
      </c>
      <c r="I843" s="7" t="n">
        <v>1</v>
      </c>
      <c r="J843" s="7" t="s">
        <v>1718</v>
      </c>
    </row>
    <row r="844" customFormat="false" ht="15" hidden="false" customHeight="false" outlineLevel="0" collapsed="false">
      <c r="A844" s="3" t="n">
        <v>5</v>
      </c>
      <c r="B844" s="24" t="n">
        <v>46143</v>
      </c>
      <c r="C844" s="3" t="s">
        <v>665</v>
      </c>
      <c r="D844" s="3" t="s">
        <v>219</v>
      </c>
      <c r="E844" s="3" t="s">
        <v>109</v>
      </c>
      <c r="F844" s="15" t="n">
        <v>35894.4</v>
      </c>
      <c r="G844" s="15" t="n">
        <v>12520.12</v>
      </c>
      <c r="H844" s="15" t="n">
        <v>48414.52</v>
      </c>
      <c r="I844" s="7" t="n">
        <v>1</v>
      </c>
      <c r="J844" s="7" t="s">
        <v>1719</v>
      </c>
    </row>
    <row r="845" customFormat="false" ht="15" hidden="false" customHeight="false" outlineLevel="0" collapsed="false">
      <c r="A845" s="3" t="n">
        <v>5</v>
      </c>
      <c r="B845" s="24" t="n">
        <v>46143</v>
      </c>
      <c r="C845" s="3" t="s">
        <v>666</v>
      </c>
      <c r="D845" s="3" t="s">
        <v>237</v>
      </c>
      <c r="E845" s="3" t="s">
        <v>130</v>
      </c>
      <c r="F845" s="15" t="n">
        <v>8631.99</v>
      </c>
      <c r="G845" s="15" t="n">
        <v>3001.45</v>
      </c>
      <c r="H845" s="15" t="n">
        <v>11633.44</v>
      </c>
      <c r="I845" s="7" t="n">
        <v>1</v>
      </c>
      <c r="J845" s="7" t="s">
        <v>1720</v>
      </c>
    </row>
    <row r="846" customFormat="false" ht="15" hidden="false" customHeight="false" outlineLevel="0" collapsed="false">
      <c r="A846" s="3" t="n">
        <v>5</v>
      </c>
      <c r="B846" s="24" t="n">
        <v>46143</v>
      </c>
      <c r="C846" s="3" t="s">
        <v>667</v>
      </c>
      <c r="D846" s="3" t="s">
        <v>237</v>
      </c>
      <c r="E846" s="3" t="s">
        <v>155</v>
      </c>
      <c r="F846" s="15" t="n">
        <v>81.57</v>
      </c>
      <c r="G846" s="15" t="n">
        <v>34.78</v>
      </c>
      <c r="H846" s="15" t="n">
        <v>116.35</v>
      </c>
      <c r="I846" s="7" t="n">
        <v>1</v>
      </c>
      <c r="J846" s="7" t="s">
        <v>1721</v>
      </c>
    </row>
    <row r="847" customFormat="false" ht="15" hidden="false" customHeight="false" outlineLevel="0" collapsed="false">
      <c r="A847" s="3" t="n">
        <v>5</v>
      </c>
      <c r="B847" s="24" t="n">
        <v>46143</v>
      </c>
      <c r="C847" s="3" t="s">
        <v>668</v>
      </c>
      <c r="D847" s="3" t="s">
        <v>237</v>
      </c>
      <c r="E847" s="3" t="s">
        <v>112</v>
      </c>
      <c r="F847" s="15" t="n">
        <v>4993.57</v>
      </c>
      <c r="G847" s="15" t="n">
        <v>1876.96</v>
      </c>
      <c r="H847" s="15" t="n">
        <v>6870.53</v>
      </c>
      <c r="I847" s="7" t="n">
        <v>1</v>
      </c>
      <c r="J847" s="7" t="s">
        <v>1722</v>
      </c>
    </row>
    <row r="848" customFormat="false" ht="15" hidden="false" customHeight="false" outlineLevel="0" collapsed="false">
      <c r="A848" s="3" t="n">
        <v>5</v>
      </c>
      <c r="B848" s="24" t="n">
        <v>46143</v>
      </c>
      <c r="C848" s="3" t="s">
        <v>669</v>
      </c>
      <c r="D848" s="3" t="s">
        <v>237</v>
      </c>
      <c r="E848" s="3" t="s">
        <v>109</v>
      </c>
      <c r="F848" s="15" t="n">
        <v>65053.32</v>
      </c>
      <c r="G848" s="15" t="n">
        <v>22643.82</v>
      </c>
      <c r="H848" s="15" t="n">
        <v>87697.14</v>
      </c>
      <c r="I848" s="7" t="n">
        <v>1</v>
      </c>
      <c r="J848" s="7" t="s">
        <v>1723</v>
      </c>
    </row>
    <row r="849" customFormat="false" ht="15" hidden="false" customHeight="false" outlineLevel="0" collapsed="false">
      <c r="A849" s="3" t="n">
        <v>5</v>
      </c>
      <c r="B849" s="24" t="n">
        <v>46143</v>
      </c>
      <c r="C849" s="3" t="s">
        <v>669</v>
      </c>
      <c r="D849" s="3" t="s">
        <v>237</v>
      </c>
      <c r="E849" s="3" t="s">
        <v>133</v>
      </c>
      <c r="F849" s="15" t="n">
        <v>15562.74</v>
      </c>
      <c r="G849" s="15" t="n">
        <v>5423.01</v>
      </c>
      <c r="H849" s="15" t="n">
        <v>20985.75</v>
      </c>
      <c r="I849" s="7" t="n">
        <v>2</v>
      </c>
      <c r="J849" s="7" t="s">
        <v>1724</v>
      </c>
    </row>
    <row r="850" customFormat="false" ht="15" hidden="false" customHeight="false" outlineLevel="0" collapsed="false">
      <c r="A850" s="3" t="n">
        <v>5</v>
      </c>
      <c r="B850" s="24" t="n">
        <v>46143</v>
      </c>
      <c r="C850" s="3" t="s">
        <v>670</v>
      </c>
      <c r="D850" s="3" t="s">
        <v>269</v>
      </c>
      <c r="E850" s="3" t="s">
        <v>136</v>
      </c>
      <c r="F850" s="15" t="n">
        <v>8559.03</v>
      </c>
      <c r="G850" s="15" t="n">
        <v>3049.98</v>
      </c>
      <c r="H850" s="15" t="n">
        <v>11609.01</v>
      </c>
      <c r="I850" s="7" t="n">
        <v>1</v>
      </c>
      <c r="J850" s="7" t="s">
        <v>1725</v>
      </c>
    </row>
    <row r="851" customFormat="false" ht="15" hidden="false" customHeight="false" outlineLevel="0" collapsed="false">
      <c r="A851" s="3" t="n">
        <v>5</v>
      </c>
      <c r="B851" s="24" t="n">
        <v>46143</v>
      </c>
      <c r="C851" s="3" t="s">
        <v>670</v>
      </c>
      <c r="D851" s="3" t="s">
        <v>269</v>
      </c>
      <c r="E851" s="3" t="s">
        <v>174</v>
      </c>
      <c r="F851" s="15" t="n">
        <v>-189.97</v>
      </c>
      <c r="G851" s="15" t="n">
        <v>-19.07</v>
      </c>
      <c r="H851" s="15" t="n">
        <v>-209.04</v>
      </c>
      <c r="I851" s="7" t="n">
        <v>2</v>
      </c>
      <c r="J851" s="7" t="s">
        <v>1726</v>
      </c>
    </row>
    <row r="852" customFormat="false" ht="15" hidden="false" customHeight="false" outlineLevel="0" collapsed="false">
      <c r="A852" s="3" t="n">
        <v>5</v>
      </c>
      <c r="B852" s="24" t="n">
        <v>46143</v>
      </c>
      <c r="C852" s="3" t="s">
        <v>670</v>
      </c>
      <c r="D852" s="3" t="s">
        <v>269</v>
      </c>
      <c r="E852" s="3" t="s">
        <v>169</v>
      </c>
      <c r="F852" s="15" t="n">
        <v>2971.43</v>
      </c>
      <c r="G852" s="15" t="n">
        <v>1055.02</v>
      </c>
      <c r="H852" s="15" t="n">
        <v>4026.45</v>
      </c>
      <c r="I852" s="7" t="n">
        <v>3</v>
      </c>
      <c r="J852" s="7" t="s">
        <v>1727</v>
      </c>
    </row>
    <row r="853" customFormat="false" ht="15" hidden="false" customHeight="false" outlineLevel="0" collapsed="false">
      <c r="A853" s="3" t="n">
        <v>5</v>
      </c>
      <c r="B853" s="24" t="n">
        <v>46143</v>
      </c>
      <c r="C853" s="3" t="s">
        <v>671</v>
      </c>
      <c r="D853" s="3" t="s">
        <v>226</v>
      </c>
      <c r="E853" s="3" t="s">
        <v>112</v>
      </c>
      <c r="F853" s="15" t="n">
        <v>10182.61</v>
      </c>
      <c r="G853" s="15" t="n">
        <v>3282.7</v>
      </c>
      <c r="H853" s="15" t="n">
        <v>13465.31</v>
      </c>
      <c r="I853" s="7" t="n">
        <v>1</v>
      </c>
      <c r="J853" s="7" t="s">
        <v>1728</v>
      </c>
    </row>
    <row r="854" customFormat="false" ht="15" hidden="false" customHeight="false" outlineLevel="0" collapsed="false">
      <c r="A854" s="3" t="n">
        <v>5</v>
      </c>
      <c r="B854" s="24" t="n">
        <v>46143</v>
      </c>
      <c r="C854" s="3" t="s">
        <v>672</v>
      </c>
      <c r="D854" s="3" t="s">
        <v>269</v>
      </c>
      <c r="E854" s="3" t="s">
        <v>109</v>
      </c>
      <c r="F854" s="15" t="n">
        <v>121862.22</v>
      </c>
      <c r="G854" s="15" t="n">
        <v>42394.22</v>
      </c>
      <c r="H854" s="15" t="n">
        <v>164256.44</v>
      </c>
      <c r="I854" s="7" t="n">
        <v>1</v>
      </c>
      <c r="J854" s="7" t="s">
        <v>1729</v>
      </c>
    </row>
    <row r="855" customFormat="false" ht="15" hidden="false" customHeight="false" outlineLevel="0" collapsed="false">
      <c r="A855" s="3" t="n">
        <v>5</v>
      </c>
      <c r="B855" s="24" t="n">
        <v>46143</v>
      </c>
      <c r="C855" s="3" t="s">
        <v>673</v>
      </c>
      <c r="D855" s="3" t="s">
        <v>269</v>
      </c>
      <c r="E855" s="3" t="s">
        <v>112</v>
      </c>
      <c r="F855" s="15" t="n">
        <v>4457.51</v>
      </c>
      <c r="G855" s="15" t="n">
        <v>1670.47</v>
      </c>
      <c r="H855" s="15" t="n">
        <v>6127.98</v>
      </c>
      <c r="I855" s="7" t="n">
        <v>1</v>
      </c>
      <c r="J855" s="7" t="s">
        <v>1730</v>
      </c>
    </row>
    <row r="856" customFormat="false" ht="15" hidden="false" customHeight="false" outlineLevel="0" collapsed="false">
      <c r="A856" s="3" t="n">
        <v>5</v>
      </c>
      <c r="B856" s="24" t="n">
        <v>46143</v>
      </c>
      <c r="C856" s="3" t="s">
        <v>673</v>
      </c>
      <c r="D856" s="3" t="s">
        <v>269</v>
      </c>
      <c r="E856" s="3" t="s">
        <v>157</v>
      </c>
      <c r="F856" s="15" t="n">
        <v>4057.38</v>
      </c>
      <c r="G856" s="15" t="n">
        <v>1475.2</v>
      </c>
      <c r="H856" s="15" t="n">
        <v>5532.58</v>
      </c>
      <c r="I856" s="7" t="n">
        <v>2</v>
      </c>
      <c r="J856" s="7" t="s">
        <v>1731</v>
      </c>
    </row>
    <row r="857" customFormat="false" ht="15" hidden="false" customHeight="false" outlineLevel="0" collapsed="false">
      <c r="A857" s="3" t="n">
        <v>5</v>
      </c>
      <c r="B857" s="24" t="n">
        <v>46143</v>
      </c>
      <c r="C857" s="3" t="s">
        <v>674</v>
      </c>
      <c r="D857" s="3" t="s">
        <v>222</v>
      </c>
      <c r="E857" s="3" t="s">
        <v>160</v>
      </c>
      <c r="F857" s="15" t="n">
        <v>1916.77</v>
      </c>
      <c r="G857" s="15" t="n">
        <v>699.72</v>
      </c>
      <c r="H857" s="15" t="n">
        <v>2616.49</v>
      </c>
      <c r="I857" s="7" t="n">
        <v>1</v>
      </c>
      <c r="J857" s="7" t="s">
        <v>1732</v>
      </c>
    </row>
    <row r="858" customFormat="false" ht="15" hidden="false" customHeight="false" outlineLevel="0" collapsed="false">
      <c r="A858" s="3" t="n">
        <v>5</v>
      </c>
      <c r="B858" s="24" t="n">
        <v>46143</v>
      </c>
      <c r="C858" s="3" t="s">
        <v>674</v>
      </c>
      <c r="D858" s="3" t="s">
        <v>222</v>
      </c>
      <c r="E858" s="3" t="s">
        <v>140</v>
      </c>
      <c r="F858" s="15" t="n">
        <v>8338.81</v>
      </c>
      <c r="G858" s="15" t="n">
        <v>2933.11</v>
      </c>
      <c r="H858" s="15" t="n">
        <v>11271.92</v>
      </c>
      <c r="I858" s="7" t="n">
        <v>2</v>
      </c>
      <c r="J858" s="7" t="s">
        <v>1733</v>
      </c>
    </row>
    <row r="859" customFormat="false" ht="15" hidden="false" customHeight="false" outlineLevel="0" collapsed="false">
      <c r="A859" s="3" t="n">
        <v>5</v>
      </c>
      <c r="B859" s="24" t="n">
        <v>46143</v>
      </c>
      <c r="C859" s="3" t="s">
        <v>675</v>
      </c>
      <c r="D859" s="3" t="s">
        <v>222</v>
      </c>
      <c r="E859" s="3" t="s">
        <v>124</v>
      </c>
      <c r="F859" s="15" t="n">
        <v>49742.2</v>
      </c>
      <c r="G859" s="15" t="n">
        <v>17463.05</v>
      </c>
      <c r="H859" s="15" t="n">
        <v>67205.25</v>
      </c>
      <c r="I859" s="7" t="n">
        <v>1</v>
      </c>
      <c r="J859" s="7" t="s">
        <v>1734</v>
      </c>
    </row>
    <row r="860" customFormat="false" ht="15" hidden="false" customHeight="false" outlineLevel="0" collapsed="false">
      <c r="A860" s="3" t="n">
        <v>5</v>
      </c>
      <c r="B860" s="24" t="n">
        <v>46143</v>
      </c>
      <c r="C860" s="3" t="s">
        <v>675</v>
      </c>
      <c r="D860" s="3" t="s">
        <v>222</v>
      </c>
      <c r="E860" s="3" t="s">
        <v>125</v>
      </c>
      <c r="F860" s="15" t="n">
        <v>25381.32</v>
      </c>
      <c r="G860" s="15" t="n">
        <v>8984.84</v>
      </c>
      <c r="H860" s="15" t="n">
        <v>34366.16</v>
      </c>
      <c r="I860" s="7" t="n">
        <v>2</v>
      </c>
      <c r="J860" s="7" t="s">
        <v>1735</v>
      </c>
    </row>
    <row r="861" customFormat="false" ht="15" hidden="false" customHeight="false" outlineLevel="0" collapsed="false">
      <c r="A861" s="3" t="n">
        <v>5</v>
      </c>
      <c r="B861" s="24" t="n">
        <v>46143</v>
      </c>
      <c r="C861" s="3" t="s">
        <v>675</v>
      </c>
      <c r="D861" s="3" t="s">
        <v>222</v>
      </c>
      <c r="E861" s="3" t="s">
        <v>123</v>
      </c>
      <c r="F861" s="15" t="n">
        <v>63610.77</v>
      </c>
      <c r="G861" s="15" t="n">
        <v>22722.88</v>
      </c>
      <c r="H861" s="15" t="n">
        <v>86333.65</v>
      </c>
      <c r="I861" s="7" t="n">
        <v>3</v>
      </c>
      <c r="J861" s="7" t="s">
        <v>1736</v>
      </c>
    </row>
    <row r="862" customFormat="false" ht="15" hidden="false" customHeight="false" outlineLevel="0" collapsed="false">
      <c r="A862" s="3" t="n">
        <v>5</v>
      </c>
      <c r="B862" s="24" t="n">
        <v>46143</v>
      </c>
      <c r="C862" s="3" t="s">
        <v>675</v>
      </c>
      <c r="D862" s="3" t="s">
        <v>222</v>
      </c>
      <c r="E862" s="3" t="s">
        <v>129</v>
      </c>
      <c r="F862" s="15" t="n">
        <v>1384.8</v>
      </c>
      <c r="G862" s="15" t="n">
        <v>506.11</v>
      </c>
      <c r="H862" s="15" t="n">
        <v>1890.91</v>
      </c>
      <c r="I862" s="7" t="n">
        <v>4</v>
      </c>
      <c r="J862" s="7" t="s">
        <v>1737</v>
      </c>
    </row>
    <row r="863" customFormat="false" ht="15" hidden="false" customHeight="false" outlineLevel="0" collapsed="false">
      <c r="A863" s="3" t="n">
        <v>5</v>
      </c>
      <c r="B863" s="24" t="n">
        <v>46143</v>
      </c>
      <c r="C863" s="3" t="s">
        <v>675</v>
      </c>
      <c r="D863" s="3" t="s">
        <v>222</v>
      </c>
      <c r="E863" s="3" t="s">
        <v>116</v>
      </c>
      <c r="F863" s="15" t="n">
        <v>94899.72</v>
      </c>
      <c r="G863" s="15" t="n">
        <v>33654.12</v>
      </c>
      <c r="H863" s="15" t="n">
        <v>128553.84</v>
      </c>
      <c r="I863" s="7" t="n">
        <v>5</v>
      </c>
      <c r="J863" s="7" t="s">
        <v>1738</v>
      </c>
    </row>
    <row r="864" customFormat="false" ht="15" hidden="false" customHeight="false" outlineLevel="0" collapsed="false">
      <c r="A864" s="3" t="n">
        <v>5</v>
      </c>
      <c r="B864" s="24" t="n">
        <v>46143</v>
      </c>
      <c r="C864" s="3" t="s">
        <v>675</v>
      </c>
      <c r="D864" s="3" t="s">
        <v>222</v>
      </c>
      <c r="E864" s="3" t="s">
        <v>115</v>
      </c>
      <c r="F864" s="15" t="n">
        <v>20297.51</v>
      </c>
      <c r="G864" s="15" t="n">
        <v>7167.46</v>
      </c>
      <c r="H864" s="15" t="n">
        <v>27464.97</v>
      </c>
      <c r="I864" s="7" t="n">
        <v>6</v>
      </c>
      <c r="J864" s="7" t="s">
        <v>1739</v>
      </c>
    </row>
    <row r="865" customFormat="false" ht="15" hidden="false" customHeight="false" outlineLevel="0" collapsed="false">
      <c r="A865" s="3" t="n">
        <v>5</v>
      </c>
      <c r="B865" s="24" t="n">
        <v>46143</v>
      </c>
      <c r="C865" s="3" t="s">
        <v>675</v>
      </c>
      <c r="D865" s="3" t="s">
        <v>222</v>
      </c>
      <c r="E865" s="3" t="s">
        <v>117</v>
      </c>
      <c r="F865" s="15" t="n">
        <v>89623.43</v>
      </c>
      <c r="G865" s="15" t="n">
        <v>31710.74</v>
      </c>
      <c r="H865" s="15" t="n">
        <v>121334.17</v>
      </c>
      <c r="I865" s="7" t="n">
        <v>7</v>
      </c>
      <c r="J865" s="7" t="s">
        <v>1740</v>
      </c>
    </row>
    <row r="866" customFormat="false" ht="15" hidden="false" customHeight="false" outlineLevel="0" collapsed="false">
      <c r="A866" s="3" t="n">
        <v>5</v>
      </c>
      <c r="B866" s="24" t="n">
        <v>46143</v>
      </c>
      <c r="C866" s="3" t="s">
        <v>675</v>
      </c>
      <c r="D866" s="3" t="s">
        <v>222</v>
      </c>
      <c r="E866" s="3" t="s">
        <v>108</v>
      </c>
      <c r="F866" s="15" t="n">
        <v>335255.57</v>
      </c>
      <c r="G866" s="15" t="n">
        <v>119585.59</v>
      </c>
      <c r="H866" s="15" t="n">
        <v>454841.16</v>
      </c>
      <c r="I866" s="7" t="n">
        <v>8</v>
      </c>
      <c r="J866" s="7" t="s">
        <v>1741</v>
      </c>
    </row>
    <row r="867" customFormat="false" ht="15" hidden="false" customHeight="false" outlineLevel="0" collapsed="false">
      <c r="A867" s="3" t="n">
        <v>5</v>
      </c>
      <c r="B867" s="24" t="n">
        <v>46143</v>
      </c>
      <c r="C867" s="3" t="s">
        <v>675</v>
      </c>
      <c r="D867" s="3" t="s">
        <v>222</v>
      </c>
      <c r="E867" s="3" t="s">
        <v>110</v>
      </c>
      <c r="F867" s="15" t="n">
        <v>259705.04</v>
      </c>
      <c r="G867" s="15" t="n">
        <v>93085.75</v>
      </c>
      <c r="H867" s="15" t="n">
        <v>352790.79</v>
      </c>
      <c r="I867" s="7" t="n">
        <v>9</v>
      </c>
      <c r="J867" s="7" t="s">
        <v>1742</v>
      </c>
    </row>
    <row r="868" customFormat="false" ht="15" hidden="false" customHeight="false" outlineLevel="0" collapsed="false">
      <c r="A868" s="3" t="n">
        <v>5</v>
      </c>
      <c r="B868" s="24" t="n">
        <v>46143</v>
      </c>
      <c r="C868" s="3" t="s">
        <v>675</v>
      </c>
      <c r="D868" s="3" t="s">
        <v>222</v>
      </c>
      <c r="E868" s="3" t="s">
        <v>151</v>
      </c>
      <c r="F868" s="15" t="n">
        <v>5489.42</v>
      </c>
      <c r="G868" s="15" t="n">
        <v>1934.88</v>
      </c>
      <c r="H868" s="15" t="n">
        <v>7424.3</v>
      </c>
      <c r="I868" s="7" t="n">
        <v>10</v>
      </c>
      <c r="J868" s="7" t="s">
        <v>1743</v>
      </c>
    </row>
    <row r="869" customFormat="false" ht="15" hidden="false" customHeight="false" outlineLevel="0" collapsed="false">
      <c r="A869" s="3" t="n">
        <v>5</v>
      </c>
      <c r="B869" s="24" t="n">
        <v>46143</v>
      </c>
      <c r="C869" s="3" t="s">
        <v>675</v>
      </c>
      <c r="D869" s="3" t="s">
        <v>222</v>
      </c>
      <c r="E869" s="3" t="s">
        <v>121</v>
      </c>
      <c r="F869" s="15" t="n">
        <v>37022.62</v>
      </c>
      <c r="G869" s="15" t="n">
        <v>13104.75</v>
      </c>
      <c r="H869" s="15" t="n">
        <v>50127.37</v>
      </c>
      <c r="I869" s="7" t="n">
        <v>11</v>
      </c>
      <c r="J869" s="7" t="s">
        <v>1744</v>
      </c>
    </row>
    <row r="870" customFormat="false" ht="15" hidden="false" customHeight="false" outlineLevel="0" collapsed="false">
      <c r="A870" s="3" t="n">
        <v>5</v>
      </c>
      <c r="B870" s="24" t="n">
        <v>46143</v>
      </c>
      <c r="C870" s="3" t="s">
        <v>675</v>
      </c>
      <c r="D870" s="3" t="s">
        <v>222</v>
      </c>
      <c r="E870" s="3" t="s">
        <v>132</v>
      </c>
      <c r="F870" s="15" t="n">
        <v>6392.04</v>
      </c>
      <c r="G870" s="15" t="n">
        <v>2262.33</v>
      </c>
      <c r="H870" s="15" t="n">
        <v>8654.37</v>
      </c>
      <c r="I870" s="7" t="n">
        <v>12</v>
      </c>
      <c r="J870" s="7" t="s">
        <v>1745</v>
      </c>
    </row>
    <row r="871" customFormat="false" ht="15" hidden="false" customHeight="false" outlineLevel="0" collapsed="false">
      <c r="A871" s="3" t="n">
        <v>5</v>
      </c>
      <c r="B871" s="24" t="n">
        <v>46143</v>
      </c>
      <c r="C871" s="3" t="s">
        <v>676</v>
      </c>
      <c r="D871" s="3" t="s">
        <v>226</v>
      </c>
      <c r="E871" s="3" t="s">
        <v>149</v>
      </c>
      <c r="F871" s="15" t="n">
        <v>5810.42</v>
      </c>
      <c r="G871" s="15" t="n">
        <v>1745.77</v>
      </c>
      <c r="H871" s="15" t="n">
        <v>7556.19</v>
      </c>
      <c r="I871" s="7" t="n">
        <v>1</v>
      </c>
      <c r="J871" s="7" t="s">
        <v>1746</v>
      </c>
    </row>
    <row r="872" customFormat="false" ht="15" hidden="false" customHeight="false" outlineLevel="0" collapsed="false">
      <c r="A872" s="3" t="n">
        <v>5</v>
      </c>
      <c r="B872" s="24" t="n">
        <v>46143</v>
      </c>
      <c r="C872" s="3" t="s">
        <v>676</v>
      </c>
      <c r="D872" s="3" t="s">
        <v>226</v>
      </c>
      <c r="E872" s="3" t="s">
        <v>109</v>
      </c>
      <c r="F872" s="15" t="n">
        <v>111084.29</v>
      </c>
      <c r="G872" s="15" t="n">
        <v>33571.95</v>
      </c>
      <c r="H872" s="15" t="n">
        <v>144656.24</v>
      </c>
      <c r="I872" s="7" t="n">
        <v>2</v>
      </c>
      <c r="J872" s="7" t="s">
        <v>1747</v>
      </c>
    </row>
    <row r="873" customFormat="false" ht="15" hidden="false" customHeight="false" outlineLevel="0" collapsed="false">
      <c r="A873" s="3" t="n">
        <v>5</v>
      </c>
      <c r="B873" s="24" t="n">
        <v>46143</v>
      </c>
      <c r="C873" s="3" t="s">
        <v>676</v>
      </c>
      <c r="D873" s="3" t="s">
        <v>226</v>
      </c>
      <c r="E873" s="3" t="s">
        <v>138</v>
      </c>
      <c r="F873" s="15" t="n">
        <v>11760.9</v>
      </c>
      <c r="G873" s="15" t="n">
        <v>3538.21</v>
      </c>
      <c r="H873" s="15" t="n">
        <v>15299.11</v>
      </c>
      <c r="I873" s="7" t="n">
        <v>3</v>
      </c>
      <c r="J873" s="7" t="s">
        <v>1748</v>
      </c>
    </row>
    <row r="874" customFormat="false" ht="15" hidden="false" customHeight="false" outlineLevel="0" collapsed="false">
      <c r="A874" s="3" t="n">
        <v>5</v>
      </c>
      <c r="B874" s="24" t="n">
        <v>46143</v>
      </c>
      <c r="C874" s="3" t="s">
        <v>676</v>
      </c>
      <c r="D874" s="3" t="s">
        <v>226</v>
      </c>
      <c r="E874" s="3" t="s">
        <v>163</v>
      </c>
      <c r="F874" s="15" t="n">
        <v>5172.14</v>
      </c>
      <c r="G874" s="15" t="n">
        <v>1562.54</v>
      </c>
      <c r="H874" s="15" t="n">
        <v>6734.68</v>
      </c>
      <c r="I874" s="7" t="n">
        <v>4</v>
      </c>
      <c r="J874" s="7" t="s">
        <v>1749</v>
      </c>
    </row>
    <row r="875" customFormat="false" ht="15" hidden="false" customHeight="false" outlineLevel="0" collapsed="false">
      <c r="A875" s="3" t="n">
        <v>5</v>
      </c>
      <c r="B875" s="24" t="n">
        <v>46143</v>
      </c>
      <c r="C875" s="3" t="s">
        <v>677</v>
      </c>
      <c r="D875" s="3" t="s">
        <v>222</v>
      </c>
      <c r="E875" s="3" t="s">
        <v>118</v>
      </c>
      <c r="F875" s="15" t="n">
        <v>4028.5</v>
      </c>
      <c r="G875" s="15" t="n">
        <v>0</v>
      </c>
      <c r="H875" s="15" t="n">
        <v>4028.5</v>
      </c>
      <c r="I875" s="7" t="n">
        <v>1</v>
      </c>
      <c r="J875" s="7" t="s">
        <v>1750</v>
      </c>
    </row>
    <row r="876" customFormat="false" ht="15" hidden="false" customHeight="false" outlineLevel="0" collapsed="false">
      <c r="A876" s="3" t="n">
        <v>5</v>
      </c>
      <c r="B876" s="24" t="n">
        <v>46143</v>
      </c>
      <c r="C876" s="3" t="s">
        <v>677</v>
      </c>
      <c r="D876" s="3" t="s">
        <v>222</v>
      </c>
      <c r="E876" s="3" t="s">
        <v>120</v>
      </c>
      <c r="F876" s="15" t="n">
        <v>10901</v>
      </c>
      <c r="G876" s="15" t="n">
        <v>0</v>
      </c>
      <c r="H876" s="15" t="n">
        <v>10901</v>
      </c>
      <c r="I876" s="7" t="n">
        <v>2</v>
      </c>
      <c r="J876" s="7" t="s">
        <v>1751</v>
      </c>
    </row>
    <row r="877" customFormat="false" ht="15" hidden="false" customHeight="false" outlineLevel="0" collapsed="false">
      <c r="A877" s="3" t="n">
        <v>5</v>
      </c>
      <c r="B877" s="24" t="n">
        <v>46143</v>
      </c>
      <c r="C877" s="3" t="s">
        <v>677</v>
      </c>
      <c r="D877" s="3" t="s">
        <v>222</v>
      </c>
      <c r="E877" s="3" t="s">
        <v>126</v>
      </c>
      <c r="F877" s="15" t="n">
        <v>5741.3</v>
      </c>
      <c r="G877" s="15" t="n">
        <v>0</v>
      </c>
      <c r="H877" s="15" t="n">
        <v>5741.3</v>
      </c>
      <c r="I877" s="7" t="n">
        <v>3</v>
      </c>
      <c r="J877" s="7" t="s">
        <v>1752</v>
      </c>
    </row>
    <row r="878" customFormat="false" ht="15" hidden="false" customHeight="false" outlineLevel="0" collapsed="false">
      <c r="A878" s="3" t="n">
        <v>5</v>
      </c>
      <c r="B878" s="24" t="n">
        <v>46143</v>
      </c>
      <c r="C878" s="3" t="s">
        <v>677</v>
      </c>
      <c r="D878" s="3" t="s">
        <v>222</v>
      </c>
      <c r="E878" s="3" t="s">
        <v>139</v>
      </c>
      <c r="F878" s="15" t="n">
        <v>3768.7</v>
      </c>
      <c r="G878" s="15" t="n">
        <v>0</v>
      </c>
      <c r="H878" s="15" t="n">
        <v>3768.7</v>
      </c>
      <c r="I878" s="7" t="n">
        <v>4</v>
      </c>
      <c r="J878" s="7" t="s">
        <v>1753</v>
      </c>
    </row>
    <row r="879" customFormat="false" ht="15" hidden="false" customHeight="false" outlineLevel="0" collapsed="false">
      <c r="A879" s="3" t="n">
        <v>5</v>
      </c>
      <c r="B879" s="24" t="n">
        <v>46143</v>
      </c>
      <c r="C879" s="3" t="s">
        <v>678</v>
      </c>
      <c r="D879" s="3" t="s">
        <v>222</v>
      </c>
      <c r="E879" s="3" t="s">
        <v>113</v>
      </c>
      <c r="F879" s="15" t="n">
        <v>11616.9</v>
      </c>
      <c r="G879" s="15" t="n">
        <v>0</v>
      </c>
      <c r="H879" s="15" t="n">
        <v>11616.9</v>
      </c>
      <c r="I879" s="7" t="n">
        <v>1</v>
      </c>
      <c r="J879" s="7" t="s">
        <v>1754</v>
      </c>
    </row>
    <row r="880" customFormat="false" ht="15" hidden="false" customHeight="false" outlineLevel="0" collapsed="false">
      <c r="A880" s="3" t="n">
        <v>5</v>
      </c>
      <c r="B880" s="24" t="n">
        <v>46143</v>
      </c>
      <c r="C880" s="3" t="s">
        <v>678</v>
      </c>
      <c r="D880" s="3" t="s">
        <v>222</v>
      </c>
      <c r="E880" s="3" t="s">
        <v>111</v>
      </c>
      <c r="F880" s="15" t="n">
        <v>7800.2</v>
      </c>
      <c r="G880" s="15" t="n">
        <v>0</v>
      </c>
      <c r="H880" s="15" t="n">
        <v>7800.2</v>
      </c>
      <c r="I880" s="7" t="n">
        <v>2</v>
      </c>
      <c r="J880" s="7" t="s">
        <v>1755</v>
      </c>
    </row>
    <row r="881" customFormat="false" ht="15" hidden="false" customHeight="false" outlineLevel="0" collapsed="false">
      <c r="A881" s="3" t="n">
        <v>5</v>
      </c>
      <c r="B881" s="24" t="n">
        <v>46143</v>
      </c>
      <c r="C881" s="3" t="s">
        <v>678</v>
      </c>
      <c r="D881" s="3" t="s">
        <v>222</v>
      </c>
      <c r="E881" s="3" t="s">
        <v>114</v>
      </c>
      <c r="F881" s="15" t="n">
        <v>7390.3</v>
      </c>
      <c r="G881" s="15" t="n">
        <v>0</v>
      </c>
      <c r="H881" s="15" t="n">
        <v>7390.3</v>
      </c>
      <c r="I881" s="7" t="n">
        <v>3</v>
      </c>
      <c r="J881" s="7" t="s">
        <v>1756</v>
      </c>
    </row>
    <row r="882" customFormat="false" ht="15" hidden="false" customHeight="false" outlineLevel="0" collapsed="false">
      <c r="A882" s="3" t="n">
        <v>5</v>
      </c>
      <c r="B882" s="24" t="n">
        <v>46143</v>
      </c>
      <c r="C882" s="3" t="s">
        <v>679</v>
      </c>
      <c r="D882" s="3" t="s">
        <v>222</v>
      </c>
      <c r="E882" s="3" t="s">
        <v>113</v>
      </c>
      <c r="F882" s="15" t="n">
        <v>696.16</v>
      </c>
      <c r="G882" s="15" t="n">
        <v>0</v>
      </c>
      <c r="H882" s="15" t="n">
        <v>696.16</v>
      </c>
      <c r="I882" s="7" t="n">
        <v>1</v>
      </c>
      <c r="J882" s="7" t="s">
        <v>1757</v>
      </c>
    </row>
    <row r="883" customFormat="false" ht="15" hidden="false" customHeight="false" outlineLevel="0" collapsed="false">
      <c r="A883" s="3" t="n">
        <v>5</v>
      </c>
      <c r="B883" s="24" t="n">
        <v>46143</v>
      </c>
      <c r="C883" s="3" t="s">
        <v>679</v>
      </c>
      <c r="D883" s="3" t="s">
        <v>222</v>
      </c>
      <c r="E883" s="3" t="s">
        <v>111</v>
      </c>
      <c r="F883" s="15" t="n">
        <v>187.54</v>
      </c>
      <c r="G883" s="15" t="n">
        <v>0</v>
      </c>
      <c r="H883" s="15" t="n">
        <v>187.54</v>
      </c>
      <c r="I883" s="7" t="n">
        <v>2</v>
      </c>
      <c r="J883" s="7" t="s">
        <v>1758</v>
      </c>
    </row>
    <row r="884" customFormat="false" ht="15" hidden="false" customHeight="false" outlineLevel="0" collapsed="false">
      <c r="A884" s="3" t="n">
        <v>5</v>
      </c>
      <c r="B884" s="24" t="n">
        <v>46143</v>
      </c>
      <c r="C884" s="3" t="s">
        <v>679</v>
      </c>
      <c r="D884" s="3" t="s">
        <v>222</v>
      </c>
      <c r="E884" s="3" t="s">
        <v>114</v>
      </c>
      <c r="F884" s="15" t="n">
        <v>873.7</v>
      </c>
      <c r="G884" s="15" t="n">
        <v>0</v>
      </c>
      <c r="H884" s="15" t="n">
        <v>873.7</v>
      </c>
      <c r="I884" s="7" t="n">
        <v>3</v>
      </c>
      <c r="J884" s="7" t="s">
        <v>1759</v>
      </c>
    </row>
    <row r="885" customFormat="false" ht="15" hidden="false" customHeight="false" outlineLevel="0" collapsed="false">
      <c r="A885" s="3" t="n">
        <v>5</v>
      </c>
      <c r="B885" s="24" t="n">
        <v>46143</v>
      </c>
      <c r="C885" s="3" t="s">
        <v>680</v>
      </c>
      <c r="D885" s="3" t="s">
        <v>222</v>
      </c>
      <c r="E885" s="3" t="s">
        <v>160</v>
      </c>
      <c r="F885" s="15" t="n">
        <v>261</v>
      </c>
      <c r="G885" s="15" t="n">
        <v>0</v>
      </c>
      <c r="H885" s="15" t="n">
        <v>261</v>
      </c>
      <c r="I885" s="7" t="n">
        <v>1</v>
      </c>
      <c r="J885" s="7" t="s">
        <v>1760</v>
      </c>
    </row>
    <row r="886" customFormat="false" ht="15" hidden="false" customHeight="false" outlineLevel="0" collapsed="false">
      <c r="A886" s="3" t="n">
        <v>5</v>
      </c>
      <c r="B886" s="24" t="n">
        <v>46143</v>
      </c>
      <c r="C886" s="3" t="s">
        <v>680</v>
      </c>
      <c r="D886" s="3" t="s">
        <v>222</v>
      </c>
      <c r="E886" s="3" t="s">
        <v>140</v>
      </c>
      <c r="F886" s="15" t="n">
        <v>342.6</v>
      </c>
      <c r="G886" s="15" t="n">
        <v>0</v>
      </c>
      <c r="H886" s="15" t="n">
        <v>342.6</v>
      </c>
      <c r="I886" s="7" t="n">
        <v>2</v>
      </c>
      <c r="J886" s="7" t="s">
        <v>1761</v>
      </c>
    </row>
    <row r="887" customFormat="false" ht="15" hidden="false" customHeight="false" outlineLevel="0" collapsed="false">
      <c r="A887" s="3" t="n">
        <v>5</v>
      </c>
      <c r="B887" s="24" t="n">
        <v>46143</v>
      </c>
      <c r="C887" s="3" t="s">
        <v>681</v>
      </c>
      <c r="D887" s="3" t="s">
        <v>222</v>
      </c>
      <c r="E887" s="3" t="s">
        <v>124</v>
      </c>
      <c r="F887" s="15" t="n">
        <v>1853.8</v>
      </c>
      <c r="G887" s="15" t="n">
        <v>0</v>
      </c>
      <c r="H887" s="15" t="n">
        <v>1853.8</v>
      </c>
      <c r="I887" s="7" t="n">
        <v>1</v>
      </c>
      <c r="J887" s="7" t="s">
        <v>1762</v>
      </c>
    </row>
    <row r="888" customFormat="false" ht="15" hidden="false" customHeight="false" outlineLevel="0" collapsed="false">
      <c r="A888" s="3" t="n">
        <v>5</v>
      </c>
      <c r="B888" s="24" t="n">
        <v>46143</v>
      </c>
      <c r="C888" s="3" t="s">
        <v>681</v>
      </c>
      <c r="D888" s="3" t="s">
        <v>222</v>
      </c>
      <c r="E888" s="3" t="s">
        <v>125</v>
      </c>
      <c r="F888" s="15" t="n">
        <v>2245.47</v>
      </c>
      <c r="G888" s="15" t="n">
        <v>0</v>
      </c>
      <c r="H888" s="15" t="n">
        <v>2245.47</v>
      </c>
      <c r="I888" s="7" t="n">
        <v>2</v>
      </c>
      <c r="J888" s="7" t="s">
        <v>1763</v>
      </c>
    </row>
    <row r="889" customFormat="false" ht="15" hidden="false" customHeight="false" outlineLevel="0" collapsed="false">
      <c r="A889" s="3" t="n">
        <v>5</v>
      </c>
      <c r="B889" s="24" t="n">
        <v>46143</v>
      </c>
      <c r="C889" s="3" t="s">
        <v>681</v>
      </c>
      <c r="D889" s="3" t="s">
        <v>222</v>
      </c>
      <c r="E889" s="3" t="s">
        <v>123</v>
      </c>
      <c r="F889" s="15" t="n">
        <v>9137.01</v>
      </c>
      <c r="G889" s="15" t="n">
        <v>0</v>
      </c>
      <c r="H889" s="15" t="n">
        <v>9137.01</v>
      </c>
      <c r="I889" s="7" t="n">
        <v>3</v>
      </c>
      <c r="J889" s="7" t="s">
        <v>1764</v>
      </c>
    </row>
    <row r="890" customFormat="false" ht="15" hidden="false" customHeight="false" outlineLevel="0" collapsed="false">
      <c r="A890" s="3" t="n">
        <v>5</v>
      </c>
      <c r="B890" s="24" t="n">
        <v>46143</v>
      </c>
      <c r="C890" s="3" t="s">
        <v>681</v>
      </c>
      <c r="D890" s="3" t="s">
        <v>222</v>
      </c>
      <c r="E890" s="3" t="s">
        <v>131</v>
      </c>
      <c r="F890" s="15" t="n">
        <v>620</v>
      </c>
      <c r="G890" s="15" t="n">
        <v>0</v>
      </c>
      <c r="H890" s="15" t="n">
        <v>620</v>
      </c>
      <c r="I890" s="7" t="n">
        <v>4</v>
      </c>
      <c r="J890" s="7" t="s">
        <v>1765</v>
      </c>
    </row>
    <row r="891" customFormat="false" ht="15" hidden="false" customHeight="false" outlineLevel="0" collapsed="false">
      <c r="A891" s="3" t="n">
        <v>5</v>
      </c>
      <c r="B891" s="24" t="n">
        <v>46143</v>
      </c>
      <c r="C891" s="3" t="s">
        <v>681</v>
      </c>
      <c r="D891" s="3" t="s">
        <v>222</v>
      </c>
      <c r="E891" s="3" t="s">
        <v>129</v>
      </c>
      <c r="F891" s="15" t="n">
        <v>161.2</v>
      </c>
      <c r="G891" s="15" t="n">
        <v>0</v>
      </c>
      <c r="H891" s="15" t="n">
        <v>161.2</v>
      </c>
      <c r="I891" s="7" t="n">
        <v>5</v>
      </c>
      <c r="J891" s="7" t="s">
        <v>1766</v>
      </c>
    </row>
    <row r="892" customFormat="false" ht="15" hidden="false" customHeight="false" outlineLevel="0" collapsed="false">
      <c r="A892" s="3" t="n">
        <v>5</v>
      </c>
      <c r="B892" s="24" t="n">
        <v>46143</v>
      </c>
      <c r="C892" s="3" t="s">
        <v>681</v>
      </c>
      <c r="D892" s="3" t="s">
        <v>222</v>
      </c>
      <c r="E892" s="3" t="s">
        <v>116</v>
      </c>
      <c r="F892" s="15" t="n">
        <v>16222.5</v>
      </c>
      <c r="G892" s="15" t="n">
        <v>0</v>
      </c>
      <c r="H892" s="15" t="n">
        <v>16222.5</v>
      </c>
      <c r="I892" s="7" t="n">
        <v>6</v>
      </c>
      <c r="J892" s="7" t="s">
        <v>1767</v>
      </c>
    </row>
    <row r="893" customFormat="false" ht="15" hidden="false" customHeight="false" outlineLevel="0" collapsed="false">
      <c r="A893" s="3" t="n">
        <v>5</v>
      </c>
      <c r="B893" s="24" t="n">
        <v>46143</v>
      </c>
      <c r="C893" s="3" t="s">
        <v>681</v>
      </c>
      <c r="D893" s="3" t="s">
        <v>222</v>
      </c>
      <c r="E893" s="3" t="s">
        <v>115</v>
      </c>
      <c r="F893" s="15" t="n">
        <v>2836.39</v>
      </c>
      <c r="G893" s="15" t="n">
        <v>0</v>
      </c>
      <c r="H893" s="15" t="n">
        <v>2836.39</v>
      </c>
      <c r="I893" s="7" t="n">
        <v>7</v>
      </c>
      <c r="J893" s="7" t="s">
        <v>1768</v>
      </c>
    </row>
    <row r="894" customFormat="false" ht="15" hidden="false" customHeight="false" outlineLevel="0" collapsed="false">
      <c r="A894" s="3" t="n">
        <v>5</v>
      </c>
      <c r="B894" s="24" t="n">
        <v>46143</v>
      </c>
      <c r="C894" s="3" t="s">
        <v>681</v>
      </c>
      <c r="D894" s="3" t="s">
        <v>222</v>
      </c>
      <c r="E894" s="3" t="s">
        <v>117</v>
      </c>
      <c r="F894" s="15" t="n">
        <v>9308.43</v>
      </c>
      <c r="G894" s="15" t="n">
        <v>0</v>
      </c>
      <c r="H894" s="15" t="n">
        <v>9308.43</v>
      </c>
      <c r="I894" s="7" t="n">
        <v>8</v>
      </c>
      <c r="J894" s="7" t="s">
        <v>1769</v>
      </c>
    </row>
    <row r="895" customFormat="false" ht="15" hidden="false" customHeight="false" outlineLevel="0" collapsed="false">
      <c r="A895" s="3" t="n">
        <v>5</v>
      </c>
      <c r="B895" s="24" t="n">
        <v>46143</v>
      </c>
      <c r="C895" s="3" t="s">
        <v>681</v>
      </c>
      <c r="D895" s="3" t="s">
        <v>222</v>
      </c>
      <c r="E895" s="3" t="s">
        <v>108</v>
      </c>
      <c r="F895" s="15" t="n">
        <v>51033.7</v>
      </c>
      <c r="G895" s="15" t="n">
        <v>0</v>
      </c>
      <c r="H895" s="15" t="n">
        <v>51033.7</v>
      </c>
      <c r="I895" s="7" t="n">
        <v>9</v>
      </c>
      <c r="J895" s="7" t="s">
        <v>1770</v>
      </c>
    </row>
    <row r="896" customFormat="false" ht="15" hidden="false" customHeight="false" outlineLevel="0" collapsed="false">
      <c r="A896" s="3" t="n">
        <v>5</v>
      </c>
      <c r="B896" s="24" t="n">
        <v>46143</v>
      </c>
      <c r="C896" s="3" t="s">
        <v>681</v>
      </c>
      <c r="D896" s="3" t="s">
        <v>222</v>
      </c>
      <c r="E896" s="3" t="s">
        <v>110</v>
      </c>
      <c r="F896" s="15" t="n">
        <v>23818.7</v>
      </c>
      <c r="G896" s="15" t="n">
        <v>0</v>
      </c>
      <c r="H896" s="15" t="n">
        <v>23818.7</v>
      </c>
      <c r="I896" s="7" t="n">
        <v>10</v>
      </c>
      <c r="J896" s="7" t="s">
        <v>1771</v>
      </c>
    </row>
    <row r="897" customFormat="false" ht="15" hidden="false" customHeight="false" outlineLevel="0" collapsed="false">
      <c r="A897" s="3" t="n">
        <v>5</v>
      </c>
      <c r="B897" s="24" t="n">
        <v>46143</v>
      </c>
      <c r="C897" s="3" t="s">
        <v>681</v>
      </c>
      <c r="D897" s="3" t="s">
        <v>222</v>
      </c>
      <c r="E897" s="3" t="s">
        <v>151</v>
      </c>
      <c r="F897" s="15" t="n">
        <v>248</v>
      </c>
      <c r="G897" s="15" t="n">
        <v>0</v>
      </c>
      <c r="H897" s="15" t="n">
        <v>248</v>
      </c>
      <c r="I897" s="7" t="n">
        <v>11</v>
      </c>
      <c r="J897" s="7" t="s">
        <v>1772</v>
      </c>
    </row>
    <row r="898" customFormat="false" ht="15" hidden="false" customHeight="false" outlineLevel="0" collapsed="false">
      <c r="A898" s="3" t="n">
        <v>5</v>
      </c>
      <c r="B898" s="24" t="n">
        <v>46143</v>
      </c>
      <c r="C898" s="3" t="s">
        <v>681</v>
      </c>
      <c r="D898" s="3" t="s">
        <v>222</v>
      </c>
      <c r="E898" s="3" t="s">
        <v>139</v>
      </c>
      <c r="F898" s="15" t="n">
        <v>228</v>
      </c>
      <c r="G898" s="15" t="n">
        <v>0</v>
      </c>
      <c r="H898" s="15" t="n">
        <v>228</v>
      </c>
      <c r="I898" s="7" t="n">
        <v>12</v>
      </c>
      <c r="J898" s="7" t="s">
        <v>1773</v>
      </c>
    </row>
    <row r="899" customFormat="false" ht="15" hidden="false" customHeight="false" outlineLevel="0" collapsed="false">
      <c r="A899" s="3" t="n">
        <v>5</v>
      </c>
      <c r="B899" s="24" t="n">
        <v>46143</v>
      </c>
      <c r="C899" s="3" t="s">
        <v>681</v>
      </c>
      <c r="D899" s="3" t="s">
        <v>222</v>
      </c>
      <c r="E899" s="3" t="s">
        <v>121</v>
      </c>
      <c r="F899" s="15" t="n">
        <v>1987.1</v>
      </c>
      <c r="G899" s="15" t="n">
        <v>0</v>
      </c>
      <c r="H899" s="15" t="n">
        <v>1987.1</v>
      </c>
      <c r="I899" s="7" t="n">
        <v>13</v>
      </c>
      <c r="J899" s="7" t="s">
        <v>1774</v>
      </c>
    </row>
    <row r="900" customFormat="false" ht="15" hidden="false" customHeight="false" outlineLevel="0" collapsed="false">
      <c r="A900" s="3" t="n">
        <v>5</v>
      </c>
      <c r="B900" s="24" t="n">
        <v>46143</v>
      </c>
      <c r="C900" s="3" t="s">
        <v>681</v>
      </c>
      <c r="D900" s="3" t="s">
        <v>222</v>
      </c>
      <c r="E900" s="3" t="s">
        <v>132</v>
      </c>
      <c r="F900" s="15" t="n">
        <v>1398.1</v>
      </c>
      <c r="G900" s="15" t="n">
        <v>0</v>
      </c>
      <c r="H900" s="15" t="n">
        <v>1398.1</v>
      </c>
      <c r="I900" s="7" t="n">
        <v>14</v>
      </c>
      <c r="J900" s="7" t="s">
        <v>1775</v>
      </c>
    </row>
    <row r="901" customFormat="false" ht="15" hidden="false" customHeight="false" outlineLevel="0" collapsed="false">
      <c r="A901" s="3" t="n">
        <v>5</v>
      </c>
      <c r="B901" s="24" t="n">
        <v>46143</v>
      </c>
      <c r="C901" s="3" t="s">
        <v>682</v>
      </c>
      <c r="D901" s="3" t="s">
        <v>261</v>
      </c>
      <c r="E901" s="3" t="s">
        <v>112</v>
      </c>
      <c r="F901" s="15" t="n">
        <v>854.5</v>
      </c>
      <c r="G901" s="15" t="n">
        <v>0</v>
      </c>
      <c r="H901" s="15" t="n">
        <v>854.5</v>
      </c>
      <c r="I901" s="7" t="n">
        <v>1</v>
      </c>
      <c r="J901" s="7" t="s">
        <v>1776</v>
      </c>
    </row>
    <row r="902" customFormat="false" ht="15" hidden="false" customHeight="false" outlineLevel="0" collapsed="false">
      <c r="A902" s="3" t="n">
        <v>5</v>
      </c>
      <c r="B902" s="24" t="n">
        <v>46143</v>
      </c>
      <c r="C902" s="3" t="s">
        <v>683</v>
      </c>
      <c r="D902" s="3" t="s">
        <v>258</v>
      </c>
      <c r="E902" s="3" t="s">
        <v>112</v>
      </c>
      <c r="F902" s="15" t="n">
        <v>460.47</v>
      </c>
      <c r="G902" s="15" t="n">
        <v>0</v>
      </c>
      <c r="H902" s="15" t="n">
        <v>460.47</v>
      </c>
      <c r="I902" s="7" t="n">
        <v>1</v>
      </c>
      <c r="J902" s="7" t="s">
        <v>1777</v>
      </c>
    </row>
    <row r="903" customFormat="false" ht="15" hidden="false" customHeight="false" outlineLevel="0" collapsed="false">
      <c r="A903" s="3" t="n">
        <v>5</v>
      </c>
      <c r="B903" s="24" t="n">
        <v>46143</v>
      </c>
      <c r="C903" s="3" t="s">
        <v>684</v>
      </c>
      <c r="D903" s="3" t="s">
        <v>258</v>
      </c>
      <c r="E903" s="3" t="s">
        <v>128</v>
      </c>
      <c r="F903" s="15" t="n">
        <v>298.64</v>
      </c>
      <c r="G903" s="15" t="n">
        <v>0</v>
      </c>
      <c r="H903" s="15" t="n">
        <v>298.64</v>
      </c>
      <c r="I903" s="7" t="n">
        <v>1</v>
      </c>
      <c r="J903" s="7" t="s">
        <v>1778</v>
      </c>
    </row>
    <row r="904" customFormat="false" ht="15" hidden="false" customHeight="false" outlineLevel="0" collapsed="false">
      <c r="A904" s="3" t="n">
        <v>5</v>
      </c>
      <c r="B904" s="24" t="n">
        <v>46143</v>
      </c>
      <c r="C904" s="3" t="s">
        <v>684</v>
      </c>
      <c r="D904" s="3" t="s">
        <v>258</v>
      </c>
      <c r="E904" s="3" t="s">
        <v>146</v>
      </c>
      <c r="F904" s="15" t="n">
        <v>586.28</v>
      </c>
      <c r="G904" s="15" t="n">
        <v>0</v>
      </c>
      <c r="H904" s="15" t="n">
        <v>586.28</v>
      </c>
      <c r="I904" s="7" t="n">
        <v>2</v>
      </c>
      <c r="J904" s="7" t="s">
        <v>1779</v>
      </c>
    </row>
    <row r="905" customFormat="false" ht="15" hidden="false" customHeight="false" outlineLevel="0" collapsed="false">
      <c r="A905" s="3" t="n">
        <v>5</v>
      </c>
      <c r="B905" s="24" t="n">
        <v>46143</v>
      </c>
      <c r="C905" s="3" t="s">
        <v>685</v>
      </c>
      <c r="D905" s="3" t="s">
        <v>255</v>
      </c>
      <c r="E905" s="3" t="s">
        <v>112</v>
      </c>
      <c r="F905" s="15" t="n">
        <v>1759</v>
      </c>
      <c r="G905" s="15" t="n">
        <v>0</v>
      </c>
      <c r="H905" s="15" t="n">
        <v>1759</v>
      </c>
      <c r="I905" s="7" t="n">
        <v>1</v>
      </c>
      <c r="J905" s="7" t="s">
        <v>1780</v>
      </c>
    </row>
    <row r="906" customFormat="false" ht="15" hidden="false" customHeight="false" outlineLevel="0" collapsed="false">
      <c r="A906" s="3" t="n">
        <v>5</v>
      </c>
      <c r="B906" s="24" t="n">
        <v>46143</v>
      </c>
      <c r="C906" s="3" t="s">
        <v>686</v>
      </c>
      <c r="D906" s="3" t="s">
        <v>252</v>
      </c>
      <c r="E906" s="3" t="s">
        <v>112</v>
      </c>
      <c r="F906" s="15" t="n">
        <v>810.5</v>
      </c>
      <c r="G906" s="15" t="n">
        <v>0</v>
      </c>
      <c r="H906" s="15" t="n">
        <v>810.5</v>
      </c>
      <c r="I906" s="7" t="n">
        <v>1</v>
      </c>
      <c r="J906" s="7" t="s">
        <v>1781</v>
      </c>
    </row>
    <row r="907" customFormat="false" ht="15" hidden="false" customHeight="false" outlineLevel="0" collapsed="false">
      <c r="A907" s="3" t="n">
        <v>5</v>
      </c>
      <c r="B907" s="24" t="n">
        <v>46143</v>
      </c>
      <c r="C907" s="3" t="s">
        <v>687</v>
      </c>
      <c r="D907" s="3" t="s">
        <v>252</v>
      </c>
      <c r="E907" s="3" t="s">
        <v>166</v>
      </c>
      <c r="F907" s="15" t="n">
        <v>970.5</v>
      </c>
      <c r="G907" s="15" t="n">
        <v>0</v>
      </c>
      <c r="H907" s="15" t="n">
        <v>970.5</v>
      </c>
      <c r="I907" s="7" t="n">
        <v>1</v>
      </c>
      <c r="J907" s="7" t="s">
        <v>1782</v>
      </c>
    </row>
    <row r="908" customFormat="false" ht="15" hidden="false" customHeight="false" outlineLevel="0" collapsed="false">
      <c r="A908" s="3" t="n">
        <v>5</v>
      </c>
      <c r="B908" s="24" t="n">
        <v>46143</v>
      </c>
      <c r="C908" s="3" t="s">
        <v>688</v>
      </c>
      <c r="D908" s="3" t="s">
        <v>249</v>
      </c>
      <c r="E908" s="3" t="s">
        <v>112</v>
      </c>
      <c r="F908" s="15" t="n">
        <v>375.87</v>
      </c>
      <c r="G908" s="15" t="n">
        <v>0</v>
      </c>
      <c r="H908" s="15" t="n">
        <v>375.87</v>
      </c>
      <c r="I908" s="7" t="n">
        <v>1</v>
      </c>
      <c r="J908" s="7" t="s">
        <v>1783</v>
      </c>
    </row>
    <row r="909" customFormat="false" ht="15" hidden="false" customHeight="false" outlineLevel="0" collapsed="false">
      <c r="A909" s="3" t="n">
        <v>5</v>
      </c>
      <c r="B909" s="24" t="n">
        <v>46143</v>
      </c>
      <c r="C909" s="3" t="s">
        <v>689</v>
      </c>
      <c r="D909" s="3" t="s">
        <v>246</v>
      </c>
      <c r="E909" s="3" t="s">
        <v>112</v>
      </c>
      <c r="F909" s="15" t="n">
        <v>830.5</v>
      </c>
      <c r="G909" s="15" t="n">
        <v>0</v>
      </c>
      <c r="H909" s="15" t="n">
        <v>830.5</v>
      </c>
      <c r="I909" s="7" t="n">
        <v>1</v>
      </c>
      <c r="J909" s="7" t="s">
        <v>1784</v>
      </c>
    </row>
    <row r="910" customFormat="false" ht="15" hidden="false" customHeight="false" outlineLevel="0" collapsed="false">
      <c r="A910" s="3" t="n">
        <v>5</v>
      </c>
      <c r="B910" s="24" t="n">
        <v>46143</v>
      </c>
      <c r="C910" s="3" t="s">
        <v>690</v>
      </c>
      <c r="D910" s="3" t="s">
        <v>246</v>
      </c>
      <c r="E910" s="3" t="s">
        <v>171</v>
      </c>
      <c r="F910" s="15" t="n">
        <v>41.33</v>
      </c>
      <c r="G910" s="15" t="n">
        <v>0</v>
      </c>
      <c r="H910" s="15" t="n">
        <v>41.33</v>
      </c>
      <c r="I910" s="7" t="n">
        <v>1</v>
      </c>
      <c r="J910" s="7" t="s">
        <v>1785</v>
      </c>
    </row>
    <row r="911" customFormat="false" ht="15" hidden="false" customHeight="false" outlineLevel="0" collapsed="false">
      <c r="A911" s="3" t="n">
        <v>5</v>
      </c>
      <c r="B911" s="24" t="n">
        <v>46143</v>
      </c>
      <c r="C911" s="3" t="s">
        <v>691</v>
      </c>
      <c r="D911" s="3" t="s">
        <v>243</v>
      </c>
      <c r="E911" s="3" t="s">
        <v>161</v>
      </c>
      <c r="F911" s="15" t="n">
        <v>1225.89</v>
      </c>
      <c r="G911" s="15" t="n">
        <v>0</v>
      </c>
      <c r="H911" s="15" t="n">
        <v>1225.89</v>
      </c>
      <c r="I911" s="7" t="n">
        <v>1</v>
      </c>
      <c r="J911" s="7" t="s">
        <v>1786</v>
      </c>
    </row>
    <row r="912" customFormat="false" ht="15" hidden="false" customHeight="false" outlineLevel="0" collapsed="false">
      <c r="A912" s="3" t="n">
        <v>5</v>
      </c>
      <c r="B912" s="24" t="n">
        <v>46143</v>
      </c>
      <c r="C912" s="3" t="s">
        <v>692</v>
      </c>
      <c r="D912" s="3" t="s">
        <v>243</v>
      </c>
      <c r="E912" s="3" t="s">
        <v>112</v>
      </c>
      <c r="F912" s="15" t="n">
        <v>2228.01</v>
      </c>
      <c r="G912" s="15" t="n">
        <v>0</v>
      </c>
      <c r="H912" s="15" t="n">
        <v>2228.01</v>
      </c>
      <c r="I912" s="7" t="n">
        <v>1</v>
      </c>
      <c r="J912" s="7" t="s">
        <v>1787</v>
      </c>
    </row>
    <row r="913" customFormat="false" ht="15" hidden="false" customHeight="false" outlineLevel="0" collapsed="false">
      <c r="A913" s="3" t="n">
        <v>5</v>
      </c>
      <c r="B913" s="24" t="n">
        <v>46143</v>
      </c>
      <c r="C913" s="3" t="s">
        <v>693</v>
      </c>
      <c r="D913" s="3" t="s">
        <v>224</v>
      </c>
      <c r="E913" s="3" t="s">
        <v>128</v>
      </c>
      <c r="F913" s="15" t="n">
        <v>1152.08</v>
      </c>
      <c r="G913" s="15" t="n">
        <v>0</v>
      </c>
      <c r="H913" s="15" t="n">
        <v>1152.08</v>
      </c>
      <c r="I913" s="7" t="n">
        <v>1</v>
      </c>
      <c r="J913" s="7" t="s">
        <v>1788</v>
      </c>
    </row>
    <row r="914" customFormat="false" ht="15" hidden="false" customHeight="false" outlineLevel="0" collapsed="false">
      <c r="A914" s="3" t="n">
        <v>5</v>
      </c>
      <c r="B914" s="24" t="n">
        <v>46143</v>
      </c>
      <c r="C914" s="3" t="s">
        <v>694</v>
      </c>
      <c r="D914" s="3" t="s">
        <v>222</v>
      </c>
      <c r="E914" s="3" t="s">
        <v>124</v>
      </c>
      <c r="F914" s="15" t="n">
        <v>552.62</v>
      </c>
      <c r="G914" s="15" t="n">
        <v>0</v>
      </c>
      <c r="H914" s="15" t="n">
        <v>552.62</v>
      </c>
      <c r="I914" s="7" t="n">
        <v>1</v>
      </c>
      <c r="J914" s="7" t="s">
        <v>1789</v>
      </c>
    </row>
    <row r="915" customFormat="false" ht="15" hidden="false" customHeight="false" outlineLevel="0" collapsed="false">
      <c r="A915" s="3" t="n">
        <v>5</v>
      </c>
      <c r="B915" s="24" t="n">
        <v>46143</v>
      </c>
      <c r="C915" s="3" t="s">
        <v>694</v>
      </c>
      <c r="D915" s="3" t="s">
        <v>222</v>
      </c>
      <c r="E915" s="3" t="s">
        <v>115</v>
      </c>
      <c r="F915" s="15" t="n">
        <v>1287.78</v>
      </c>
      <c r="G915" s="15" t="n">
        <v>0</v>
      </c>
      <c r="H915" s="15" t="n">
        <v>1287.78</v>
      </c>
      <c r="I915" s="7" t="n">
        <v>2</v>
      </c>
      <c r="J915" s="7" t="s">
        <v>1790</v>
      </c>
    </row>
    <row r="916" customFormat="false" ht="15" hidden="false" customHeight="false" outlineLevel="0" collapsed="false">
      <c r="A916" s="3" t="n">
        <v>5</v>
      </c>
      <c r="B916" s="24" t="n">
        <v>46143</v>
      </c>
      <c r="C916" s="3" t="s">
        <v>694</v>
      </c>
      <c r="D916" s="3" t="s">
        <v>222</v>
      </c>
      <c r="E916" s="3" t="s">
        <v>117</v>
      </c>
      <c r="F916" s="15" t="n">
        <v>536.22</v>
      </c>
      <c r="G916" s="15" t="n">
        <v>0</v>
      </c>
      <c r="H916" s="15" t="n">
        <v>536.22</v>
      </c>
      <c r="I916" s="7" t="n">
        <v>3</v>
      </c>
      <c r="J916" s="7" t="s">
        <v>1791</v>
      </c>
    </row>
    <row r="917" customFormat="false" ht="15" hidden="false" customHeight="false" outlineLevel="0" collapsed="false">
      <c r="A917" s="3" t="n">
        <v>5</v>
      </c>
      <c r="B917" s="24" t="n">
        <v>46143</v>
      </c>
      <c r="C917" s="3" t="s">
        <v>694</v>
      </c>
      <c r="D917" s="3" t="s">
        <v>222</v>
      </c>
      <c r="E917" s="3" t="s">
        <v>108</v>
      </c>
      <c r="F917" s="15" t="n">
        <v>2392.53</v>
      </c>
      <c r="G917" s="15" t="n">
        <v>0</v>
      </c>
      <c r="H917" s="15" t="n">
        <v>2392.53</v>
      </c>
      <c r="I917" s="7" t="n">
        <v>4</v>
      </c>
      <c r="J917" s="7" t="s">
        <v>1792</v>
      </c>
    </row>
    <row r="918" customFormat="false" ht="15" hidden="false" customHeight="false" outlineLevel="0" collapsed="false">
      <c r="A918" s="3" t="n">
        <v>5</v>
      </c>
      <c r="B918" s="24" t="n">
        <v>46143</v>
      </c>
      <c r="C918" s="3" t="s">
        <v>694</v>
      </c>
      <c r="D918" s="3" t="s">
        <v>222</v>
      </c>
      <c r="E918" s="3" t="s">
        <v>110</v>
      </c>
      <c r="F918" s="15" t="n">
        <v>269.96</v>
      </c>
      <c r="G918" s="15" t="n">
        <v>0</v>
      </c>
      <c r="H918" s="15" t="n">
        <v>269.96</v>
      </c>
      <c r="I918" s="7" t="n">
        <v>5</v>
      </c>
      <c r="J918" s="7" t="s">
        <v>1793</v>
      </c>
    </row>
    <row r="919" customFormat="false" ht="15" hidden="false" customHeight="false" outlineLevel="0" collapsed="false">
      <c r="A919" s="3" t="n">
        <v>5</v>
      </c>
      <c r="B919" s="24" t="n">
        <v>46143</v>
      </c>
      <c r="C919" s="3" t="s">
        <v>695</v>
      </c>
      <c r="D919" s="3" t="s">
        <v>224</v>
      </c>
      <c r="E919" s="3" t="s">
        <v>152</v>
      </c>
      <c r="F919" s="15" t="n">
        <v>870.5</v>
      </c>
      <c r="G919" s="15" t="n">
        <v>0</v>
      </c>
      <c r="H919" s="15" t="n">
        <v>870.5</v>
      </c>
      <c r="I919" s="7" t="n">
        <v>1</v>
      </c>
      <c r="J919" s="7" t="s">
        <v>1794</v>
      </c>
    </row>
    <row r="920" customFormat="false" ht="15" hidden="false" customHeight="false" outlineLevel="0" collapsed="false">
      <c r="A920" s="3" t="n">
        <v>5</v>
      </c>
      <c r="B920" s="24" t="n">
        <v>46143</v>
      </c>
      <c r="C920" s="3" t="s">
        <v>696</v>
      </c>
      <c r="D920" s="3" t="s">
        <v>224</v>
      </c>
      <c r="E920" s="3" t="s">
        <v>143</v>
      </c>
      <c r="F920" s="15" t="n">
        <v>3746</v>
      </c>
      <c r="G920" s="15" t="n">
        <v>0</v>
      </c>
      <c r="H920" s="15" t="n">
        <v>3746</v>
      </c>
      <c r="I920" s="7" t="n">
        <v>1</v>
      </c>
      <c r="J920" s="7" t="s">
        <v>1795</v>
      </c>
    </row>
    <row r="921" customFormat="false" ht="15" hidden="false" customHeight="false" outlineLevel="0" collapsed="false">
      <c r="A921" s="3" t="n">
        <v>5</v>
      </c>
      <c r="B921" s="24" t="n">
        <v>46143</v>
      </c>
      <c r="C921" s="3" t="s">
        <v>697</v>
      </c>
      <c r="D921" s="3" t="s">
        <v>214</v>
      </c>
      <c r="E921" s="3" t="s">
        <v>165</v>
      </c>
      <c r="F921" s="15" t="n">
        <v>1008.5</v>
      </c>
      <c r="G921" s="15" t="n">
        <v>0</v>
      </c>
      <c r="H921" s="15" t="n">
        <v>1008.5</v>
      </c>
      <c r="I921" s="7" t="n">
        <v>1</v>
      </c>
      <c r="J921" s="7" t="s">
        <v>1796</v>
      </c>
    </row>
    <row r="922" customFormat="false" ht="15" hidden="false" customHeight="false" outlineLevel="0" collapsed="false">
      <c r="A922" s="3" t="n">
        <v>5</v>
      </c>
      <c r="B922" s="24" t="n">
        <v>46143</v>
      </c>
      <c r="C922" s="3" t="s">
        <v>698</v>
      </c>
      <c r="D922" s="3" t="s">
        <v>214</v>
      </c>
      <c r="E922" s="3" t="s">
        <v>112</v>
      </c>
      <c r="F922" s="15" t="n">
        <v>8305.83</v>
      </c>
      <c r="G922" s="15" t="n">
        <v>0</v>
      </c>
      <c r="H922" s="15" t="n">
        <v>8305.83</v>
      </c>
      <c r="I922" s="7" t="n">
        <v>1</v>
      </c>
      <c r="J922" s="7" t="s">
        <v>1797</v>
      </c>
    </row>
    <row r="923" customFormat="false" ht="15" hidden="false" customHeight="false" outlineLevel="0" collapsed="false">
      <c r="A923" s="3" t="n">
        <v>5</v>
      </c>
      <c r="B923" s="24" t="n">
        <v>46143</v>
      </c>
      <c r="C923" s="3" t="s">
        <v>699</v>
      </c>
      <c r="D923" s="3" t="s">
        <v>217</v>
      </c>
      <c r="E923" s="3" t="s">
        <v>112</v>
      </c>
      <c r="F923" s="15" t="n">
        <v>6912.1</v>
      </c>
      <c r="G923" s="15" t="n">
        <v>0</v>
      </c>
      <c r="H923" s="15" t="n">
        <v>6912.1</v>
      </c>
      <c r="I923" s="7" t="n">
        <v>1</v>
      </c>
      <c r="J923" s="7" t="s">
        <v>1798</v>
      </c>
    </row>
    <row r="924" customFormat="false" ht="15" hidden="false" customHeight="false" outlineLevel="0" collapsed="false">
      <c r="A924" s="3" t="n">
        <v>5</v>
      </c>
      <c r="B924" s="24" t="n">
        <v>46143</v>
      </c>
      <c r="C924" s="3" t="s">
        <v>700</v>
      </c>
      <c r="D924" s="3" t="s">
        <v>217</v>
      </c>
      <c r="E924" s="3" t="s">
        <v>159</v>
      </c>
      <c r="F924" s="15" t="n">
        <v>1232.7</v>
      </c>
      <c r="G924" s="15" t="n">
        <v>0</v>
      </c>
      <c r="H924" s="15" t="n">
        <v>1232.7</v>
      </c>
      <c r="I924" s="7" t="n">
        <v>1</v>
      </c>
      <c r="J924" s="7" t="s">
        <v>1799</v>
      </c>
    </row>
    <row r="925" customFormat="false" ht="15" hidden="false" customHeight="false" outlineLevel="0" collapsed="false">
      <c r="A925" s="3" t="n">
        <v>5</v>
      </c>
      <c r="B925" s="24" t="n">
        <v>46143</v>
      </c>
      <c r="C925" s="3" t="s">
        <v>701</v>
      </c>
      <c r="D925" s="3" t="s">
        <v>217</v>
      </c>
      <c r="E925" s="3" t="s">
        <v>189</v>
      </c>
      <c r="F925" s="15" t="n">
        <v>39</v>
      </c>
      <c r="G925" s="15" t="n">
        <v>0</v>
      </c>
      <c r="H925" s="15" t="n">
        <v>39</v>
      </c>
      <c r="I925" s="7" t="n">
        <v>1</v>
      </c>
      <c r="J925" s="7" t="s">
        <v>1800</v>
      </c>
    </row>
    <row r="926" customFormat="false" ht="15" hidden="false" customHeight="false" outlineLevel="0" collapsed="false">
      <c r="A926" s="3" t="n">
        <v>5</v>
      </c>
      <c r="B926" s="24" t="n">
        <v>46143</v>
      </c>
      <c r="C926" s="3" t="s">
        <v>701</v>
      </c>
      <c r="D926" s="3" t="s">
        <v>217</v>
      </c>
      <c r="E926" s="3" t="s">
        <v>109</v>
      </c>
      <c r="F926" s="15" t="n">
        <v>1066.9</v>
      </c>
      <c r="G926" s="15" t="n">
        <v>0</v>
      </c>
      <c r="H926" s="15" t="n">
        <v>1066.9</v>
      </c>
      <c r="I926" s="7" t="n">
        <v>2</v>
      </c>
      <c r="J926" s="7" t="s">
        <v>1801</v>
      </c>
    </row>
    <row r="927" customFormat="false" ht="15" hidden="false" customHeight="false" outlineLevel="0" collapsed="false">
      <c r="A927" s="3" t="n">
        <v>5</v>
      </c>
      <c r="B927" s="24" t="n">
        <v>46143</v>
      </c>
      <c r="C927" s="3" t="s">
        <v>701</v>
      </c>
      <c r="D927" s="3" t="s">
        <v>217</v>
      </c>
      <c r="E927" s="3" t="s">
        <v>145</v>
      </c>
      <c r="F927" s="15" t="n">
        <v>1382.9</v>
      </c>
      <c r="G927" s="15" t="n">
        <v>0</v>
      </c>
      <c r="H927" s="15" t="n">
        <v>1382.9</v>
      </c>
      <c r="I927" s="7" t="n">
        <v>3</v>
      </c>
      <c r="J927" s="7" t="s">
        <v>1802</v>
      </c>
    </row>
    <row r="928" customFormat="false" ht="15" hidden="false" customHeight="false" outlineLevel="0" collapsed="false">
      <c r="A928" s="3" t="n">
        <v>5</v>
      </c>
      <c r="B928" s="24" t="n">
        <v>46143</v>
      </c>
      <c r="C928" s="3" t="s">
        <v>701</v>
      </c>
      <c r="D928" s="3" t="s">
        <v>217</v>
      </c>
      <c r="E928" s="3" t="s">
        <v>159</v>
      </c>
      <c r="F928" s="15" t="n">
        <v>1382.9</v>
      </c>
      <c r="G928" s="15" t="n">
        <v>0</v>
      </c>
      <c r="H928" s="15" t="n">
        <v>1382.9</v>
      </c>
      <c r="I928" s="7" t="n">
        <v>4</v>
      </c>
      <c r="J928" s="7" t="s">
        <v>1803</v>
      </c>
    </row>
    <row r="929" customFormat="false" ht="15" hidden="false" customHeight="false" outlineLevel="0" collapsed="false">
      <c r="A929" s="3" t="n">
        <v>5</v>
      </c>
      <c r="B929" s="24" t="n">
        <v>46143</v>
      </c>
      <c r="C929" s="3" t="s">
        <v>702</v>
      </c>
      <c r="D929" s="3" t="s">
        <v>217</v>
      </c>
      <c r="E929" s="3" t="s">
        <v>109</v>
      </c>
      <c r="F929" s="15" t="n">
        <v>10880.89</v>
      </c>
      <c r="G929" s="15" t="n">
        <v>0</v>
      </c>
      <c r="H929" s="15" t="n">
        <v>10880.89</v>
      </c>
      <c r="I929" s="7" t="n">
        <v>1</v>
      </c>
      <c r="J929" s="7" t="s">
        <v>1804</v>
      </c>
    </row>
    <row r="930" customFormat="false" ht="15" hidden="false" customHeight="false" outlineLevel="0" collapsed="false">
      <c r="A930" s="3" t="n">
        <v>5</v>
      </c>
      <c r="B930" s="24" t="n">
        <v>46143</v>
      </c>
      <c r="C930" s="3" t="s">
        <v>703</v>
      </c>
      <c r="D930" s="3" t="s">
        <v>226</v>
      </c>
      <c r="E930" s="3" t="s">
        <v>109</v>
      </c>
      <c r="F930" s="15" t="n">
        <v>12413.05</v>
      </c>
      <c r="G930" s="15" t="n">
        <v>7.92</v>
      </c>
      <c r="H930" s="15" t="n">
        <v>12420.97</v>
      </c>
      <c r="I930" s="7" t="n">
        <v>1</v>
      </c>
      <c r="J930" s="7" t="s">
        <v>1805</v>
      </c>
    </row>
    <row r="931" customFormat="false" ht="15" hidden="false" customHeight="false" outlineLevel="0" collapsed="false">
      <c r="A931" s="3" t="n">
        <v>5</v>
      </c>
      <c r="B931" s="24" t="n">
        <v>46143</v>
      </c>
      <c r="C931" s="3" t="s">
        <v>703</v>
      </c>
      <c r="D931" s="3" t="s">
        <v>226</v>
      </c>
      <c r="E931" s="3" t="s">
        <v>138</v>
      </c>
      <c r="F931" s="15" t="n">
        <v>801</v>
      </c>
      <c r="G931" s="15" t="n">
        <v>0</v>
      </c>
      <c r="H931" s="15" t="n">
        <v>801</v>
      </c>
      <c r="I931" s="7" t="n">
        <v>2</v>
      </c>
      <c r="J931" s="7" t="s">
        <v>1806</v>
      </c>
    </row>
    <row r="932" customFormat="false" ht="15" hidden="false" customHeight="false" outlineLevel="0" collapsed="false">
      <c r="A932" s="3" t="n">
        <v>5</v>
      </c>
      <c r="B932" s="24" t="n">
        <v>46143</v>
      </c>
      <c r="C932" s="3" t="s">
        <v>703</v>
      </c>
      <c r="D932" s="3" t="s">
        <v>226</v>
      </c>
      <c r="E932" s="3" t="s">
        <v>163</v>
      </c>
      <c r="F932" s="15" t="n">
        <v>801</v>
      </c>
      <c r="G932" s="15" t="n">
        <v>0</v>
      </c>
      <c r="H932" s="15" t="n">
        <v>801</v>
      </c>
      <c r="I932" s="7" t="n">
        <v>3</v>
      </c>
      <c r="J932" s="7" t="s">
        <v>1807</v>
      </c>
    </row>
    <row r="933" customFormat="false" ht="15" hidden="false" customHeight="false" outlineLevel="0" collapsed="false">
      <c r="A933" s="3" t="n">
        <v>5</v>
      </c>
      <c r="B933" s="24" t="n">
        <v>46143</v>
      </c>
      <c r="C933" s="3" t="s">
        <v>704</v>
      </c>
      <c r="D933" s="3" t="s">
        <v>226</v>
      </c>
      <c r="E933" s="3" t="s">
        <v>149</v>
      </c>
      <c r="F933" s="15" t="n">
        <v>23</v>
      </c>
      <c r="G933" s="15" t="n">
        <v>0</v>
      </c>
      <c r="H933" s="15" t="n">
        <v>23</v>
      </c>
      <c r="I933" s="7" t="n">
        <v>1</v>
      </c>
      <c r="J933" s="7" t="s">
        <v>1808</v>
      </c>
    </row>
    <row r="934" customFormat="false" ht="15" hidden="false" customHeight="false" outlineLevel="0" collapsed="false">
      <c r="A934" s="3" t="n">
        <v>5</v>
      </c>
      <c r="B934" s="24" t="n">
        <v>46143</v>
      </c>
      <c r="C934" s="3" t="s">
        <v>704</v>
      </c>
      <c r="D934" s="3" t="s">
        <v>226</v>
      </c>
      <c r="E934" s="3" t="s">
        <v>109</v>
      </c>
      <c r="F934" s="15" t="n">
        <v>13078.12</v>
      </c>
      <c r="G934" s="15" t="n">
        <v>0</v>
      </c>
      <c r="H934" s="15" t="n">
        <v>13078.12</v>
      </c>
      <c r="I934" s="7" t="n">
        <v>2</v>
      </c>
      <c r="J934" s="7" t="s">
        <v>1809</v>
      </c>
    </row>
    <row r="935" customFormat="false" ht="15" hidden="false" customHeight="false" outlineLevel="0" collapsed="false">
      <c r="A935" s="3" t="n">
        <v>5</v>
      </c>
      <c r="B935" s="24" t="n">
        <v>46143</v>
      </c>
      <c r="C935" s="3" t="s">
        <v>704</v>
      </c>
      <c r="D935" s="3" t="s">
        <v>226</v>
      </c>
      <c r="E935" s="3" t="s">
        <v>138</v>
      </c>
      <c r="F935" s="15" t="n">
        <v>538.68</v>
      </c>
      <c r="G935" s="15" t="n">
        <v>0</v>
      </c>
      <c r="H935" s="15" t="n">
        <v>538.68</v>
      </c>
      <c r="I935" s="7" t="n">
        <v>3</v>
      </c>
      <c r="J935" s="7" t="s">
        <v>1810</v>
      </c>
    </row>
    <row r="936" customFormat="false" ht="15" hidden="false" customHeight="false" outlineLevel="0" collapsed="false">
      <c r="A936" s="3" t="n">
        <v>5</v>
      </c>
      <c r="B936" s="24" t="n">
        <v>46143</v>
      </c>
      <c r="C936" s="3" t="s">
        <v>705</v>
      </c>
      <c r="D936" s="3" t="s">
        <v>219</v>
      </c>
      <c r="E936" s="3" t="s">
        <v>130</v>
      </c>
      <c r="F936" s="15" t="n">
        <v>5293.2</v>
      </c>
      <c r="G936" s="15" t="n">
        <v>0</v>
      </c>
      <c r="H936" s="15" t="n">
        <v>5293.2</v>
      </c>
      <c r="I936" s="7" t="n">
        <v>1</v>
      </c>
      <c r="J936" s="7" t="s">
        <v>1811</v>
      </c>
    </row>
    <row r="937" customFormat="false" ht="15" hidden="false" customHeight="false" outlineLevel="0" collapsed="false">
      <c r="A937" s="3" t="n">
        <v>5</v>
      </c>
      <c r="B937" s="24" t="n">
        <v>46143</v>
      </c>
      <c r="C937" s="3" t="s">
        <v>706</v>
      </c>
      <c r="D937" s="3" t="s">
        <v>219</v>
      </c>
      <c r="E937" s="3" t="s">
        <v>112</v>
      </c>
      <c r="F937" s="15" t="n">
        <v>1258.5</v>
      </c>
      <c r="G937" s="15" t="n">
        <v>0</v>
      </c>
      <c r="H937" s="15" t="n">
        <v>1258.5</v>
      </c>
      <c r="I937" s="7" t="n">
        <v>1</v>
      </c>
      <c r="J937" s="7" t="s">
        <v>1812</v>
      </c>
    </row>
    <row r="938" customFormat="false" ht="15" hidden="false" customHeight="false" outlineLevel="0" collapsed="false">
      <c r="A938" s="3" t="n">
        <v>5</v>
      </c>
      <c r="B938" s="24" t="n">
        <v>46143</v>
      </c>
      <c r="C938" s="3" t="s">
        <v>707</v>
      </c>
      <c r="D938" s="3" t="s">
        <v>219</v>
      </c>
      <c r="E938" s="3" t="s">
        <v>109</v>
      </c>
      <c r="F938" s="15" t="n">
        <v>26933.43</v>
      </c>
      <c r="G938" s="15" t="n">
        <v>0</v>
      </c>
      <c r="H938" s="15" t="n">
        <v>26933.43</v>
      </c>
      <c r="I938" s="7" t="n">
        <v>1</v>
      </c>
      <c r="J938" s="7" t="s">
        <v>1813</v>
      </c>
    </row>
    <row r="939" customFormat="false" ht="15" hidden="false" customHeight="false" outlineLevel="0" collapsed="false">
      <c r="A939" s="3" t="n">
        <v>5</v>
      </c>
      <c r="B939" s="24" t="n">
        <v>46143</v>
      </c>
      <c r="C939" s="3" t="s">
        <v>707</v>
      </c>
      <c r="D939" s="3" t="s">
        <v>219</v>
      </c>
      <c r="E939" s="3" t="s">
        <v>130</v>
      </c>
      <c r="F939" s="15" t="n">
        <v>1430.33</v>
      </c>
      <c r="G939" s="15" t="n">
        <v>0</v>
      </c>
      <c r="H939" s="15" t="n">
        <v>1430.33</v>
      </c>
      <c r="I939" s="7" t="n">
        <v>2</v>
      </c>
      <c r="J939" s="7" t="s">
        <v>1814</v>
      </c>
    </row>
    <row r="940" customFormat="false" ht="15" hidden="false" customHeight="false" outlineLevel="0" collapsed="false">
      <c r="A940" s="3" t="n">
        <v>5</v>
      </c>
      <c r="B940" s="24" t="n">
        <v>46143</v>
      </c>
      <c r="C940" s="3" t="s">
        <v>708</v>
      </c>
      <c r="D940" s="3" t="s">
        <v>226</v>
      </c>
      <c r="E940" s="3" t="s">
        <v>112</v>
      </c>
      <c r="F940" s="15" t="n">
        <v>4877.05</v>
      </c>
      <c r="G940" s="15" t="n">
        <v>0</v>
      </c>
      <c r="H940" s="15" t="n">
        <v>4877.05</v>
      </c>
      <c r="I940" s="7" t="n">
        <v>1</v>
      </c>
      <c r="J940" s="7" t="s">
        <v>1815</v>
      </c>
    </row>
    <row r="941" customFormat="false" ht="15" hidden="false" customHeight="false" outlineLevel="0" collapsed="false">
      <c r="A941" s="3" t="n">
        <v>5</v>
      </c>
      <c r="B941" s="24" t="n">
        <v>46143</v>
      </c>
      <c r="C941" s="3" t="s">
        <v>709</v>
      </c>
      <c r="D941" s="3" t="s">
        <v>226</v>
      </c>
      <c r="E941" s="3" t="s">
        <v>186</v>
      </c>
      <c r="F941" s="15" t="n">
        <v>156.6</v>
      </c>
      <c r="G941" s="15" t="n">
        <v>0</v>
      </c>
      <c r="H941" s="15" t="n">
        <v>156.6</v>
      </c>
      <c r="I941" s="7" t="n">
        <v>1</v>
      </c>
      <c r="J941" s="7" t="s">
        <v>1816</v>
      </c>
    </row>
    <row r="942" customFormat="false" ht="15" hidden="false" customHeight="false" outlineLevel="0" collapsed="false">
      <c r="A942" s="3" t="n">
        <v>5</v>
      </c>
      <c r="B942" s="24" t="n">
        <v>46143</v>
      </c>
      <c r="C942" s="3" t="s">
        <v>710</v>
      </c>
      <c r="D942" s="3" t="s">
        <v>228</v>
      </c>
      <c r="E942" s="3" t="s">
        <v>149</v>
      </c>
      <c r="F942" s="15" t="n">
        <v>1212.15</v>
      </c>
      <c r="G942" s="15" t="n">
        <v>0</v>
      </c>
      <c r="H942" s="15" t="n">
        <v>1212.15</v>
      </c>
      <c r="I942" s="7" t="n">
        <v>1</v>
      </c>
      <c r="J942" s="7" t="s">
        <v>1817</v>
      </c>
    </row>
    <row r="943" customFormat="false" ht="15" hidden="false" customHeight="false" outlineLevel="0" collapsed="false">
      <c r="A943" s="3" t="n">
        <v>5</v>
      </c>
      <c r="B943" s="24" t="n">
        <v>46143</v>
      </c>
      <c r="C943" s="3" t="s">
        <v>711</v>
      </c>
      <c r="D943" s="3" t="s">
        <v>228</v>
      </c>
      <c r="E943" s="3" t="s">
        <v>109</v>
      </c>
      <c r="F943" s="15" t="n">
        <v>7622.35</v>
      </c>
      <c r="G943" s="15" t="n">
        <v>0</v>
      </c>
      <c r="H943" s="15" t="n">
        <v>7622.35</v>
      </c>
      <c r="I943" s="7" t="n">
        <v>1</v>
      </c>
      <c r="J943" s="7" t="s">
        <v>1818</v>
      </c>
    </row>
    <row r="944" customFormat="false" ht="15" hidden="false" customHeight="false" outlineLevel="0" collapsed="false">
      <c r="A944" s="3" t="n">
        <v>5</v>
      </c>
      <c r="B944" s="24" t="n">
        <v>46143</v>
      </c>
      <c r="C944" s="3" t="s">
        <v>712</v>
      </c>
      <c r="D944" s="3" t="s">
        <v>228</v>
      </c>
      <c r="E944" s="3" t="s">
        <v>122</v>
      </c>
      <c r="F944" s="15" t="n">
        <v>13316.21</v>
      </c>
      <c r="G944" s="15" t="n">
        <v>0</v>
      </c>
      <c r="H944" s="15" t="n">
        <v>13316.21</v>
      </c>
      <c r="I944" s="7" t="n">
        <v>1</v>
      </c>
      <c r="J944" s="7" t="s">
        <v>1819</v>
      </c>
    </row>
    <row r="945" customFormat="false" ht="15" hidden="false" customHeight="false" outlineLevel="0" collapsed="false">
      <c r="A945" s="3" t="n">
        <v>5</v>
      </c>
      <c r="B945" s="24" t="n">
        <v>46143</v>
      </c>
      <c r="C945" s="3" t="s">
        <v>713</v>
      </c>
      <c r="D945" s="3" t="s">
        <v>228</v>
      </c>
      <c r="E945" s="3" t="s">
        <v>112</v>
      </c>
      <c r="F945" s="15" t="n">
        <v>1810.7</v>
      </c>
      <c r="G945" s="15" t="n">
        <v>0</v>
      </c>
      <c r="H945" s="15" t="n">
        <v>1810.7</v>
      </c>
      <c r="I945" s="7" t="n">
        <v>1</v>
      </c>
      <c r="J945" s="7" t="s">
        <v>1820</v>
      </c>
    </row>
    <row r="946" customFormat="false" ht="15" hidden="false" customHeight="false" outlineLevel="0" collapsed="false">
      <c r="A946" s="3" t="n">
        <v>5</v>
      </c>
      <c r="B946" s="24" t="n">
        <v>46143</v>
      </c>
      <c r="C946" s="3" t="s">
        <v>714</v>
      </c>
      <c r="D946" s="3" t="s">
        <v>231</v>
      </c>
      <c r="E946" s="3" t="s">
        <v>134</v>
      </c>
      <c r="F946" s="15" t="n">
        <v>4423.52</v>
      </c>
      <c r="G946" s="15" t="n">
        <v>0</v>
      </c>
      <c r="H946" s="15" t="n">
        <v>4423.52</v>
      </c>
      <c r="I946" s="7" t="n">
        <v>1</v>
      </c>
      <c r="J946" s="7" t="s">
        <v>1821</v>
      </c>
    </row>
    <row r="947" customFormat="false" ht="15" hidden="false" customHeight="false" outlineLevel="0" collapsed="false">
      <c r="A947" s="3" t="n">
        <v>5</v>
      </c>
      <c r="B947" s="24" t="n">
        <v>46143</v>
      </c>
      <c r="C947" s="3" t="s">
        <v>715</v>
      </c>
      <c r="D947" s="3" t="s">
        <v>231</v>
      </c>
      <c r="E947" s="3" t="s">
        <v>112</v>
      </c>
      <c r="F947" s="15" t="n">
        <v>4891.24</v>
      </c>
      <c r="G947" s="15" t="n">
        <v>0</v>
      </c>
      <c r="H947" s="15" t="n">
        <v>4891.24</v>
      </c>
      <c r="I947" s="7" t="n">
        <v>1</v>
      </c>
      <c r="J947" s="7" t="s">
        <v>1822</v>
      </c>
    </row>
    <row r="948" customFormat="false" ht="15" hidden="false" customHeight="false" outlineLevel="0" collapsed="false">
      <c r="A948" s="3" t="n">
        <v>5</v>
      </c>
      <c r="B948" s="24" t="n">
        <v>46143</v>
      </c>
      <c r="C948" s="3" t="s">
        <v>716</v>
      </c>
      <c r="D948" s="3" t="s">
        <v>234</v>
      </c>
      <c r="E948" s="3" t="s">
        <v>141</v>
      </c>
      <c r="F948" s="15" t="n">
        <v>1010.5</v>
      </c>
      <c r="G948" s="15" t="n">
        <v>0</v>
      </c>
      <c r="H948" s="15" t="n">
        <v>1010.5</v>
      </c>
      <c r="I948" s="7" t="n">
        <v>1</v>
      </c>
      <c r="J948" s="7" t="s">
        <v>1823</v>
      </c>
    </row>
    <row r="949" customFormat="false" ht="15" hidden="false" customHeight="false" outlineLevel="0" collapsed="false">
      <c r="A949" s="3" t="n">
        <v>5</v>
      </c>
      <c r="B949" s="24" t="n">
        <v>46143</v>
      </c>
      <c r="C949" s="3" t="s">
        <v>717</v>
      </c>
      <c r="D949" s="3" t="s">
        <v>234</v>
      </c>
      <c r="E949" s="3" t="s">
        <v>112</v>
      </c>
      <c r="F949" s="15" t="n">
        <v>2491.5</v>
      </c>
      <c r="G949" s="15" t="n">
        <v>0</v>
      </c>
      <c r="H949" s="15" t="n">
        <v>2491.5</v>
      </c>
      <c r="I949" s="7" t="n">
        <v>1</v>
      </c>
      <c r="J949" s="7" t="s">
        <v>1824</v>
      </c>
    </row>
    <row r="950" customFormat="false" ht="15" hidden="false" customHeight="false" outlineLevel="0" collapsed="false">
      <c r="A950" s="3" t="n">
        <v>5</v>
      </c>
      <c r="B950" s="24" t="n">
        <v>46143</v>
      </c>
      <c r="C950" s="3" t="s">
        <v>718</v>
      </c>
      <c r="D950" s="3" t="s">
        <v>237</v>
      </c>
      <c r="E950" s="3" t="s">
        <v>130</v>
      </c>
      <c r="F950" s="15" t="n">
        <v>3646.6</v>
      </c>
      <c r="G950" s="15" t="n">
        <v>0</v>
      </c>
      <c r="H950" s="15" t="n">
        <v>3646.6</v>
      </c>
      <c r="I950" s="7" t="n">
        <v>1</v>
      </c>
      <c r="J950" s="7" t="s">
        <v>1825</v>
      </c>
    </row>
    <row r="951" customFormat="false" ht="15" hidden="false" customHeight="false" outlineLevel="0" collapsed="false">
      <c r="A951" s="3" t="n">
        <v>5</v>
      </c>
      <c r="B951" s="24" t="n">
        <v>46143</v>
      </c>
      <c r="C951" s="3" t="s">
        <v>719</v>
      </c>
      <c r="D951" s="3" t="s">
        <v>237</v>
      </c>
      <c r="E951" s="3" t="s">
        <v>155</v>
      </c>
      <c r="F951" s="15" t="n">
        <v>388.17</v>
      </c>
      <c r="G951" s="15" t="n">
        <v>0</v>
      </c>
      <c r="H951" s="15" t="n">
        <v>388.17</v>
      </c>
      <c r="I951" s="7" t="n">
        <v>1</v>
      </c>
      <c r="J951" s="7" t="s">
        <v>1826</v>
      </c>
    </row>
    <row r="952" customFormat="false" ht="15" hidden="false" customHeight="false" outlineLevel="0" collapsed="false">
      <c r="A952" s="3" t="n">
        <v>5</v>
      </c>
      <c r="B952" s="24" t="n">
        <v>46143</v>
      </c>
      <c r="C952" s="3" t="s">
        <v>720</v>
      </c>
      <c r="D952" s="3" t="s">
        <v>237</v>
      </c>
      <c r="E952" s="3" t="s">
        <v>112</v>
      </c>
      <c r="F952" s="15" t="n">
        <v>2125.07</v>
      </c>
      <c r="G952" s="15" t="n">
        <v>0</v>
      </c>
      <c r="H952" s="15" t="n">
        <v>2125.07</v>
      </c>
      <c r="I952" s="7" t="n">
        <v>1</v>
      </c>
      <c r="J952" s="7" t="s">
        <v>1827</v>
      </c>
    </row>
    <row r="953" customFormat="false" ht="15" hidden="false" customHeight="false" outlineLevel="0" collapsed="false">
      <c r="A953" s="3" t="n">
        <v>5</v>
      </c>
      <c r="B953" s="24" t="n">
        <v>46143</v>
      </c>
      <c r="C953" s="3" t="s">
        <v>721</v>
      </c>
      <c r="D953" s="3" t="s">
        <v>237</v>
      </c>
      <c r="E953" s="3" t="s">
        <v>109</v>
      </c>
      <c r="F953" s="15" t="n">
        <v>37133.42</v>
      </c>
      <c r="G953" s="15" t="n">
        <v>0</v>
      </c>
      <c r="H953" s="15" t="n">
        <v>37133.42</v>
      </c>
      <c r="I953" s="7" t="n">
        <v>1</v>
      </c>
      <c r="J953" s="7" t="s">
        <v>1828</v>
      </c>
    </row>
    <row r="954" customFormat="false" ht="15" hidden="false" customHeight="false" outlineLevel="0" collapsed="false">
      <c r="A954" s="3" t="n">
        <v>5</v>
      </c>
      <c r="B954" s="24" t="n">
        <v>46143</v>
      </c>
      <c r="C954" s="3" t="s">
        <v>721</v>
      </c>
      <c r="D954" s="3" t="s">
        <v>237</v>
      </c>
      <c r="E954" s="3" t="s">
        <v>133</v>
      </c>
      <c r="F954" s="15" t="n">
        <v>4556.75</v>
      </c>
      <c r="G954" s="15" t="n">
        <v>0</v>
      </c>
      <c r="H954" s="15" t="n">
        <v>4556.75</v>
      </c>
      <c r="I954" s="7" t="n">
        <v>2</v>
      </c>
      <c r="J954" s="7" t="s">
        <v>1829</v>
      </c>
    </row>
    <row r="955" customFormat="false" ht="15" hidden="false" customHeight="false" outlineLevel="0" collapsed="false">
      <c r="A955" s="3" t="n">
        <v>5</v>
      </c>
      <c r="B955" s="24" t="n">
        <v>46143</v>
      </c>
      <c r="C955" s="3" t="s">
        <v>722</v>
      </c>
      <c r="D955" s="3" t="s">
        <v>269</v>
      </c>
      <c r="E955" s="3" t="s">
        <v>109</v>
      </c>
      <c r="F955" s="15" t="n">
        <v>10641.58</v>
      </c>
      <c r="G955" s="15" t="n">
        <v>0</v>
      </c>
      <c r="H955" s="15" t="n">
        <v>10641.58</v>
      </c>
      <c r="I955" s="7" t="n">
        <v>1</v>
      </c>
      <c r="J955" s="7" t="s">
        <v>1830</v>
      </c>
    </row>
    <row r="956" customFormat="false" ht="15" hidden="false" customHeight="false" outlineLevel="0" collapsed="false">
      <c r="A956" s="3" t="n">
        <v>5</v>
      </c>
      <c r="B956" s="24" t="n">
        <v>46143</v>
      </c>
      <c r="C956" s="3" t="s">
        <v>723</v>
      </c>
      <c r="D956" s="3" t="s">
        <v>269</v>
      </c>
      <c r="E956" s="3" t="s">
        <v>136</v>
      </c>
      <c r="F956" s="15" t="n">
        <v>2757.91</v>
      </c>
      <c r="G956" s="15" t="n">
        <v>0</v>
      </c>
      <c r="H956" s="15" t="n">
        <v>2757.91</v>
      </c>
      <c r="I956" s="7" t="n">
        <v>1</v>
      </c>
      <c r="J956" s="7" t="s">
        <v>1831</v>
      </c>
    </row>
    <row r="957" customFormat="false" ht="15" hidden="false" customHeight="false" outlineLevel="0" collapsed="false">
      <c r="A957" s="3" t="n">
        <v>5</v>
      </c>
      <c r="B957" s="24" t="n">
        <v>46143</v>
      </c>
      <c r="C957" s="3" t="s">
        <v>724</v>
      </c>
      <c r="D957" s="3" t="s">
        <v>269</v>
      </c>
      <c r="E957" s="3" t="s">
        <v>174</v>
      </c>
      <c r="F957" s="15" t="n">
        <v>265.98</v>
      </c>
      <c r="G957" s="15" t="n">
        <v>0</v>
      </c>
      <c r="H957" s="15" t="n">
        <v>265.98</v>
      </c>
      <c r="I957" s="7" t="n">
        <v>1</v>
      </c>
      <c r="J957" s="7" t="s">
        <v>1832</v>
      </c>
    </row>
    <row r="958" customFormat="false" ht="15" hidden="false" customHeight="false" outlineLevel="0" collapsed="false">
      <c r="A958" s="3" t="n">
        <v>5</v>
      </c>
      <c r="B958" s="24" t="n">
        <v>46143</v>
      </c>
      <c r="C958" s="3" t="s">
        <v>725</v>
      </c>
      <c r="D958" s="3" t="s">
        <v>269</v>
      </c>
      <c r="E958" s="3" t="s">
        <v>169</v>
      </c>
      <c r="F958" s="15" t="n">
        <v>848.5</v>
      </c>
      <c r="G958" s="15" t="n">
        <v>0</v>
      </c>
      <c r="H958" s="15" t="n">
        <v>848.5</v>
      </c>
      <c r="I958" s="7" t="n">
        <v>1</v>
      </c>
      <c r="J958" s="7" t="s">
        <v>1833</v>
      </c>
    </row>
    <row r="959" customFormat="false" ht="15" hidden="false" customHeight="false" outlineLevel="0" collapsed="false">
      <c r="A959" s="3" t="n">
        <v>5</v>
      </c>
      <c r="B959" s="24" t="n">
        <v>46143</v>
      </c>
      <c r="C959" s="3" t="s">
        <v>726</v>
      </c>
      <c r="D959" s="3" t="s">
        <v>269</v>
      </c>
      <c r="E959" s="3" t="s">
        <v>157</v>
      </c>
      <c r="F959" s="15" t="n">
        <v>1541</v>
      </c>
      <c r="G959" s="15" t="n">
        <v>0</v>
      </c>
      <c r="H959" s="15" t="n">
        <v>1541</v>
      </c>
      <c r="I959" s="7" t="n">
        <v>1</v>
      </c>
      <c r="J959" s="7" t="s">
        <v>1834</v>
      </c>
    </row>
    <row r="960" customFormat="false" ht="15" hidden="false" customHeight="false" outlineLevel="0" collapsed="false">
      <c r="A960" s="3" t="n">
        <v>5</v>
      </c>
      <c r="B960" s="24" t="n">
        <v>46143</v>
      </c>
      <c r="C960" s="3" t="s">
        <v>727</v>
      </c>
      <c r="D960" s="3" t="s">
        <v>212</v>
      </c>
      <c r="E960" s="3" t="s">
        <v>109</v>
      </c>
      <c r="F960" s="15" t="n">
        <v>6543.14</v>
      </c>
      <c r="G960" s="15" t="n">
        <v>0</v>
      </c>
      <c r="H960" s="15" t="n">
        <v>6543.14</v>
      </c>
      <c r="I960" s="7" t="n">
        <v>1</v>
      </c>
      <c r="J960" s="7" t="s">
        <v>1835</v>
      </c>
    </row>
    <row r="961" customFormat="false" ht="15" hidden="false" customHeight="false" outlineLevel="0" collapsed="false">
      <c r="A961" s="3" t="n">
        <v>5</v>
      </c>
      <c r="B961" s="24" t="n">
        <v>46143</v>
      </c>
      <c r="C961" s="3" t="s">
        <v>727</v>
      </c>
      <c r="D961" s="3" t="s">
        <v>212</v>
      </c>
      <c r="E961" s="3" t="s">
        <v>148</v>
      </c>
      <c r="F961" s="15" t="n">
        <v>804.9</v>
      </c>
      <c r="G961" s="15" t="n">
        <v>0</v>
      </c>
      <c r="H961" s="15" t="n">
        <v>804.9</v>
      </c>
      <c r="I961" s="7" t="n">
        <v>2</v>
      </c>
      <c r="J961" s="7" t="s">
        <v>1836</v>
      </c>
    </row>
    <row r="962" customFormat="false" ht="15" hidden="false" customHeight="false" outlineLevel="0" collapsed="false">
      <c r="A962" s="3" t="n">
        <v>5</v>
      </c>
      <c r="B962" s="24" t="n">
        <v>46143</v>
      </c>
      <c r="C962" s="3" t="s">
        <v>727</v>
      </c>
      <c r="D962" s="3" t="s">
        <v>212</v>
      </c>
      <c r="E962" s="3" t="s">
        <v>144</v>
      </c>
      <c r="F962" s="15" t="n">
        <v>804.9</v>
      </c>
      <c r="G962" s="15" t="n">
        <v>0</v>
      </c>
      <c r="H962" s="15" t="n">
        <v>804.9</v>
      </c>
      <c r="I962" s="7" t="n">
        <v>3</v>
      </c>
      <c r="J962" s="7" t="s">
        <v>1837</v>
      </c>
    </row>
    <row r="963" customFormat="false" ht="15" hidden="false" customHeight="false" outlineLevel="0" collapsed="false">
      <c r="A963" s="3" t="n">
        <v>5</v>
      </c>
      <c r="B963" s="24" t="n">
        <v>46143</v>
      </c>
      <c r="C963" s="3" t="s">
        <v>727</v>
      </c>
      <c r="D963" s="3" t="s">
        <v>212</v>
      </c>
      <c r="E963" s="3" t="s">
        <v>147</v>
      </c>
      <c r="F963" s="15" t="n">
        <v>652.9</v>
      </c>
      <c r="G963" s="15" t="n">
        <v>0</v>
      </c>
      <c r="H963" s="15" t="n">
        <v>652.9</v>
      </c>
      <c r="I963" s="7" t="n">
        <v>4</v>
      </c>
      <c r="J963" s="7" t="s">
        <v>1838</v>
      </c>
    </row>
    <row r="964" customFormat="false" ht="15" hidden="false" customHeight="false" outlineLevel="0" collapsed="false">
      <c r="A964" s="3" t="n">
        <v>5</v>
      </c>
      <c r="B964" s="24" t="n">
        <v>46143</v>
      </c>
      <c r="C964" s="3" t="s">
        <v>727</v>
      </c>
      <c r="D964" s="3" t="s">
        <v>212</v>
      </c>
      <c r="E964" s="3" t="s">
        <v>135</v>
      </c>
      <c r="F964" s="15" t="n">
        <v>804.9</v>
      </c>
      <c r="G964" s="15" t="n">
        <v>0</v>
      </c>
      <c r="H964" s="15" t="n">
        <v>804.9</v>
      </c>
      <c r="I964" s="7" t="n">
        <v>5</v>
      </c>
      <c r="J964" s="7" t="s">
        <v>1839</v>
      </c>
    </row>
    <row r="965" customFormat="false" ht="15" hidden="false" customHeight="false" outlineLevel="0" collapsed="false">
      <c r="A965" s="3" t="n">
        <v>5</v>
      </c>
      <c r="B965" s="24" t="n">
        <v>46143</v>
      </c>
      <c r="C965" s="3" t="s">
        <v>727</v>
      </c>
      <c r="D965" s="3" t="s">
        <v>212</v>
      </c>
      <c r="E965" s="3" t="s">
        <v>173</v>
      </c>
      <c r="F965" s="15" t="n">
        <v>911.9</v>
      </c>
      <c r="G965" s="15" t="n">
        <v>0</v>
      </c>
      <c r="H965" s="15" t="n">
        <v>911.9</v>
      </c>
      <c r="I965" s="7" t="n">
        <v>6</v>
      </c>
      <c r="J965" s="7" t="s">
        <v>1840</v>
      </c>
    </row>
    <row r="966" customFormat="false" ht="15" hidden="false" customHeight="false" outlineLevel="0" collapsed="false">
      <c r="A966" s="3" t="n">
        <v>5</v>
      </c>
      <c r="B966" s="24" t="n">
        <v>46143</v>
      </c>
      <c r="C966" s="3" t="s">
        <v>727</v>
      </c>
      <c r="D966" s="3" t="s">
        <v>212</v>
      </c>
      <c r="E966" s="3" t="s">
        <v>119</v>
      </c>
      <c r="F966" s="15" t="n">
        <v>29805.8</v>
      </c>
      <c r="G966" s="15" t="n">
        <v>0</v>
      </c>
      <c r="H966" s="15" t="n">
        <v>29805.8</v>
      </c>
      <c r="I966" s="7" t="n">
        <v>7</v>
      </c>
      <c r="J966" s="7" t="s">
        <v>1841</v>
      </c>
    </row>
    <row r="967" customFormat="false" ht="15" hidden="false" customHeight="false" outlineLevel="0" collapsed="false">
      <c r="A967" s="3" t="n">
        <v>5</v>
      </c>
      <c r="B967" s="24" t="n">
        <v>46143</v>
      </c>
      <c r="C967" s="3" t="s">
        <v>727</v>
      </c>
      <c r="D967" s="3" t="s">
        <v>212</v>
      </c>
      <c r="E967" s="3" t="s">
        <v>142</v>
      </c>
      <c r="F967" s="15" t="n">
        <v>2429</v>
      </c>
      <c r="G967" s="15" t="n">
        <v>0</v>
      </c>
      <c r="H967" s="15" t="n">
        <v>2429</v>
      </c>
      <c r="I967" s="7" t="n">
        <v>8</v>
      </c>
      <c r="J967" s="7" t="s">
        <v>1842</v>
      </c>
    </row>
    <row r="968" customFormat="false" ht="15" hidden="false" customHeight="false" outlineLevel="0" collapsed="false">
      <c r="A968" s="3" t="n">
        <v>5</v>
      </c>
      <c r="B968" s="24" t="n">
        <v>46143</v>
      </c>
      <c r="C968" s="3" t="s">
        <v>727</v>
      </c>
      <c r="D968" s="3" t="s">
        <v>212</v>
      </c>
      <c r="E968" s="3" t="s">
        <v>156</v>
      </c>
      <c r="F968" s="15" t="n">
        <v>1201.5</v>
      </c>
      <c r="G968" s="15" t="n">
        <v>0</v>
      </c>
      <c r="H968" s="15" t="n">
        <v>1201.5</v>
      </c>
      <c r="I968" s="7" t="n">
        <v>9</v>
      </c>
      <c r="J968" s="7" t="s">
        <v>1843</v>
      </c>
    </row>
    <row r="969" customFormat="false" ht="15" hidden="false" customHeight="false" outlineLevel="0" collapsed="false">
      <c r="A969" s="3" t="n">
        <v>5</v>
      </c>
      <c r="B969" s="24" t="n">
        <v>46143</v>
      </c>
      <c r="C969" s="3" t="s">
        <v>727</v>
      </c>
      <c r="D969" s="3" t="s">
        <v>212</v>
      </c>
      <c r="E969" s="3" t="s">
        <v>177</v>
      </c>
      <c r="F969" s="15" t="n">
        <v>400.5</v>
      </c>
      <c r="G969" s="15" t="n">
        <v>0</v>
      </c>
      <c r="H969" s="15" t="n">
        <v>400.5</v>
      </c>
      <c r="I969" s="7" t="n">
        <v>10</v>
      </c>
      <c r="J969" s="7" t="s">
        <v>1844</v>
      </c>
    </row>
    <row r="970" customFormat="false" ht="15" hidden="false" customHeight="false" outlineLevel="0" collapsed="false">
      <c r="A970" s="3" t="n">
        <v>6</v>
      </c>
      <c r="B970" s="24" t="n">
        <v>46174</v>
      </c>
      <c r="C970" s="3" t="s">
        <v>728</v>
      </c>
      <c r="D970" s="3" t="s">
        <v>212</v>
      </c>
      <c r="E970" s="3" t="s">
        <v>109</v>
      </c>
      <c r="F970" s="15" t="n">
        <v>50925.18</v>
      </c>
      <c r="G970" s="15" t="n">
        <v>15370.86</v>
      </c>
      <c r="H970" s="15" t="n">
        <v>66296.04</v>
      </c>
      <c r="I970" s="7" t="n">
        <v>1</v>
      </c>
      <c r="J970" s="7" t="s">
        <v>1845</v>
      </c>
    </row>
    <row r="971" customFormat="false" ht="15" hidden="false" customHeight="false" outlineLevel="0" collapsed="false">
      <c r="A971" s="3" t="n">
        <v>6</v>
      </c>
      <c r="B971" s="24" t="n">
        <v>46174</v>
      </c>
      <c r="C971" s="3" t="s">
        <v>728</v>
      </c>
      <c r="D971" s="3" t="s">
        <v>212</v>
      </c>
      <c r="E971" s="3" t="s">
        <v>148</v>
      </c>
      <c r="F971" s="15" t="n">
        <v>12949.74</v>
      </c>
      <c r="G971" s="15" t="n">
        <v>3906.92</v>
      </c>
      <c r="H971" s="15" t="n">
        <v>16856.66</v>
      </c>
      <c r="I971" s="7" t="n">
        <v>2</v>
      </c>
      <c r="J971" s="7" t="s">
        <v>1846</v>
      </c>
    </row>
    <row r="972" customFormat="false" ht="15" hidden="false" customHeight="false" outlineLevel="0" collapsed="false">
      <c r="A972" s="3" t="n">
        <v>6</v>
      </c>
      <c r="B972" s="24" t="n">
        <v>46174</v>
      </c>
      <c r="C972" s="3" t="s">
        <v>728</v>
      </c>
      <c r="D972" s="3" t="s">
        <v>212</v>
      </c>
      <c r="E972" s="3" t="s">
        <v>144</v>
      </c>
      <c r="F972" s="15" t="n">
        <v>6625.47</v>
      </c>
      <c r="G972" s="15" t="n">
        <v>1998.91</v>
      </c>
      <c r="H972" s="15" t="n">
        <v>8624.38</v>
      </c>
      <c r="I972" s="7" t="n">
        <v>3</v>
      </c>
      <c r="J972" s="7" t="s">
        <v>1847</v>
      </c>
    </row>
    <row r="973" customFormat="false" ht="15" hidden="false" customHeight="false" outlineLevel="0" collapsed="false">
      <c r="A973" s="3" t="n">
        <v>6</v>
      </c>
      <c r="B973" s="24" t="n">
        <v>46174</v>
      </c>
      <c r="C973" s="3" t="s">
        <v>728</v>
      </c>
      <c r="D973" s="3" t="s">
        <v>212</v>
      </c>
      <c r="E973" s="3" t="s">
        <v>147</v>
      </c>
      <c r="F973" s="15" t="n">
        <v>8705.99</v>
      </c>
      <c r="G973" s="15" t="n">
        <v>2620.44</v>
      </c>
      <c r="H973" s="15" t="n">
        <v>11326.43</v>
      </c>
      <c r="I973" s="7" t="n">
        <v>4</v>
      </c>
      <c r="J973" s="7" t="s">
        <v>1848</v>
      </c>
    </row>
    <row r="974" customFormat="false" ht="15" hidden="false" customHeight="false" outlineLevel="0" collapsed="false">
      <c r="A974" s="3" t="n">
        <v>6</v>
      </c>
      <c r="B974" s="24" t="n">
        <v>46174</v>
      </c>
      <c r="C974" s="3" t="s">
        <v>728</v>
      </c>
      <c r="D974" s="3" t="s">
        <v>212</v>
      </c>
      <c r="E974" s="3" t="s">
        <v>135</v>
      </c>
      <c r="F974" s="15" t="n">
        <v>17715.15</v>
      </c>
      <c r="G974" s="15" t="n">
        <v>5324.2</v>
      </c>
      <c r="H974" s="15" t="n">
        <v>23039.35</v>
      </c>
      <c r="I974" s="7" t="n">
        <v>5</v>
      </c>
      <c r="J974" s="7" t="s">
        <v>1849</v>
      </c>
    </row>
    <row r="975" customFormat="false" ht="15" hidden="false" customHeight="false" outlineLevel="0" collapsed="false">
      <c r="A975" s="3" t="n">
        <v>6</v>
      </c>
      <c r="B975" s="24" t="n">
        <v>46174</v>
      </c>
      <c r="C975" s="3" t="s">
        <v>728</v>
      </c>
      <c r="D975" s="3" t="s">
        <v>212</v>
      </c>
      <c r="E975" s="3" t="s">
        <v>173</v>
      </c>
      <c r="F975" s="15" t="n">
        <v>15206.99</v>
      </c>
      <c r="G975" s="15" t="n">
        <v>4582.6</v>
      </c>
      <c r="H975" s="15" t="n">
        <v>19789.59</v>
      </c>
      <c r="I975" s="7" t="n">
        <v>6</v>
      </c>
      <c r="J975" s="7" t="s">
        <v>1850</v>
      </c>
    </row>
    <row r="976" customFormat="false" ht="15" hidden="false" customHeight="false" outlineLevel="0" collapsed="false">
      <c r="A976" s="3" t="n">
        <v>6</v>
      </c>
      <c r="B976" s="24" t="n">
        <v>46174</v>
      </c>
      <c r="C976" s="3" t="s">
        <v>728</v>
      </c>
      <c r="D976" s="3" t="s">
        <v>212</v>
      </c>
      <c r="E976" s="3" t="s">
        <v>119</v>
      </c>
      <c r="F976" s="15" t="n">
        <v>72047.97</v>
      </c>
      <c r="G976" s="15" t="n">
        <v>22155.08</v>
      </c>
      <c r="H976" s="15" t="n">
        <v>94203.05</v>
      </c>
      <c r="I976" s="7" t="n">
        <v>7</v>
      </c>
      <c r="J976" s="7" t="s">
        <v>1851</v>
      </c>
    </row>
    <row r="977" customFormat="false" ht="15" hidden="false" customHeight="false" outlineLevel="0" collapsed="false">
      <c r="A977" s="3" t="n">
        <v>6</v>
      </c>
      <c r="B977" s="24" t="n">
        <v>46174</v>
      </c>
      <c r="C977" s="3" t="s">
        <v>728</v>
      </c>
      <c r="D977" s="3" t="s">
        <v>212</v>
      </c>
      <c r="E977" s="3" t="s">
        <v>142</v>
      </c>
      <c r="F977" s="15" t="n">
        <v>9332.91</v>
      </c>
      <c r="G977" s="15" t="n">
        <v>2872.32</v>
      </c>
      <c r="H977" s="15" t="n">
        <v>12205.23</v>
      </c>
      <c r="I977" s="7" t="n">
        <v>8</v>
      </c>
      <c r="J977" s="7" t="s">
        <v>1852</v>
      </c>
    </row>
    <row r="978" customFormat="false" ht="15" hidden="false" customHeight="false" outlineLevel="0" collapsed="false">
      <c r="A978" s="3" t="n">
        <v>6</v>
      </c>
      <c r="B978" s="24" t="n">
        <v>46174</v>
      </c>
      <c r="C978" s="3" t="s">
        <v>728</v>
      </c>
      <c r="D978" s="3" t="s">
        <v>212</v>
      </c>
      <c r="E978" s="3" t="s">
        <v>156</v>
      </c>
      <c r="F978" s="15" t="n">
        <v>23157.21</v>
      </c>
      <c r="G978" s="15" t="n">
        <v>6997.97</v>
      </c>
      <c r="H978" s="15" t="n">
        <v>30155.18</v>
      </c>
      <c r="I978" s="7" t="n">
        <v>9</v>
      </c>
      <c r="J978" s="7" t="s">
        <v>1853</v>
      </c>
    </row>
    <row r="979" customFormat="false" ht="15" hidden="false" customHeight="false" outlineLevel="0" collapsed="false">
      <c r="A979" s="3" t="n">
        <v>6</v>
      </c>
      <c r="B979" s="24" t="n">
        <v>46174</v>
      </c>
      <c r="C979" s="3" t="s">
        <v>728</v>
      </c>
      <c r="D979" s="3" t="s">
        <v>212</v>
      </c>
      <c r="E979" s="3" t="s">
        <v>177</v>
      </c>
      <c r="F979" s="15" t="n">
        <v>8934.3</v>
      </c>
      <c r="G979" s="15" t="n">
        <v>2697.04</v>
      </c>
      <c r="H979" s="15" t="n">
        <v>11631.34</v>
      </c>
      <c r="I979" s="7" t="n">
        <v>10</v>
      </c>
      <c r="J979" s="7" t="s">
        <v>1854</v>
      </c>
    </row>
    <row r="980" customFormat="false" ht="15" hidden="false" customHeight="false" outlineLevel="0" collapsed="false">
      <c r="A980" s="3" t="n">
        <v>6</v>
      </c>
      <c r="B980" s="24" t="n">
        <v>46174</v>
      </c>
      <c r="C980" s="3" t="s">
        <v>729</v>
      </c>
      <c r="D980" s="3" t="s">
        <v>214</v>
      </c>
      <c r="E980" s="3" t="s">
        <v>165</v>
      </c>
      <c r="F980" s="15" t="n">
        <v>2544.27</v>
      </c>
      <c r="G980" s="15" t="n">
        <v>907.95</v>
      </c>
      <c r="H980" s="15" t="n">
        <v>3452.22</v>
      </c>
      <c r="I980" s="7" t="n">
        <v>1</v>
      </c>
      <c r="J980" s="7" t="s">
        <v>1855</v>
      </c>
    </row>
    <row r="981" customFormat="false" ht="15" hidden="false" customHeight="false" outlineLevel="0" collapsed="false">
      <c r="A981" s="3" t="n">
        <v>6</v>
      </c>
      <c r="B981" s="24" t="n">
        <v>46174</v>
      </c>
      <c r="C981" s="3" t="s">
        <v>730</v>
      </c>
      <c r="D981" s="3" t="s">
        <v>214</v>
      </c>
      <c r="E981" s="3" t="s">
        <v>112</v>
      </c>
      <c r="F981" s="15" t="n">
        <v>19641.48</v>
      </c>
      <c r="G981" s="15" t="n">
        <v>7018.27</v>
      </c>
      <c r="H981" s="15" t="n">
        <v>26659.75</v>
      </c>
      <c r="I981" s="7" t="n">
        <v>1</v>
      </c>
      <c r="J981" s="7" t="s">
        <v>1856</v>
      </c>
    </row>
    <row r="982" customFormat="false" ht="15" hidden="false" customHeight="false" outlineLevel="0" collapsed="false">
      <c r="A982" s="3" t="n">
        <v>6</v>
      </c>
      <c r="B982" s="24" t="n">
        <v>46174</v>
      </c>
      <c r="C982" s="3" t="s">
        <v>731</v>
      </c>
      <c r="D982" s="3" t="s">
        <v>732</v>
      </c>
      <c r="E982" s="3" t="s">
        <v>145</v>
      </c>
      <c r="F982" s="15" t="n">
        <v>2474.66</v>
      </c>
      <c r="G982" s="15" t="n">
        <v>886.76</v>
      </c>
      <c r="H982" s="15" t="n">
        <v>3361.42</v>
      </c>
      <c r="I982" s="7" t="n">
        <v>1</v>
      </c>
      <c r="J982" s="7" t="s">
        <v>1857</v>
      </c>
    </row>
    <row r="983" customFormat="false" ht="15" hidden="false" customHeight="false" outlineLevel="0" collapsed="false">
      <c r="A983" s="3" t="n">
        <v>6</v>
      </c>
      <c r="B983" s="24" t="n">
        <v>46174</v>
      </c>
      <c r="C983" s="3" t="s">
        <v>733</v>
      </c>
      <c r="D983" s="3" t="s">
        <v>217</v>
      </c>
      <c r="E983" s="3" t="s">
        <v>112</v>
      </c>
      <c r="F983" s="15" t="n">
        <v>12762.15</v>
      </c>
      <c r="G983" s="15" t="n">
        <v>4616.66</v>
      </c>
      <c r="H983" s="15" t="n">
        <v>17378.81</v>
      </c>
      <c r="I983" s="7" t="n">
        <v>1</v>
      </c>
      <c r="J983" s="7" t="s">
        <v>1858</v>
      </c>
    </row>
    <row r="984" customFormat="false" ht="15" hidden="false" customHeight="false" outlineLevel="0" collapsed="false">
      <c r="A984" s="3" t="n">
        <v>6</v>
      </c>
      <c r="B984" s="24" t="n">
        <v>46174</v>
      </c>
      <c r="C984" s="3" t="s">
        <v>734</v>
      </c>
      <c r="D984" s="3" t="s">
        <v>217</v>
      </c>
      <c r="E984" s="3" t="s">
        <v>159</v>
      </c>
      <c r="F984" s="15" t="n">
        <v>4949.32</v>
      </c>
      <c r="G984" s="15" t="n">
        <v>1773.52</v>
      </c>
      <c r="H984" s="15" t="n">
        <v>6722.84</v>
      </c>
      <c r="I984" s="7" t="n">
        <v>1</v>
      </c>
      <c r="J984" s="7" t="s">
        <v>1859</v>
      </c>
    </row>
    <row r="985" customFormat="false" ht="15" hidden="false" customHeight="false" outlineLevel="0" collapsed="false">
      <c r="A985" s="3" t="n">
        <v>6</v>
      </c>
      <c r="B985" s="24" t="n">
        <v>46174</v>
      </c>
      <c r="C985" s="3" t="s">
        <v>735</v>
      </c>
      <c r="D985" s="3" t="s">
        <v>217</v>
      </c>
      <c r="E985" s="3" t="s">
        <v>109</v>
      </c>
      <c r="F985" s="15" t="n">
        <v>46621.9</v>
      </c>
      <c r="G985" s="15" t="n">
        <v>16269.38</v>
      </c>
      <c r="H985" s="15" t="n">
        <v>62891.28</v>
      </c>
      <c r="I985" s="7" t="n">
        <v>1</v>
      </c>
      <c r="J985" s="7" t="s">
        <v>1860</v>
      </c>
    </row>
    <row r="986" customFormat="false" ht="15" hidden="false" customHeight="false" outlineLevel="0" collapsed="false">
      <c r="A986" s="3" t="n">
        <v>6</v>
      </c>
      <c r="B986" s="24" t="n">
        <v>46174</v>
      </c>
      <c r="C986" s="3" t="s">
        <v>736</v>
      </c>
      <c r="D986" s="3" t="s">
        <v>219</v>
      </c>
      <c r="E986" s="3" t="s">
        <v>112</v>
      </c>
      <c r="F986" s="15" t="n">
        <v>2352.64</v>
      </c>
      <c r="G986" s="15" t="n">
        <v>840.76</v>
      </c>
      <c r="H986" s="15" t="n">
        <v>3193.4</v>
      </c>
      <c r="I986" s="7" t="n">
        <v>1</v>
      </c>
      <c r="J986" s="7" t="s">
        <v>1861</v>
      </c>
    </row>
    <row r="987" customFormat="false" ht="15" hidden="false" customHeight="false" outlineLevel="0" collapsed="false">
      <c r="A987" s="3" t="n">
        <v>6</v>
      </c>
      <c r="B987" s="24" t="n">
        <v>46174</v>
      </c>
      <c r="C987" s="3" t="s">
        <v>737</v>
      </c>
      <c r="D987" s="3" t="s">
        <v>219</v>
      </c>
      <c r="E987" s="3" t="s">
        <v>130</v>
      </c>
      <c r="F987" s="15" t="n">
        <v>22339.5</v>
      </c>
      <c r="G987" s="15" t="n">
        <v>7763.94</v>
      </c>
      <c r="H987" s="15" t="n">
        <v>30103.44</v>
      </c>
      <c r="I987" s="7" t="n">
        <v>1</v>
      </c>
      <c r="J987" s="7" t="s">
        <v>1862</v>
      </c>
    </row>
    <row r="988" customFormat="false" ht="15" hidden="false" customHeight="false" outlineLevel="0" collapsed="false">
      <c r="A988" s="3" t="n">
        <v>6</v>
      </c>
      <c r="B988" s="24" t="n">
        <v>46174</v>
      </c>
      <c r="C988" s="3" t="s">
        <v>738</v>
      </c>
      <c r="D988" s="3" t="s">
        <v>739</v>
      </c>
      <c r="E988" s="3" t="s">
        <v>109</v>
      </c>
      <c r="F988" s="15" t="n">
        <v>5181.11</v>
      </c>
      <c r="G988" s="15" t="n">
        <v>1806.4</v>
      </c>
      <c r="H988" s="15" t="n">
        <v>6987.51</v>
      </c>
      <c r="I988" s="7" t="n">
        <v>1</v>
      </c>
      <c r="J988" s="7" t="s">
        <v>1863</v>
      </c>
    </row>
    <row r="989" customFormat="false" ht="15" hidden="false" customHeight="false" outlineLevel="0" collapsed="false">
      <c r="A989" s="3" t="n">
        <v>6</v>
      </c>
      <c r="B989" s="24" t="n">
        <v>46174</v>
      </c>
      <c r="C989" s="3" t="s">
        <v>738</v>
      </c>
      <c r="D989" s="3" t="s">
        <v>219</v>
      </c>
      <c r="E989" s="3" t="s">
        <v>109</v>
      </c>
      <c r="F989" s="15" t="n">
        <v>31086.66</v>
      </c>
      <c r="G989" s="15" t="n">
        <v>10838.4</v>
      </c>
      <c r="H989" s="15" t="n">
        <v>41925.06</v>
      </c>
      <c r="I989" s="7" t="n">
        <v>2</v>
      </c>
      <c r="J989" s="7" t="s">
        <v>1864</v>
      </c>
    </row>
    <row r="990" customFormat="false" ht="15" hidden="false" customHeight="false" outlineLevel="0" collapsed="false">
      <c r="A990" s="3" t="n">
        <v>6</v>
      </c>
      <c r="B990" s="24" t="n">
        <v>46174</v>
      </c>
      <c r="C990" s="3" t="s">
        <v>740</v>
      </c>
      <c r="D990" s="3" t="s">
        <v>228</v>
      </c>
      <c r="E990" s="3" t="s">
        <v>112</v>
      </c>
      <c r="F990" s="15" t="n">
        <v>4759.48</v>
      </c>
      <c r="G990" s="15" t="n">
        <v>1699.42</v>
      </c>
      <c r="H990" s="15" t="n">
        <v>6458.9</v>
      </c>
      <c r="I990" s="7" t="n">
        <v>1</v>
      </c>
      <c r="J990" s="7" t="s">
        <v>1865</v>
      </c>
    </row>
    <row r="991" customFormat="false" ht="15" hidden="false" customHeight="false" outlineLevel="0" collapsed="false">
      <c r="A991" s="3" t="n">
        <v>6</v>
      </c>
      <c r="B991" s="24" t="n">
        <v>46174</v>
      </c>
      <c r="C991" s="3" t="s">
        <v>741</v>
      </c>
      <c r="D991" s="3" t="s">
        <v>228</v>
      </c>
      <c r="E991" s="3" t="s">
        <v>122</v>
      </c>
      <c r="F991" s="15" t="n">
        <v>28783.61</v>
      </c>
      <c r="G991" s="15" t="n">
        <v>10027.27</v>
      </c>
      <c r="H991" s="15" t="n">
        <v>38810.88</v>
      </c>
      <c r="I991" s="7" t="n">
        <v>1</v>
      </c>
      <c r="J991" s="7" t="s">
        <v>1866</v>
      </c>
    </row>
    <row r="992" customFormat="false" ht="15" hidden="false" customHeight="false" outlineLevel="0" collapsed="false">
      <c r="A992" s="3" t="n">
        <v>6</v>
      </c>
      <c r="B992" s="24" t="n">
        <v>46174</v>
      </c>
      <c r="C992" s="3" t="s">
        <v>741</v>
      </c>
      <c r="D992" s="3" t="s">
        <v>228</v>
      </c>
      <c r="E992" s="3" t="s">
        <v>149</v>
      </c>
      <c r="F992" s="15" t="n">
        <v>16472.41</v>
      </c>
      <c r="G992" s="15" t="n">
        <v>5719.82</v>
      </c>
      <c r="H992" s="15" t="n">
        <v>22192.23</v>
      </c>
      <c r="I992" s="7" t="n">
        <v>2</v>
      </c>
      <c r="J992" s="7" t="s">
        <v>1867</v>
      </c>
    </row>
    <row r="993" customFormat="false" ht="15" hidden="false" customHeight="false" outlineLevel="0" collapsed="false">
      <c r="A993" s="3" t="n">
        <v>6</v>
      </c>
      <c r="B993" s="24" t="n">
        <v>46174</v>
      </c>
      <c r="C993" s="3" t="s">
        <v>741</v>
      </c>
      <c r="D993" s="3" t="s">
        <v>228</v>
      </c>
      <c r="E993" s="3" t="s">
        <v>109</v>
      </c>
      <c r="F993" s="15" t="n">
        <v>5060.85</v>
      </c>
      <c r="G993" s="15" t="n">
        <v>1764.76</v>
      </c>
      <c r="H993" s="15" t="n">
        <v>6825.61</v>
      </c>
      <c r="I993" s="7" t="n">
        <v>3</v>
      </c>
      <c r="J993" s="7" t="s">
        <v>1868</v>
      </c>
    </row>
    <row r="994" customFormat="false" ht="15" hidden="false" customHeight="false" outlineLevel="0" collapsed="false">
      <c r="A994" s="3" t="n">
        <v>6</v>
      </c>
      <c r="B994" s="24" t="n">
        <v>46174</v>
      </c>
      <c r="C994" s="3" t="s">
        <v>742</v>
      </c>
      <c r="D994" s="3" t="s">
        <v>231</v>
      </c>
      <c r="E994" s="3" t="s">
        <v>112</v>
      </c>
      <c r="F994" s="15" t="n">
        <v>9438.3</v>
      </c>
      <c r="G994" s="15" t="n">
        <v>3372.65</v>
      </c>
      <c r="H994" s="15" t="n">
        <v>12810.95</v>
      </c>
      <c r="I994" s="7" t="n">
        <v>1</v>
      </c>
      <c r="J994" s="7" t="s">
        <v>1869</v>
      </c>
    </row>
    <row r="995" customFormat="false" ht="15" hidden="false" customHeight="false" outlineLevel="0" collapsed="false">
      <c r="A995" s="3" t="n">
        <v>6</v>
      </c>
      <c r="B995" s="24" t="n">
        <v>46174</v>
      </c>
      <c r="C995" s="3" t="s">
        <v>743</v>
      </c>
      <c r="D995" s="3" t="s">
        <v>231</v>
      </c>
      <c r="E995" s="3" t="s">
        <v>134</v>
      </c>
      <c r="F995" s="15" t="n">
        <v>4066.04</v>
      </c>
      <c r="G995" s="15" t="n">
        <v>1520.01</v>
      </c>
      <c r="H995" s="15" t="n">
        <v>5586.05</v>
      </c>
      <c r="I995" s="7" t="n">
        <v>1</v>
      </c>
      <c r="J995" s="7" t="s">
        <v>1870</v>
      </c>
    </row>
    <row r="996" customFormat="false" ht="15" hidden="false" customHeight="false" outlineLevel="0" collapsed="false">
      <c r="A996" s="3" t="n">
        <v>6</v>
      </c>
      <c r="B996" s="24" t="n">
        <v>46174</v>
      </c>
      <c r="C996" s="3" t="s">
        <v>744</v>
      </c>
      <c r="D996" s="3" t="s">
        <v>237</v>
      </c>
      <c r="E996" s="3" t="s">
        <v>112</v>
      </c>
      <c r="F996" s="15" t="n">
        <v>4753.83</v>
      </c>
      <c r="G996" s="15" t="n">
        <v>1698.36</v>
      </c>
      <c r="H996" s="15" t="n">
        <v>6452.19</v>
      </c>
      <c r="I996" s="7" t="n">
        <v>1</v>
      </c>
      <c r="J996" s="7" t="s">
        <v>1871</v>
      </c>
    </row>
    <row r="997" customFormat="false" ht="15" hidden="false" customHeight="false" outlineLevel="0" collapsed="false">
      <c r="A997" s="3" t="n">
        <v>6</v>
      </c>
      <c r="B997" s="24" t="n">
        <v>46174</v>
      </c>
      <c r="C997" s="3" t="s">
        <v>745</v>
      </c>
      <c r="D997" s="3" t="s">
        <v>237</v>
      </c>
      <c r="E997" s="3" t="s">
        <v>109</v>
      </c>
      <c r="F997" s="15" t="n">
        <v>64988.62</v>
      </c>
      <c r="G997" s="15" t="n">
        <v>22631.12</v>
      </c>
      <c r="H997" s="15" t="n">
        <v>87619.74</v>
      </c>
      <c r="I997" s="7" t="n">
        <v>1</v>
      </c>
      <c r="J997" s="7" t="s">
        <v>1872</v>
      </c>
    </row>
    <row r="998" customFormat="false" ht="15" hidden="false" customHeight="false" outlineLevel="0" collapsed="false">
      <c r="A998" s="3" t="n">
        <v>6</v>
      </c>
      <c r="B998" s="24" t="n">
        <v>46174</v>
      </c>
      <c r="C998" s="3" t="s">
        <v>745</v>
      </c>
      <c r="D998" s="3" t="s">
        <v>237</v>
      </c>
      <c r="E998" s="3" t="s">
        <v>133</v>
      </c>
      <c r="F998" s="15" t="n">
        <v>15543.33</v>
      </c>
      <c r="G998" s="15" t="n">
        <v>5419.2</v>
      </c>
      <c r="H998" s="15" t="n">
        <v>20962.53</v>
      </c>
      <c r="I998" s="7" t="n">
        <v>2</v>
      </c>
      <c r="J998" s="7" t="s">
        <v>1873</v>
      </c>
    </row>
    <row r="999" customFormat="false" ht="15" hidden="false" customHeight="false" outlineLevel="0" collapsed="false">
      <c r="A999" s="3" t="n">
        <v>6</v>
      </c>
      <c r="B999" s="24" t="n">
        <v>46174</v>
      </c>
      <c r="C999" s="3" t="s">
        <v>746</v>
      </c>
      <c r="D999" s="3" t="s">
        <v>237</v>
      </c>
      <c r="E999" s="3" t="s">
        <v>130</v>
      </c>
      <c r="F999" s="15" t="n">
        <v>8625.52</v>
      </c>
      <c r="G999" s="15" t="n">
        <v>3000.18</v>
      </c>
      <c r="H999" s="15" t="n">
        <v>11625.7</v>
      </c>
      <c r="I999" s="7" t="n">
        <v>1</v>
      </c>
      <c r="J999" s="7" t="s">
        <v>1874</v>
      </c>
    </row>
    <row r="1000" customFormat="false" ht="15" hidden="false" customHeight="false" outlineLevel="0" collapsed="false">
      <c r="A1000" s="3" t="n">
        <v>6</v>
      </c>
      <c r="B1000" s="24" t="n">
        <v>46174</v>
      </c>
      <c r="C1000" s="3" t="s">
        <v>747</v>
      </c>
      <c r="D1000" s="3" t="s">
        <v>269</v>
      </c>
      <c r="E1000" s="3" t="s">
        <v>112</v>
      </c>
      <c r="F1000" s="15" t="n">
        <v>27601.2</v>
      </c>
      <c r="G1000" s="15" t="n">
        <v>9867.483105</v>
      </c>
      <c r="H1000" s="15" t="n">
        <v>37468.683105</v>
      </c>
      <c r="I1000" s="7" t="n">
        <v>1</v>
      </c>
      <c r="J1000" s="7" t="s">
        <v>1875</v>
      </c>
    </row>
    <row r="1001" customFormat="false" ht="15" hidden="false" customHeight="false" outlineLevel="0" collapsed="false">
      <c r="A1001" s="3" t="n">
        <v>6</v>
      </c>
      <c r="B1001" s="24" t="n">
        <v>46174</v>
      </c>
      <c r="C1001" s="3" t="s">
        <v>747</v>
      </c>
      <c r="D1001" s="3" t="s">
        <v>269</v>
      </c>
      <c r="E1001" s="3" t="s">
        <v>164</v>
      </c>
      <c r="F1001" s="15" t="n">
        <v>4795.09</v>
      </c>
      <c r="G1001" s="15" t="n">
        <v>1718.534817</v>
      </c>
      <c r="H1001" s="15" t="n">
        <v>6513.624817</v>
      </c>
      <c r="I1001" s="7" t="n">
        <v>2</v>
      </c>
      <c r="J1001" s="7" t="s">
        <v>1876</v>
      </c>
    </row>
    <row r="1002" customFormat="false" ht="15" hidden="false" customHeight="false" outlineLevel="0" collapsed="false">
      <c r="A1002" s="3" t="n">
        <v>6</v>
      </c>
      <c r="B1002" s="24" t="n">
        <v>46174</v>
      </c>
      <c r="C1002" s="3" t="s">
        <v>747</v>
      </c>
      <c r="D1002" s="3" t="s">
        <v>269</v>
      </c>
      <c r="E1002" s="3" t="s">
        <v>157</v>
      </c>
      <c r="F1002" s="15" t="n">
        <v>5087.16</v>
      </c>
      <c r="G1002" s="15" t="n">
        <v>1799.729125</v>
      </c>
      <c r="H1002" s="15" t="n">
        <v>6886.889125</v>
      </c>
      <c r="I1002" s="7" t="n">
        <v>3</v>
      </c>
      <c r="J1002" s="7" t="s">
        <v>1877</v>
      </c>
    </row>
    <row r="1003" customFormat="false" ht="15" hidden="false" customHeight="false" outlineLevel="0" collapsed="false">
      <c r="A1003" s="3" t="n">
        <v>6</v>
      </c>
      <c r="B1003" s="24" t="n">
        <v>46174</v>
      </c>
      <c r="C1003" s="3" t="s">
        <v>747</v>
      </c>
      <c r="D1003" s="3" t="s">
        <v>269</v>
      </c>
      <c r="E1003" s="3" t="s">
        <v>162</v>
      </c>
      <c r="F1003" s="15" t="n">
        <v>4792.83</v>
      </c>
      <c r="G1003" s="15" t="n">
        <v>1719.192311</v>
      </c>
      <c r="H1003" s="15" t="n">
        <v>6512.022311</v>
      </c>
      <c r="I1003" s="7" t="n">
        <v>4</v>
      </c>
      <c r="J1003" s="7" t="s">
        <v>1878</v>
      </c>
    </row>
    <row r="1004" customFormat="false" ht="15" hidden="false" customHeight="false" outlineLevel="0" collapsed="false">
      <c r="A1004" s="3" t="n">
        <v>6</v>
      </c>
      <c r="B1004" s="24" t="n">
        <v>46174</v>
      </c>
      <c r="C1004" s="3" t="s">
        <v>747</v>
      </c>
      <c r="D1004" s="3" t="s">
        <v>269</v>
      </c>
      <c r="E1004" s="3" t="s">
        <v>172</v>
      </c>
      <c r="F1004" s="15" t="n">
        <v>4889.65</v>
      </c>
      <c r="G1004" s="15" t="n">
        <v>1751.66106</v>
      </c>
      <c r="H1004" s="15" t="n">
        <v>6641.31106</v>
      </c>
      <c r="I1004" s="7" t="n">
        <v>5</v>
      </c>
      <c r="J1004" s="7" t="s">
        <v>1879</v>
      </c>
    </row>
    <row r="1005" customFormat="false" ht="15" hidden="false" customHeight="false" outlineLevel="0" collapsed="false">
      <c r="A1005" s="3" t="n">
        <v>6</v>
      </c>
      <c r="B1005" s="24" t="n">
        <v>46174</v>
      </c>
      <c r="C1005" s="3" t="s">
        <v>748</v>
      </c>
      <c r="D1005" s="3" t="s">
        <v>269</v>
      </c>
      <c r="E1005" s="3" t="s">
        <v>109</v>
      </c>
      <c r="F1005" s="15" t="n">
        <v>115841.56</v>
      </c>
      <c r="G1005" s="15" t="n">
        <v>40320.2</v>
      </c>
      <c r="H1005" s="15" t="n">
        <v>156161.76</v>
      </c>
      <c r="I1005" s="7" t="n">
        <v>1</v>
      </c>
      <c r="J1005" s="7" t="s">
        <v>1880</v>
      </c>
    </row>
    <row r="1006" customFormat="false" ht="15" hidden="false" customHeight="false" outlineLevel="0" collapsed="false">
      <c r="A1006" s="3" t="n">
        <v>6</v>
      </c>
      <c r="B1006" s="24" t="n">
        <v>46174</v>
      </c>
      <c r="C1006" s="3" t="s">
        <v>749</v>
      </c>
      <c r="D1006" s="3" t="s">
        <v>269</v>
      </c>
      <c r="E1006" s="3" t="s">
        <v>136</v>
      </c>
      <c r="F1006" s="15" t="n">
        <v>7821.48</v>
      </c>
      <c r="G1006" s="15" t="n">
        <v>2789.24</v>
      </c>
      <c r="H1006" s="15" t="n">
        <v>10610.72</v>
      </c>
      <c r="I1006" s="7" t="n">
        <v>1</v>
      </c>
      <c r="J1006" s="7" t="s">
        <v>1881</v>
      </c>
    </row>
    <row r="1007" customFormat="false" ht="15" hidden="false" customHeight="false" outlineLevel="0" collapsed="false">
      <c r="A1007" s="3" t="n">
        <v>6</v>
      </c>
      <c r="B1007" s="24" t="n">
        <v>46174</v>
      </c>
      <c r="C1007" s="3" t="s">
        <v>749</v>
      </c>
      <c r="D1007" s="3" t="s">
        <v>269</v>
      </c>
      <c r="E1007" s="3" t="s">
        <v>169</v>
      </c>
      <c r="F1007" s="15" t="n">
        <v>661.9</v>
      </c>
      <c r="G1007" s="15" t="n">
        <v>229.4</v>
      </c>
      <c r="H1007" s="15" t="n">
        <v>891.3</v>
      </c>
      <c r="I1007" s="7" t="n">
        <v>2</v>
      </c>
      <c r="J1007" s="7" t="s">
        <v>1882</v>
      </c>
    </row>
    <row r="1008" customFormat="false" ht="15" hidden="false" customHeight="false" outlineLevel="0" collapsed="false">
      <c r="A1008" s="3" t="n">
        <v>6</v>
      </c>
      <c r="B1008" s="24" t="n">
        <v>46174</v>
      </c>
      <c r="C1008" s="3" t="s">
        <v>750</v>
      </c>
      <c r="D1008" s="3" t="s">
        <v>226</v>
      </c>
      <c r="E1008" s="3" t="s">
        <v>112</v>
      </c>
      <c r="F1008" s="15" t="n">
        <v>13385.45</v>
      </c>
      <c r="G1008" s="15" t="n">
        <v>4148.66</v>
      </c>
      <c r="H1008" s="15" t="n">
        <v>17534.11</v>
      </c>
      <c r="I1008" s="7" t="n">
        <v>1</v>
      </c>
      <c r="J1008" s="7" t="s">
        <v>1883</v>
      </c>
    </row>
    <row r="1009" customFormat="false" ht="15" hidden="false" customHeight="false" outlineLevel="0" collapsed="false">
      <c r="A1009" s="3" t="n">
        <v>6</v>
      </c>
      <c r="B1009" s="24" t="n">
        <v>46174</v>
      </c>
      <c r="C1009" s="3" t="s">
        <v>751</v>
      </c>
      <c r="D1009" s="3" t="s">
        <v>226</v>
      </c>
      <c r="E1009" s="3" t="s">
        <v>109</v>
      </c>
      <c r="F1009" s="15" t="n">
        <v>101266.63</v>
      </c>
      <c r="G1009" s="15" t="n">
        <v>30629.838392</v>
      </c>
      <c r="H1009" s="15" t="n">
        <v>131896.468392</v>
      </c>
      <c r="I1009" s="7" t="n">
        <v>1</v>
      </c>
      <c r="J1009" s="7" t="s">
        <v>1884</v>
      </c>
    </row>
    <row r="1010" customFormat="false" ht="15" hidden="false" customHeight="false" outlineLevel="0" collapsed="false">
      <c r="A1010" s="3" t="n">
        <v>6</v>
      </c>
      <c r="B1010" s="24" t="n">
        <v>46174</v>
      </c>
      <c r="C1010" s="3" t="s">
        <v>751</v>
      </c>
      <c r="D1010" s="3" t="s">
        <v>226</v>
      </c>
      <c r="E1010" s="3" t="s">
        <v>138</v>
      </c>
      <c r="F1010" s="15" t="n">
        <v>11756.89</v>
      </c>
      <c r="G1010" s="15" t="n">
        <v>3537.593984</v>
      </c>
      <c r="H1010" s="15" t="n">
        <v>15294.483984</v>
      </c>
      <c r="I1010" s="7" t="n">
        <v>2</v>
      </c>
      <c r="J1010" s="7" t="s">
        <v>1885</v>
      </c>
    </row>
    <row r="1011" customFormat="false" ht="15" hidden="false" customHeight="false" outlineLevel="0" collapsed="false">
      <c r="A1011" s="3" t="n">
        <v>6</v>
      </c>
      <c r="B1011" s="24" t="n">
        <v>46174</v>
      </c>
      <c r="C1011" s="3" t="s">
        <v>751</v>
      </c>
      <c r="D1011" s="3" t="s">
        <v>226</v>
      </c>
      <c r="E1011" s="3" t="s">
        <v>163</v>
      </c>
      <c r="F1011" s="15" t="n">
        <v>5164.13</v>
      </c>
      <c r="G1011" s="15" t="n">
        <v>1561.300504</v>
      </c>
      <c r="H1011" s="15" t="n">
        <v>6725.430504</v>
      </c>
      <c r="I1011" s="7" t="n">
        <v>3</v>
      </c>
      <c r="J1011" s="7" t="s">
        <v>1886</v>
      </c>
    </row>
    <row r="1012" customFormat="false" ht="15" hidden="false" customHeight="false" outlineLevel="0" collapsed="false">
      <c r="A1012" s="3" t="n">
        <v>6</v>
      </c>
      <c r="B1012" s="24" t="n">
        <v>46174</v>
      </c>
      <c r="C1012" s="3" t="s">
        <v>752</v>
      </c>
      <c r="D1012" s="3" t="s">
        <v>224</v>
      </c>
      <c r="E1012" s="3" t="s">
        <v>152</v>
      </c>
      <c r="F1012" s="15" t="n">
        <v>2689.86</v>
      </c>
      <c r="G1012" s="15" t="n">
        <v>958.41</v>
      </c>
      <c r="H1012" s="15" t="n">
        <v>3648.27</v>
      </c>
      <c r="I1012" s="7" t="n">
        <v>1</v>
      </c>
      <c r="J1012" s="7" t="s">
        <v>1887</v>
      </c>
    </row>
    <row r="1013" customFormat="false" ht="15" hidden="false" customHeight="false" outlineLevel="0" collapsed="false">
      <c r="A1013" s="3" t="n">
        <v>6</v>
      </c>
      <c r="B1013" s="24" t="n">
        <v>46174</v>
      </c>
      <c r="C1013" s="3" t="s">
        <v>753</v>
      </c>
      <c r="D1013" s="3" t="s">
        <v>224</v>
      </c>
      <c r="E1013" s="3" t="s">
        <v>128</v>
      </c>
      <c r="F1013" s="15" t="n">
        <v>26833.2</v>
      </c>
      <c r="G1013" s="15" t="n">
        <v>9342.8</v>
      </c>
      <c r="H1013" s="15" t="n">
        <v>36176</v>
      </c>
      <c r="I1013" s="7" t="n">
        <v>1</v>
      </c>
      <c r="J1013" s="7" t="s">
        <v>1888</v>
      </c>
    </row>
    <row r="1014" customFormat="false" ht="15" hidden="false" customHeight="false" outlineLevel="0" collapsed="false">
      <c r="A1014" s="3" t="n">
        <v>6</v>
      </c>
      <c r="B1014" s="24" t="n">
        <v>46174</v>
      </c>
      <c r="C1014" s="3" t="s">
        <v>754</v>
      </c>
      <c r="D1014" s="3" t="s">
        <v>243</v>
      </c>
      <c r="E1014" s="3" t="s">
        <v>161</v>
      </c>
      <c r="F1014" s="15" t="n">
        <v>209.1</v>
      </c>
      <c r="G1014" s="15" t="n">
        <v>72.47</v>
      </c>
      <c r="H1014" s="15" t="n">
        <v>281.57</v>
      </c>
      <c r="I1014" s="7" t="n">
        <v>1</v>
      </c>
      <c r="J1014" s="7" t="s">
        <v>1889</v>
      </c>
    </row>
    <row r="1015" customFormat="false" ht="15" hidden="false" customHeight="false" outlineLevel="0" collapsed="false">
      <c r="A1015" s="3" t="n">
        <v>6</v>
      </c>
      <c r="B1015" s="24" t="n">
        <v>46174</v>
      </c>
      <c r="C1015" s="3" t="s">
        <v>755</v>
      </c>
      <c r="D1015" s="3" t="s">
        <v>243</v>
      </c>
      <c r="E1015" s="3" t="s">
        <v>112</v>
      </c>
      <c r="F1015" s="15" t="n">
        <v>2869.52</v>
      </c>
      <c r="G1015" s="15" t="n">
        <v>1019.92</v>
      </c>
      <c r="H1015" s="15" t="n">
        <v>3889.44</v>
      </c>
      <c r="I1015" s="7" t="n">
        <v>1</v>
      </c>
      <c r="J1015" s="7" t="s">
        <v>1890</v>
      </c>
    </row>
    <row r="1016" customFormat="false" ht="15" hidden="false" customHeight="false" outlineLevel="0" collapsed="false">
      <c r="A1016" s="3" t="n">
        <v>6</v>
      </c>
      <c r="B1016" s="24" t="n">
        <v>46174</v>
      </c>
      <c r="C1016" s="3" t="s">
        <v>756</v>
      </c>
      <c r="D1016" s="3" t="s">
        <v>246</v>
      </c>
      <c r="E1016" s="3" t="s">
        <v>112</v>
      </c>
      <c r="F1016" s="15" t="n">
        <v>2388.47</v>
      </c>
      <c r="G1016" s="15" t="n">
        <v>853.17</v>
      </c>
      <c r="H1016" s="15" t="n">
        <v>3241.64</v>
      </c>
      <c r="I1016" s="7" t="n">
        <v>1</v>
      </c>
      <c r="J1016" s="7" t="s">
        <v>1891</v>
      </c>
    </row>
    <row r="1017" customFormat="false" ht="15" hidden="false" customHeight="false" outlineLevel="0" collapsed="false">
      <c r="A1017" s="3" t="n">
        <v>6</v>
      </c>
      <c r="B1017" s="24" t="n">
        <v>46174</v>
      </c>
      <c r="C1017" s="3" t="s">
        <v>757</v>
      </c>
      <c r="D1017" s="3" t="s">
        <v>252</v>
      </c>
      <c r="E1017" s="3" t="s">
        <v>112</v>
      </c>
      <c r="F1017" s="15" t="n">
        <v>2318.99</v>
      </c>
      <c r="G1017" s="15" t="n">
        <v>829.1</v>
      </c>
      <c r="H1017" s="15" t="n">
        <v>3148.09</v>
      </c>
      <c r="I1017" s="7" t="n">
        <v>1</v>
      </c>
      <c r="J1017" s="7" t="s">
        <v>1892</v>
      </c>
    </row>
    <row r="1018" customFormat="false" ht="15" hidden="false" customHeight="false" outlineLevel="0" collapsed="false">
      <c r="A1018" s="3" t="n">
        <v>6</v>
      </c>
      <c r="B1018" s="24" t="n">
        <v>46174</v>
      </c>
      <c r="C1018" s="3" t="s">
        <v>758</v>
      </c>
      <c r="D1018" s="3" t="s">
        <v>252</v>
      </c>
      <c r="E1018" s="3" t="s">
        <v>166</v>
      </c>
      <c r="F1018" s="15" t="n">
        <v>2473.21</v>
      </c>
      <c r="G1018" s="15" t="n">
        <v>883.33</v>
      </c>
      <c r="H1018" s="15" t="n">
        <v>3356.54</v>
      </c>
      <c r="I1018" s="7" t="n">
        <v>1</v>
      </c>
      <c r="J1018" s="7" t="s">
        <v>1893</v>
      </c>
    </row>
    <row r="1019" customFormat="false" ht="15" hidden="false" customHeight="false" outlineLevel="0" collapsed="false">
      <c r="A1019" s="3" t="n">
        <v>6</v>
      </c>
      <c r="B1019" s="24" t="n">
        <v>46174</v>
      </c>
      <c r="C1019" s="3" t="s">
        <v>759</v>
      </c>
      <c r="D1019" s="3" t="s">
        <v>255</v>
      </c>
      <c r="E1019" s="3" t="s">
        <v>112</v>
      </c>
      <c r="F1019" s="15" t="n">
        <v>2384.12</v>
      </c>
      <c r="G1019" s="15" t="n">
        <v>851.69</v>
      </c>
      <c r="H1019" s="15" t="n">
        <v>3235.81</v>
      </c>
      <c r="I1019" s="7" t="n">
        <v>1</v>
      </c>
      <c r="J1019" s="7" t="s">
        <v>1894</v>
      </c>
    </row>
    <row r="1020" customFormat="false" ht="15" hidden="false" customHeight="false" outlineLevel="0" collapsed="false">
      <c r="A1020" s="3" t="n">
        <v>6</v>
      </c>
      <c r="B1020" s="24" t="n">
        <v>46174</v>
      </c>
      <c r="C1020" s="3" t="s">
        <v>760</v>
      </c>
      <c r="D1020" s="3" t="s">
        <v>258</v>
      </c>
      <c r="E1020" s="3" t="s">
        <v>146</v>
      </c>
      <c r="F1020" s="15" t="n">
        <v>7081.47</v>
      </c>
      <c r="G1020" s="15" t="n">
        <v>2465.04</v>
      </c>
      <c r="H1020" s="15" t="n">
        <v>9546.51</v>
      </c>
      <c r="I1020" s="7" t="n">
        <v>1</v>
      </c>
      <c r="J1020" s="7" t="s">
        <v>1895</v>
      </c>
    </row>
    <row r="1021" customFormat="false" ht="15" hidden="false" customHeight="false" outlineLevel="0" collapsed="false">
      <c r="A1021" s="3" t="n">
        <v>6</v>
      </c>
      <c r="B1021" s="24" t="n">
        <v>46174</v>
      </c>
      <c r="C1021" s="3" t="s">
        <v>761</v>
      </c>
      <c r="D1021" s="3" t="s">
        <v>261</v>
      </c>
      <c r="E1021" s="3" t="s">
        <v>112</v>
      </c>
      <c r="F1021" s="15" t="n">
        <v>2375.99</v>
      </c>
      <c r="G1021" s="15" t="n">
        <v>848.85</v>
      </c>
      <c r="H1021" s="15" t="n">
        <v>3224.84</v>
      </c>
      <c r="I1021" s="7" t="n">
        <v>1</v>
      </c>
      <c r="J1021" s="7" t="s">
        <v>1896</v>
      </c>
    </row>
    <row r="1022" customFormat="false" ht="15" hidden="false" customHeight="false" outlineLevel="0" collapsed="false">
      <c r="A1022" s="3" t="n">
        <v>6</v>
      </c>
      <c r="B1022" s="24" t="n">
        <v>46174</v>
      </c>
      <c r="C1022" s="3" t="s">
        <v>762</v>
      </c>
      <c r="D1022" s="3" t="s">
        <v>222</v>
      </c>
      <c r="E1022" s="3" t="s">
        <v>160</v>
      </c>
      <c r="F1022" s="15" t="n">
        <v>1916.77</v>
      </c>
      <c r="G1022" s="15" t="n">
        <v>699.72</v>
      </c>
      <c r="H1022" s="15" t="n">
        <v>2616.49</v>
      </c>
      <c r="I1022" s="7" t="n">
        <v>1</v>
      </c>
      <c r="J1022" s="7" t="s">
        <v>1897</v>
      </c>
    </row>
    <row r="1023" customFormat="false" ht="15" hidden="false" customHeight="false" outlineLevel="0" collapsed="false">
      <c r="A1023" s="3" t="n">
        <v>6</v>
      </c>
      <c r="B1023" s="24" t="n">
        <v>46174</v>
      </c>
      <c r="C1023" s="3" t="s">
        <v>762</v>
      </c>
      <c r="D1023" s="3" t="s">
        <v>222</v>
      </c>
      <c r="E1023" s="3" t="s">
        <v>140</v>
      </c>
      <c r="F1023" s="15" t="n">
        <v>3034.71</v>
      </c>
      <c r="G1023" s="15" t="n">
        <v>1071.41</v>
      </c>
      <c r="H1023" s="15" t="n">
        <v>4106.12</v>
      </c>
      <c r="I1023" s="7" t="n">
        <v>2</v>
      </c>
      <c r="J1023" s="7" t="s">
        <v>1898</v>
      </c>
    </row>
    <row r="1024" customFormat="false" ht="15" hidden="false" customHeight="false" outlineLevel="0" collapsed="false">
      <c r="A1024" s="3" t="n">
        <v>6</v>
      </c>
      <c r="B1024" s="24" t="n">
        <v>46174</v>
      </c>
      <c r="C1024" s="3" t="s">
        <v>763</v>
      </c>
      <c r="D1024" s="3" t="s">
        <v>222</v>
      </c>
      <c r="E1024" s="3" t="s">
        <v>160</v>
      </c>
      <c r="F1024" s="15" t="n">
        <v>1916.77</v>
      </c>
      <c r="G1024" s="15" t="n">
        <v>699.72</v>
      </c>
      <c r="H1024" s="15" t="n">
        <v>2616.49</v>
      </c>
      <c r="I1024" s="7" t="n">
        <v>1</v>
      </c>
      <c r="J1024" s="7" t="s">
        <v>1899</v>
      </c>
    </row>
    <row r="1025" customFormat="false" ht="15" hidden="false" customHeight="false" outlineLevel="0" collapsed="false">
      <c r="A1025" s="3" t="n">
        <v>6</v>
      </c>
      <c r="B1025" s="24" t="n">
        <v>46174</v>
      </c>
      <c r="C1025" s="3" t="s">
        <v>763</v>
      </c>
      <c r="D1025" s="3" t="s">
        <v>222</v>
      </c>
      <c r="E1025" s="3" t="s">
        <v>140</v>
      </c>
      <c r="F1025" s="15" t="n">
        <v>3034.71</v>
      </c>
      <c r="G1025" s="15" t="n">
        <v>1071.41</v>
      </c>
      <c r="H1025" s="15" t="n">
        <v>4106.12</v>
      </c>
      <c r="I1025" s="7" t="n">
        <v>2</v>
      </c>
      <c r="J1025" s="7" t="s">
        <v>1900</v>
      </c>
    </row>
    <row r="1026" customFormat="false" ht="15" hidden="false" customHeight="false" outlineLevel="0" collapsed="false">
      <c r="A1026" s="3" t="n">
        <v>6</v>
      </c>
      <c r="B1026" s="24" t="n">
        <v>46174</v>
      </c>
      <c r="C1026" s="3" t="s">
        <v>764</v>
      </c>
      <c r="D1026" s="3" t="s">
        <v>212</v>
      </c>
      <c r="E1026" s="3" t="s">
        <v>109</v>
      </c>
      <c r="F1026" s="15" t="n">
        <v>1948.65</v>
      </c>
      <c r="G1026" s="15" t="n">
        <v>0</v>
      </c>
      <c r="H1026" s="15" t="n">
        <v>1948.65</v>
      </c>
      <c r="I1026" s="7" t="n">
        <v>1</v>
      </c>
      <c r="J1026" s="7" t="s">
        <v>1901</v>
      </c>
    </row>
    <row r="1027" customFormat="false" ht="15" hidden="false" customHeight="false" outlineLevel="0" collapsed="false">
      <c r="A1027" s="3" t="n">
        <v>6</v>
      </c>
      <c r="B1027" s="24" t="n">
        <v>46174</v>
      </c>
      <c r="C1027" s="3" t="s">
        <v>764</v>
      </c>
      <c r="D1027" s="3" t="s">
        <v>212</v>
      </c>
      <c r="E1027" s="3" t="s">
        <v>148</v>
      </c>
      <c r="F1027" s="15" t="n">
        <v>844.95</v>
      </c>
      <c r="G1027" s="15" t="n">
        <v>0</v>
      </c>
      <c r="H1027" s="15" t="n">
        <v>844.95</v>
      </c>
      <c r="I1027" s="7" t="n">
        <v>2</v>
      </c>
      <c r="J1027" s="7" t="s">
        <v>1902</v>
      </c>
    </row>
    <row r="1028" customFormat="false" ht="15" hidden="false" customHeight="false" outlineLevel="0" collapsed="false">
      <c r="A1028" s="3" t="n">
        <v>6</v>
      </c>
      <c r="B1028" s="24" t="n">
        <v>46174</v>
      </c>
      <c r="C1028" s="3" t="s">
        <v>764</v>
      </c>
      <c r="D1028" s="3" t="s">
        <v>212</v>
      </c>
      <c r="E1028" s="3" t="s">
        <v>144</v>
      </c>
      <c r="F1028" s="15" t="n">
        <v>844.95</v>
      </c>
      <c r="G1028" s="15" t="n">
        <v>0</v>
      </c>
      <c r="H1028" s="15" t="n">
        <v>844.95</v>
      </c>
      <c r="I1028" s="7" t="n">
        <v>3</v>
      </c>
      <c r="J1028" s="7" t="s">
        <v>1903</v>
      </c>
    </row>
    <row r="1029" customFormat="false" ht="15" hidden="false" customHeight="false" outlineLevel="0" collapsed="false">
      <c r="A1029" s="3" t="n">
        <v>6</v>
      </c>
      <c r="B1029" s="24" t="n">
        <v>46174</v>
      </c>
      <c r="C1029" s="3" t="s">
        <v>764</v>
      </c>
      <c r="D1029" s="3" t="s">
        <v>212</v>
      </c>
      <c r="E1029" s="3" t="s">
        <v>147</v>
      </c>
      <c r="F1029" s="15" t="n">
        <v>685.35</v>
      </c>
      <c r="G1029" s="15" t="n">
        <v>0</v>
      </c>
      <c r="H1029" s="15" t="n">
        <v>685.35</v>
      </c>
      <c r="I1029" s="7" t="n">
        <v>4</v>
      </c>
      <c r="J1029" s="7" t="s">
        <v>1904</v>
      </c>
    </row>
    <row r="1030" customFormat="false" ht="15" hidden="false" customHeight="false" outlineLevel="0" collapsed="false">
      <c r="A1030" s="3" t="n">
        <v>6</v>
      </c>
      <c r="B1030" s="24" t="n">
        <v>46174</v>
      </c>
      <c r="C1030" s="3" t="s">
        <v>764</v>
      </c>
      <c r="D1030" s="3" t="s">
        <v>212</v>
      </c>
      <c r="E1030" s="3" t="s">
        <v>135</v>
      </c>
      <c r="F1030" s="15" t="n">
        <v>844.95</v>
      </c>
      <c r="G1030" s="15" t="n">
        <v>0</v>
      </c>
      <c r="H1030" s="15" t="n">
        <v>844.95</v>
      </c>
      <c r="I1030" s="7" t="n">
        <v>5</v>
      </c>
      <c r="J1030" s="7" t="s">
        <v>1905</v>
      </c>
    </row>
    <row r="1031" customFormat="false" ht="15" hidden="false" customHeight="false" outlineLevel="0" collapsed="false">
      <c r="A1031" s="3" t="n">
        <v>6</v>
      </c>
      <c r="B1031" s="24" t="n">
        <v>46174</v>
      </c>
      <c r="C1031" s="3" t="s">
        <v>764</v>
      </c>
      <c r="D1031" s="3" t="s">
        <v>212</v>
      </c>
      <c r="E1031" s="3" t="s">
        <v>173</v>
      </c>
      <c r="F1031" s="15" t="n">
        <v>965.1</v>
      </c>
      <c r="G1031" s="15" t="n">
        <v>0</v>
      </c>
      <c r="H1031" s="15" t="n">
        <v>965.1</v>
      </c>
      <c r="I1031" s="7" t="n">
        <v>6</v>
      </c>
      <c r="J1031" s="7" t="s">
        <v>1906</v>
      </c>
    </row>
    <row r="1032" customFormat="false" ht="15" hidden="false" customHeight="false" outlineLevel="0" collapsed="false">
      <c r="A1032" s="3" t="n">
        <v>6</v>
      </c>
      <c r="B1032" s="24" t="n">
        <v>46174</v>
      </c>
      <c r="C1032" s="3" t="s">
        <v>764</v>
      </c>
      <c r="D1032" s="3" t="s">
        <v>212</v>
      </c>
      <c r="E1032" s="3" t="s">
        <v>119</v>
      </c>
      <c r="F1032" s="15" t="n">
        <v>13118.76</v>
      </c>
      <c r="G1032" s="15" t="n">
        <v>21.42</v>
      </c>
      <c r="H1032" s="15" t="n">
        <v>13140.18</v>
      </c>
      <c r="I1032" s="7" t="n">
        <v>7</v>
      </c>
      <c r="J1032" s="7" t="s">
        <v>1907</v>
      </c>
    </row>
    <row r="1033" customFormat="false" ht="15" hidden="false" customHeight="false" outlineLevel="0" collapsed="false">
      <c r="A1033" s="3" t="n">
        <v>6</v>
      </c>
      <c r="B1033" s="24" t="n">
        <v>46174</v>
      </c>
      <c r="C1033" s="3" t="s">
        <v>764</v>
      </c>
      <c r="D1033" s="3" t="s">
        <v>212</v>
      </c>
      <c r="E1033" s="3" t="s">
        <v>142</v>
      </c>
      <c r="F1033" s="15" t="n">
        <v>2550.06</v>
      </c>
      <c r="G1033" s="15" t="n">
        <v>0</v>
      </c>
      <c r="H1033" s="15" t="n">
        <v>2550.06</v>
      </c>
      <c r="I1033" s="7" t="n">
        <v>8</v>
      </c>
      <c r="J1033" s="7" t="s">
        <v>1908</v>
      </c>
    </row>
    <row r="1034" customFormat="false" ht="15" hidden="false" customHeight="false" outlineLevel="0" collapsed="false">
      <c r="A1034" s="3" t="n">
        <v>6</v>
      </c>
      <c r="B1034" s="24" t="n">
        <v>46174</v>
      </c>
      <c r="C1034" s="3" t="s">
        <v>764</v>
      </c>
      <c r="D1034" s="3" t="s">
        <v>212</v>
      </c>
      <c r="E1034" s="3" t="s">
        <v>156</v>
      </c>
      <c r="F1034" s="15" t="n">
        <v>2651.55</v>
      </c>
      <c r="G1034" s="15" t="n">
        <v>0</v>
      </c>
      <c r="H1034" s="15" t="n">
        <v>2651.55</v>
      </c>
      <c r="I1034" s="7" t="n">
        <v>9</v>
      </c>
      <c r="J1034" s="7" t="s">
        <v>1909</v>
      </c>
    </row>
    <row r="1035" customFormat="false" ht="15" hidden="false" customHeight="false" outlineLevel="0" collapsed="false">
      <c r="A1035" s="3" t="n">
        <v>6</v>
      </c>
      <c r="B1035" s="24" t="n">
        <v>46174</v>
      </c>
      <c r="C1035" s="3" t="s">
        <v>764</v>
      </c>
      <c r="D1035" s="3" t="s">
        <v>212</v>
      </c>
      <c r="E1035" s="3" t="s">
        <v>177</v>
      </c>
      <c r="F1035" s="15" t="n">
        <v>883.85</v>
      </c>
      <c r="G1035" s="15" t="n">
        <v>0</v>
      </c>
      <c r="H1035" s="15" t="n">
        <v>883.85</v>
      </c>
      <c r="I1035" s="7" t="n">
        <v>10</v>
      </c>
      <c r="J1035" s="7" t="s">
        <v>1910</v>
      </c>
    </row>
    <row r="1036" customFormat="false" ht="15" hidden="false" customHeight="false" outlineLevel="0" collapsed="false">
      <c r="A1036" s="3" t="n">
        <v>6</v>
      </c>
      <c r="B1036" s="24" t="n">
        <v>46174</v>
      </c>
      <c r="C1036" s="3" t="s">
        <v>765</v>
      </c>
      <c r="D1036" s="3" t="s">
        <v>222</v>
      </c>
      <c r="E1036" s="3" t="s">
        <v>195</v>
      </c>
      <c r="F1036" s="15" t="n">
        <v>38</v>
      </c>
      <c r="G1036" s="15" t="n">
        <v>0</v>
      </c>
      <c r="H1036" s="15" t="n">
        <v>38</v>
      </c>
      <c r="I1036" s="7" t="n">
        <v>1</v>
      </c>
      <c r="J1036" s="7" t="s">
        <v>1911</v>
      </c>
    </row>
    <row r="1037" customFormat="false" ht="15" hidden="false" customHeight="false" outlineLevel="0" collapsed="false">
      <c r="A1037" s="3" t="n">
        <v>6</v>
      </c>
      <c r="B1037" s="24" t="n">
        <v>46174</v>
      </c>
      <c r="C1037" s="3" t="s">
        <v>765</v>
      </c>
      <c r="D1037" s="3" t="s">
        <v>222</v>
      </c>
      <c r="E1037" s="3" t="s">
        <v>118</v>
      </c>
      <c r="F1037" s="15" t="n">
        <v>493.73</v>
      </c>
      <c r="G1037" s="15" t="n">
        <v>0</v>
      </c>
      <c r="H1037" s="15" t="n">
        <v>493.73</v>
      </c>
      <c r="I1037" s="7" t="n">
        <v>2</v>
      </c>
      <c r="J1037" s="7" t="s">
        <v>1912</v>
      </c>
    </row>
    <row r="1038" customFormat="false" ht="15" hidden="false" customHeight="false" outlineLevel="0" collapsed="false">
      <c r="A1038" s="3" t="n">
        <v>6</v>
      </c>
      <c r="B1038" s="24" t="n">
        <v>46174</v>
      </c>
      <c r="C1038" s="3" t="s">
        <v>765</v>
      </c>
      <c r="D1038" s="3" t="s">
        <v>222</v>
      </c>
      <c r="E1038" s="3" t="s">
        <v>120</v>
      </c>
      <c r="F1038" s="15" t="n">
        <v>4587.15</v>
      </c>
      <c r="G1038" s="15" t="n">
        <v>0</v>
      </c>
      <c r="H1038" s="15" t="n">
        <v>4587.15</v>
      </c>
      <c r="I1038" s="7" t="n">
        <v>3</v>
      </c>
      <c r="J1038" s="7" t="s">
        <v>1913</v>
      </c>
    </row>
    <row r="1039" customFormat="false" ht="15" hidden="false" customHeight="false" outlineLevel="0" collapsed="false">
      <c r="A1039" s="3" t="n">
        <v>6</v>
      </c>
      <c r="B1039" s="24" t="n">
        <v>46174</v>
      </c>
      <c r="C1039" s="3" t="s">
        <v>765</v>
      </c>
      <c r="D1039" s="3" t="s">
        <v>222</v>
      </c>
      <c r="E1039" s="3" t="s">
        <v>126</v>
      </c>
      <c r="F1039" s="15" t="n">
        <v>4862.02</v>
      </c>
      <c r="G1039" s="15" t="n">
        <v>0</v>
      </c>
      <c r="H1039" s="15" t="n">
        <v>4862.02</v>
      </c>
      <c r="I1039" s="7" t="n">
        <v>4</v>
      </c>
      <c r="J1039" s="7" t="s">
        <v>1914</v>
      </c>
    </row>
    <row r="1040" customFormat="false" ht="15" hidden="false" customHeight="false" outlineLevel="0" collapsed="false">
      <c r="A1040" s="3" t="n">
        <v>6</v>
      </c>
      <c r="B1040" s="24" t="n">
        <v>46174</v>
      </c>
      <c r="C1040" s="3" t="s">
        <v>765</v>
      </c>
      <c r="D1040" s="3" t="s">
        <v>222</v>
      </c>
      <c r="E1040" s="3" t="s">
        <v>139</v>
      </c>
      <c r="F1040" s="15" t="n">
        <v>3956.55</v>
      </c>
      <c r="G1040" s="15" t="n">
        <v>0</v>
      </c>
      <c r="H1040" s="15" t="n">
        <v>3956.55</v>
      </c>
      <c r="I1040" s="7" t="n">
        <v>5</v>
      </c>
      <c r="J1040" s="7" t="s">
        <v>1915</v>
      </c>
    </row>
    <row r="1041" customFormat="false" ht="15" hidden="false" customHeight="false" outlineLevel="0" collapsed="false">
      <c r="A1041" s="3" t="n">
        <v>6</v>
      </c>
      <c r="B1041" s="24" t="n">
        <v>46174</v>
      </c>
      <c r="C1041" s="3" t="s">
        <v>766</v>
      </c>
      <c r="D1041" s="3" t="s">
        <v>214</v>
      </c>
      <c r="E1041" s="3" t="s">
        <v>165</v>
      </c>
      <c r="F1041" s="15" t="n">
        <v>1108.96</v>
      </c>
      <c r="G1041" s="15" t="n">
        <v>0</v>
      </c>
      <c r="H1041" s="15" t="n">
        <v>1108.96</v>
      </c>
      <c r="I1041" s="7" t="n">
        <v>1</v>
      </c>
      <c r="J1041" s="7" t="s">
        <v>1916</v>
      </c>
    </row>
    <row r="1042" customFormat="false" ht="15" hidden="false" customHeight="false" outlineLevel="0" collapsed="false">
      <c r="A1042" s="3" t="n">
        <v>6</v>
      </c>
      <c r="B1042" s="24" t="n">
        <v>46174</v>
      </c>
      <c r="C1042" s="3" t="s">
        <v>767</v>
      </c>
      <c r="D1042" s="3" t="s">
        <v>214</v>
      </c>
      <c r="E1042" s="3" t="s">
        <v>112</v>
      </c>
      <c r="F1042" s="15" t="n">
        <v>9325.36</v>
      </c>
      <c r="G1042" s="15" t="n">
        <v>0</v>
      </c>
      <c r="H1042" s="15" t="n">
        <v>9325.36</v>
      </c>
      <c r="I1042" s="7" t="n">
        <v>1</v>
      </c>
      <c r="J1042" s="7" t="s">
        <v>1917</v>
      </c>
    </row>
    <row r="1043" customFormat="false" ht="15" hidden="false" customHeight="false" outlineLevel="0" collapsed="false">
      <c r="A1043" s="3" t="n">
        <v>6</v>
      </c>
      <c r="B1043" s="24" t="n">
        <v>46174</v>
      </c>
      <c r="C1043" s="3" t="s">
        <v>768</v>
      </c>
      <c r="D1043" s="3" t="s">
        <v>217</v>
      </c>
      <c r="E1043" s="3" t="s">
        <v>145</v>
      </c>
      <c r="F1043" s="15" t="n">
        <v>1451.85</v>
      </c>
      <c r="G1043" s="15" t="n">
        <v>0</v>
      </c>
      <c r="H1043" s="15" t="n">
        <v>1451.85</v>
      </c>
      <c r="I1043" s="7" t="n">
        <v>1</v>
      </c>
      <c r="J1043" s="7" t="s">
        <v>1918</v>
      </c>
    </row>
    <row r="1044" customFormat="false" ht="15" hidden="false" customHeight="false" outlineLevel="0" collapsed="false">
      <c r="A1044" s="3" t="n">
        <v>6</v>
      </c>
      <c r="B1044" s="24" t="n">
        <v>46174</v>
      </c>
      <c r="C1044" s="3" t="s">
        <v>769</v>
      </c>
      <c r="D1044" s="3" t="s">
        <v>217</v>
      </c>
      <c r="E1044" s="3" t="s">
        <v>112</v>
      </c>
      <c r="F1044" s="15" t="n">
        <v>4214.45</v>
      </c>
      <c r="G1044" s="15" t="n">
        <v>0</v>
      </c>
      <c r="H1044" s="15" t="n">
        <v>4214.45</v>
      </c>
      <c r="I1044" s="7" t="n">
        <v>1</v>
      </c>
      <c r="J1044" s="7" t="s">
        <v>1919</v>
      </c>
    </row>
    <row r="1045" customFormat="false" ht="15" hidden="false" customHeight="false" outlineLevel="0" collapsed="false">
      <c r="A1045" s="3" t="n">
        <v>6</v>
      </c>
      <c r="B1045" s="24" t="n">
        <v>46174</v>
      </c>
      <c r="C1045" s="3" t="s">
        <v>770</v>
      </c>
      <c r="D1045" s="3" t="s">
        <v>217</v>
      </c>
      <c r="E1045" s="3" t="s">
        <v>159</v>
      </c>
      <c r="F1045" s="15" t="n">
        <v>2693.7</v>
      </c>
      <c r="G1045" s="15" t="n">
        <v>0</v>
      </c>
      <c r="H1045" s="15" t="n">
        <v>2693.7</v>
      </c>
      <c r="I1045" s="7" t="n">
        <v>1</v>
      </c>
      <c r="J1045" s="7" t="s">
        <v>1920</v>
      </c>
    </row>
    <row r="1046" customFormat="false" ht="15" hidden="false" customHeight="false" outlineLevel="0" collapsed="false">
      <c r="A1046" s="3" t="n">
        <v>6</v>
      </c>
      <c r="B1046" s="24" t="n">
        <v>46174</v>
      </c>
      <c r="C1046" s="3" t="s">
        <v>771</v>
      </c>
      <c r="D1046" s="3" t="s">
        <v>217</v>
      </c>
      <c r="E1046" s="3" t="s">
        <v>109</v>
      </c>
      <c r="F1046" s="15" t="n">
        <v>12091.65</v>
      </c>
      <c r="G1046" s="15" t="n">
        <v>0</v>
      </c>
      <c r="H1046" s="15" t="n">
        <v>12091.65</v>
      </c>
      <c r="I1046" s="7" t="n">
        <v>1</v>
      </c>
      <c r="J1046" s="7" t="s">
        <v>1921</v>
      </c>
    </row>
    <row r="1047" customFormat="false" ht="15" hidden="false" customHeight="false" outlineLevel="0" collapsed="false">
      <c r="A1047" s="3" t="n">
        <v>6</v>
      </c>
      <c r="B1047" s="24" t="n">
        <v>46174</v>
      </c>
      <c r="C1047" s="3" t="s">
        <v>772</v>
      </c>
      <c r="D1047" s="3" t="s">
        <v>219</v>
      </c>
      <c r="E1047" s="3" t="s">
        <v>112</v>
      </c>
      <c r="F1047" s="15" t="n">
        <v>1166.16</v>
      </c>
      <c r="G1047" s="15" t="n">
        <v>0</v>
      </c>
      <c r="H1047" s="15" t="n">
        <v>1166.16</v>
      </c>
      <c r="I1047" s="7" t="n">
        <v>1</v>
      </c>
      <c r="J1047" s="7" t="s">
        <v>1922</v>
      </c>
    </row>
    <row r="1048" customFormat="false" ht="15" hidden="false" customHeight="false" outlineLevel="0" collapsed="false">
      <c r="A1048" s="3" t="n">
        <v>6</v>
      </c>
      <c r="B1048" s="24" t="n">
        <v>46174</v>
      </c>
      <c r="C1048" s="3" t="s">
        <v>773</v>
      </c>
      <c r="D1048" s="3" t="s">
        <v>219</v>
      </c>
      <c r="E1048" s="3" t="s">
        <v>130</v>
      </c>
      <c r="F1048" s="15" t="n">
        <v>2422.52</v>
      </c>
      <c r="G1048" s="15" t="n">
        <v>0</v>
      </c>
      <c r="H1048" s="15" t="n">
        <v>2422.52</v>
      </c>
      <c r="I1048" s="7" t="n">
        <v>1</v>
      </c>
      <c r="J1048" s="7" t="s">
        <v>1923</v>
      </c>
    </row>
    <row r="1049" customFormat="false" ht="15" hidden="false" customHeight="false" outlineLevel="0" collapsed="false">
      <c r="A1049" s="3" t="n">
        <v>6</v>
      </c>
      <c r="B1049" s="24" t="n">
        <v>46174</v>
      </c>
      <c r="C1049" s="3" t="s">
        <v>774</v>
      </c>
      <c r="D1049" s="3" t="s">
        <v>219</v>
      </c>
      <c r="E1049" s="3" t="s">
        <v>109</v>
      </c>
      <c r="F1049" s="15" t="n">
        <v>14978.82</v>
      </c>
      <c r="G1049" s="15" t="n">
        <v>0</v>
      </c>
      <c r="H1049" s="15" t="n">
        <v>14978.82</v>
      </c>
      <c r="I1049" s="7" t="n">
        <v>1</v>
      </c>
      <c r="J1049" s="7" t="s">
        <v>1924</v>
      </c>
    </row>
    <row r="1050" customFormat="false" ht="15" hidden="false" customHeight="false" outlineLevel="0" collapsed="false">
      <c r="A1050" s="3" t="n">
        <v>6</v>
      </c>
      <c r="B1050" s="24" t="n">
        <v>46174</v>
      </c>
      <c r="C1050" s="3" t="s">
        <v>775</v>
      </c>
      <c r="D1050" s="3" t="s">
        <v>228</v>
      </c>
      <c r="E1050" s="3" t="s">
        <v>112</v>
      </c>
      <c r="F1050" s="15" t="n">
        <v>1886.7</v>
      </c>
      <c r="G1050" s="15" t="n">
        <v>0</v>
      </c>
      <c r="H1050" s="15" t="n">
        <v>1886.7</v>
      </c>
      <c r="I1050" s="7" t="n">
        <v>1</v>
      </c>
      <c r="J1050" s="7" t="s">
        <v>1925</v>
      </c>
    </row>
    <row r="1051" customFormat="false" ht="15" hidden="false" customHeight="false" outlineLevel="0" collapsed="false">
      <c r="A1051" s="3" t="n">
        <v>6</v>
      </c>
      <c r="B1051" s="24" t="n">
        <v>46174</v>
      </c>
      <c r="C1051" s="3" t="s">
        <v>776</v>
      </c>
      <c r="D1051" s="3" t="s">
        <v>228</v>
      </c>
      <c r="E1051" s="3" t="s">
        <v>122</v>
      </c>
      <c r="F1051" s="15" t="n">
        <v>12278.19</v>
      </c>
      <c r="G1051" s="15" t="n">
        <v>0</v>
      </c>
      <c r="H1051" s="15" t="n">
        <v>12278.19</v>
      </c>
      <c r="I1051" s="7" t="n">
        <v>1</v>
      </c>
      <c r="J1051" s="7" t="s">
        <v>1926</v>
      </c>
    </row>
    <row r="1052" customFormat="false" ht="15" hidden="false" customHeight="false" outlineLevel="0" collapsed="false">
      <c r="A1052" s="3" t="n">
        <v>6</v>
      </c>
      <c r="B1052" s="24" t="n">
        <v>46174</v>
      </c>
      <c r="C1052" s="3" t="s">
        <v>776</v>
      </c>
      <c r="D1052" s="3" t="s">
        <v>228</v>
      </c>
      <c r="E1052" s="3" t="s">
        <v>149</v>
      </c>
      <c r="F1052" s="15" t="n">
        <v>713.9</v>
      </c>
      <c r="G1052" s="15" t="n">
        <v>0</v>
      </c>
      <c r="H1052" s="15" t="n">
        <v>713.9</v>
      </c>
      <c r="I1052" s="7" t="n">
        <v>2</v>
      </c>
      <c r="J1052" s="7" t="s">
        <v>1927</v>
      </c>
    </row>
    <row r="1053" customFormat="false" ht="15" hidden="false" customHeight="false" outlineLevel="0" collapsed="false">
      <c r="A1053" s="3" t="n">
        <v>6</v>
      </c>
      <c r="B1053" s="24" t="n">
        <v>46174</v>
      </c>
      <c r="C1053" s="3" t="s">
        <v>776</v>
      </c>
      <c r="D1053" s="3" t="s">
        <v>228</v>
      </c>
      <c r="E1053" s="3" t="s">
        <v>109</v>
      </c>
      <c r="F1053" s="15" t="n">
        <v>2550.22</v>
      </c>
      <c r="G1053" s="15" t="n">
        <v>0</v>
      </c>
      <c r="H1053" s="15" t="n">
        <v>2550.22</v>
      </c>
      <c r="I1053" s="7" t="n">
        <v>3</v>
      </c>
      <c r="J1053" s="7" t="s">
        <v>1928</v>
      </c>
    </row>
    <row r="1054" customFormat="false" ht="15" hidden="false" customHeight="false" outlineLevel="0" collapsed="false">
      <c r="A1054" s="3" t="n">
        <v>6</v>
      </c>
      <c r="B1054" s="24" t="n">
        <v>46174</v>
      </c>
      <c r="C1054" s="3" t="s">
        <v>777</v>
      </c>
      <c r="D1054" s="3" t="s">
        <v>231</v>
      </c>
      <c r="E1054" s="3" t="s">
        <v>112</v>
      </c>
      <c r="F1054" s="15" t="n">
        <v>4560.64</v>
      </c>
      <c r="G1054" s="15" t="n">
        <v>0</v>
      </c>
      <c r="H1054" s="15" t="n">
        <v>4560.64</v>
      </c>
      <c r="I1054" s="7" t="n">
        <v>1</v>
      </c>
      <c r="J1054" s="7" t="s">
        <v>1929</v>
      </c>
    </row>
    <row r="1055" customFormat="false" ht="15" hidden="false" customHeight="false" outlineLevel="0" collapsed="false">
      <c r="A1055" s="3" t="n">
        <v>6</v>
      </c>
      <c r="B1055" s="24" t="n">
        <v>46174</v>
      </c>
      <c r="C1055" s="3" t="s">
        <v>778</v>
      </c>
      <c r="D1055" s="3" t="s">
        <v>231</v>
      </c>
      <c r="E1055" s="3" t="s">
        <v>134</v>
      </c>
      <c r="F1055" s="15" t="n">
        <v>2483.67</v>
      </c>
      <c r="G1055" s="15" t="n">
        <v>0</v>
      </c>
      <c r="H1055" s="15" t="n">
        <v>2483.67</v>
      </c>
      <c r="I1055" s="7" t="n">
        <v>1</v>
      </c>
      <c r="J1055" s="7" t="s">
        <v>1930</v>
      </c>
    </row>
    <row r="1056" customFormat="false" ht="15" hidden="false" customHeight="false" outlineLevel="0" collapsed="false">
      <c r="A1056" s="3" t="n">
        <v>6</v>
      </c>
      <c r="B1056" s="24" t="n">
        <v>46174</v>
      </c>
      <c r="C1056" s="3" t="s">
        <v>779</v>
      </c>
      <c r="D1056" s="3" t="s">
        <v>237</v>
      </c>
      <c r="E1056" s="3" t="s">
        <v>112</v>
      </c>
      <c r="F1056" s="15" t="n">
        <v>1905.52</v>
      </c>
      <c r="G1056" s="15" t="n">
        <v>0</v>
      </c>
      <c r="H1056" s="15" t="n">
        <v>1905.52</v>
      </c>
      <c r="I1056" s="7" t="n">
        <v>1</v>
      </c>
      <c r="J1056" s="7" t="s">
        <v>1931</v>
      </c>
    </row>
    <row r="1057" customFormat="false" ht="15" hidden="false" customHeight="false" outlineLevel="0" collapsed="false">
      <c r="A1057" s="3" t="n">
        <v>6</v>
      </c>
      <c r="B1057" s="24" t="n">
        <v>46174</v>
      </c>
      <c r="C1057" s="3" t="s">
        <v>780</v>
      </c>
      <c r="D1057" s="3" t="s">
        <v>237</v>
      </c>
      <c r="E1057" s="3" t="s">
        <v>109</v>
      </c>
      <c r="F1057" s="15" t="n">
        <v>32799.59</v>
      </c>
      <c r="G1057" s="15" t="n">
        <v>0</v>
      </c>
      <c r="H1057" s="15" t="n">
        <v>32799.59</v>
      </c>
      <c r="I1057" s="7" t="n">
        <v>1</v>
      </c>
      <c r="J1057" s="7" t="s">
        <v>1932</v>
      </c>
    </row>
    <row r="1058" customFormat="false" ht="15" hidden="false" customHeight="false" outlineLevel="0" collapsed="false">
      <c r="A1058" s="3" t="n">
        <v>6</v>
      </c>
      <c r="B1058" s="24" t="n">
        <v>46174</v>
      </c>
      <c r="C1058" s="3" t="s">
        <v>780</v>
      </c>
      <c r="D1058" s="3" t="s">
        <v>237</v>
      </c>
      <c r="E1058" s="3" t="s">
        <v>133</v>
      </c>
      <c r="F1058" s="15" t="n">
        <v>8158.21</v>
      </c>
      <c r="G1058" s="15" t="n">
        <v>0</v>
      </c>
      <c r="H1058" s="15" t="n">
        <v>8158.21</v>
      </c>
      <c r="I1058" s="7" t="n">
        <v>2</v>
      </c>
      <c r="J1058" s="7" t="s">
        <v>1933</v>
      </c>
    </row>
    <row r="1059" customFormat="false" ht="15" hidden="false" customHeight="false" outlineLevel="0" collapsed="false">
      <c r="A1059" s="3" t="n">
        <v>6</v>
      </c>
      <c r="B1059" s="24" t="n">
        <v>46174</v>
      </c>
      <c r="C1059" s="3" t="s">
        <v>781</v>
      </c>
      <c r="D1059" s="3" t="s">
        <v>237</v>
      </c>
      <c r="E1059" s="3" t="s">
        <v>130</v>
      </c>
      <c r="F1059" s="15" t="n">
        <v>3346.97</v>
      </c>
      <c r="G1059" s="15" t="n">
        <v>0</v>
      </c>
      <c r="H1059" s="15" t="n">
        <v>3346.97</v>
      </c>
      <c r="I1059" s="7" t="n">
        <v>1</v>
      </c>
      <c r="J1059" s="7" t="s">
        <v>1934</v>
      </c>
    </row>
    <row r="1060" customFormat="false" ht="15" hidden="false" customHeight="false" outlineLevel="0" collapsed="false">
      <c r="A1060" s="3" t="n">
        <v>6</v>
      </c>
      <c r="B1060" s="24" t="n">
        <v>46174</v>
      </c>
      <c r="C1060" s="3" t="s">
        <v>782</v>
      </c>
      <c r="D1060" s="3" t="s">
        <v>269</v>
      </c>
      <c r="E1060" s="3" t="s">
        <v>112</v>
      </c>
      <c r="F1060" s="15" t="n">
        <v>10497.01</v>
      </c>
      <c r="G1060" s="15" t="n">
        <v>0</v>
      </c>
      <c r="H1060" s="15" t="n">
        <v>10497.01</v>
      </c>
      <c r="I1060" s="7" t="n">
        <v>1</v>
      </c>
      <c r="J1060" s="7" t="s">
        <v>1935</v>
      </c>
    </row>
    <row r="1061" customFormat="false" ht="15" hidden="false" customHeight="false" outlineLevel="0" collapsed="false">
      <c r="A1061" s="3" t="n">
        <v>6</v>
      </c>
      <c r="B1061" s="24" t="n">
        <v>46174</v>
      </c>
      <c r="C1061" s="3" t="s">
        <v>782</v>
      </c>
      <c r="D1061" s="3" t="s">
        <v>269</v>
      </c>
      <c r="E1061" s="3" t="s">
        <v>164</v>
      </c>
      <c r="F1061" s="15" t="n">
        <v>1823.69</v>
      </c>
      <c r="G1061" s="15" t="n">
        <v>0</v>
      </c>
      <c r="H1061" s="15" t="n">
        <v>1823.69</v>
      </c>
      <c r="I1061" s="7" t="n">
        <v>2</v>
      </c>
      <c r="J1061" s="7" t="s">
        <v>1936</v>
      </c>
    </row>
    <row r="1062" customFormat="false" ht="15" hidden="false" customHeight="false" outlineLevel="0" collapsed="false">
      <c r="A1062" s="3" t="n">
        <v>6</v>
      </c>
      <c r="B1062" s="24" t="n">
        <v>46174</v>
      </c>
      <c r="C1062" s="3" t="s">
        <v>782</v>
      </c>
      <c r="D1062" s="3" t="s">
        <v>269</v>
      </c>
      <c r="E1062" s="3" t="s">
        <v>157</v>
      </c>
      <c r="F1062" s="15" t="n">
        <v>1694.32</v>
      </c>
      <c r="G1062" s="15" t="n">
        <v>0</v>
      </c>
      <c r="H1062" s="15" t="n">
        <v>1694.32</v>
      </c>
      <c r="I1062" s="7" t="n">
        <v>3</v>
      </c>
      <c r="J1062" s="7" t="s">
        <v>1937</v>
      </c>
    </row>
    <row r="1063" customFormat="false" ht="15" hidden="false" customHeight="false" outlineLevel="0" collapsed="false">
      <c r="A1063" s="3" t="n">
        <v>6</v>
      </c>
      <c r="B1063" s="24" t="n">
        <v>46174</v>
      </c>
      <c r="C1063" s="3" t="s">
        <v>782</v>
      </c>
      <c r="D1063" s="3" t="s">
        <v>269</v>
      </c>
      <c r="E1063" s="3" t="s">
        <v>162</v>
      </c>
      <c r="F1063" s="15" t="n">
        <v>2232.19</v>
      </c>
      <c r="G1063" s="15" t="n">
        <v>0</v>
      </c>
      <c r="H1063" s="15" t="n">
        <v>2232.19</v>
      </c>
      <c r="I1063" s="7" t="n">
        <v>4</v>
      </c>
      <c r="J1063" s="7" t="s">
        <v>1938</v>
      </c>
    </row>
    <row r="1064" customFormat="false" ht="15" hidden="false" customHeight="false" outlineLevel="0" collapsed="false">
      <c r="A1064" s="3" t="n">
        <v>6</v>
      </c>
      <c r="B1064" s="24" t="n">
        <v>46174</v>
      </c>
      <c r="C1064" s="3" t="s">
        <v>783</v>
      </c>
      <c r="D1064" s="3" t="s">
        <v>269</v>
      </c>
      <c r="E1064" s="3" t="s">
        <v>136</v>
      </c>
      <c r="F1064" s="15" t="n">
        <v>2713.08</v>
      </c>
      <c r="G1064" s="15" t="n">
        <v>0</v>
      </c>
      <c r="H1064" s="15" t="n">
        <v>2713.08</v>
      </c>
      <c r="I1064" s="7" t="n">
        <v>1</v>
      </c>
      <c r="J1064" s="7" t="s">
        <v>1939</v>
      </c>
    </row>
    <row r="1065" customFormat="false" ht="15" hidden="false" customHeight="false" outlineLevel="0" collapsed="false">
      <c r="A1065" s="3" t="n">
        <v>6</v>
      </c>
      <c r="B1065" s="24" t="n">
        <v>46174</v>
      </c>
      <c r="C1065" s="3" t="s">
        <v>784</v>
      </c>
      <c r="D1065" s="3" t="s">
        <v>269</v>
      </c>
      <c r="E1065" s="3" t="s">
        <v>109</v>
      </c>
      <c r="F1065" s="15" t="n">
        <v>79374.4</v>
      </c>
      <c r="G1065" s="15" t="n">
        <v>0</v>
      </c>
      <c r="H1065" s="15" t="n">
        <v>79374.4</v>
      </c>
      <c r="I1065" s="7" t="n">
        <v>1</v>
      </c>
      <c r="J1065" s="7" t="s">
        <v>1940</v>
      </c>
    </row>
    <row r="1066" customFormat="false" ht="15" hidden="false" customHeight="false" outlineLevel="0" collapsed="false">
      <c r="A1066" s="3" t="n">
        <v>6</v>
      </c>
      <c r="B1066" s="24" t="n">
        <v>46174</v>
      </c>
      <c r="C1066" s="3" t="s">
        <v>784</v>
      </c>
      <c r="D1066" s="3" t="s">
        <v>269</v>
      </c>
      <c r="E1066" s="3" t="s">
        <v>172</v>
      </c>
      <c r="F1066" s="15" t="n">
        <v>1869.66</v>
      </c>
      <c r="G1066" s="15" t="n">
        <v>0</v>
      </c>
      <c r="H1066" s="15" t="n">
        <v>1869.66</v>
      </c>
      <c r="I1066" s="7" t="n">
        <v>2</v>
      </c>
      <c r="J1066" s="7" t="s">
        <v>1941</v>
      </c>
    </row>
    <row r="1067" customFormat="false" ht="15" hidden="false" customHeight="false" outlineLevel="0" collapsed="false">
      <c r="A1067" s="3" t="n">
        <v>6</v>
      </c>
      <c r="B1067" s="24" t="n">
        <v>46174</v>
      </c>
      <c r="C1067" s="3" t="s">
        <v>785</v>
      </c>
      <c r="D1067" s="3" t="s">
        <v>226</v>
      </c>
      <c r="E1067" s="3" t="s">
        <v>112</v>
      </c>
      <c r="F1067" s="15" t="n">
        <v>6238.42</v>
      </c>
      <c r="G1067" s="15" t="n">
        <v>0</v>
      </c>
      <c r="H1067" s="15" t="n">
        <v>6238.42</v>
      </c>
      <c r="I1067" s="7" t="n">
        <v>1</v>
      </c>
      <c r="J1067" s="7" t="s">
        <v>1942</v>
      </c>
    </row>
    <row r="1068" customFormat="false" ht="15" hidden="false" customHeight="false" outlineLevel="0" collapsed="false">
      <c r="A1068" s="3" t="n">
        <v>6</v>
      </c>
      <c r="B1068" s="24" t="n">
        <v>46174</v>
      </c>
      <c r="C1068" s="3" t="s">
        <v>786</v>
      </c>
      <c r="D1068" s="3" t="s">
        <v>226</v>
      </c>
      <c r="E1068" s="3" t="s">
        <v>109</v>
      </c>
      <c r="F1068" s="15" t="n">
        <v>26483.14</v>
      </c>
      <c r="G1068" s="15" t="n">
        <v>0</v>
      </c>
      <c r="H1068" s="15" t="n">
        <v>26483.14</v>
      </c>
      <c r="I1068" s="7" t="n">
        <v>1</v>
      </c>
      <c r="J1068" s="7" t="s">
        <v>1943</v>
      </c>
    </row>
    <row r="1069" customFormat="false" ht="15" hidden="false" customHeight="false" outlineLevel="0" collapsed="false">
      <c r="A1069" s="3" t="n">
        <v>6</v>
      </c>
      <c r="B1069" s="24" t="n">
        <v>46174</v>
      </c>
      <c r="C1069" s="3" t="s">
        <v>786</v>
      </c>
      <c r="D1069" s="3" t="s">
        <v>226</v>
      </c>
      <c r="E1069" s="3" t="s">
        <v>138</v>
      </c>
      <c r="F1069" s="15" t="n">
        <v>1582.37</v>
      </c>
      <c r="G1069" s="15" t="n">
        <v>0</v>
      </c>
      <c r="H1069" s="15" t="n">
        <v>1582.37</v>
      </c>
      <c r="I1069" s="7" t="n">
        <v>2</v>
      </c>
      <c r="J1069" s="7" t="s">
        <v>1944</v>
      </c>
    </row>
    <row r="1070" customFormat="false" ht="15" hidden="false" customHeight="false" outlineLevel="0" collapsed="false">
      <c r="A1070" s="3" t="n">
        <v>6</v>
      </c>
      <c r="B1070" s="24" t="n">
        <v>46174</v>
      </c>
      <c r="C1070" s="3" t="s">
        <v>786</v>
      </c>
      <c r="D1070" s="3" t="s">
        <v>226</v>
      </c>
      <c r="E1070" s="3" t="s">
        <v>163</v>
      </c>
      <c r="F1070" s="15" t="n">
        <v>881.1</v>
      </c>
      <c r="G1070" s="15" t="n">
        <v>0</v>
      </c>
      <c r="H1070" s="15" t="n">
        <v>881.1</v>
      </c>
      <c r="I1070" s="7" t="n">
        <v>3</v>
      </c>
      <c r="J1070" s="7" t="s">
        <v>1945</v>
      </c>
    </row>
    <row r="1071" customFormat="false" ht="15" hidden="false" customHeight="false" outlineLevel="0" collapsed="false">
      <c r="A1071" s="3" t="n">
        <v>6</v>
      </c>
      <c r="B1071" s="24" t="n">
        <v>46174</v>
      </c>
      <c r="C1071" s="3" t="s">
        <v>787</v>
      </c>
      <c r="D1071" s="3" t="s">
        <v>224</v>
      </c>
      <c r="E1071" s="3" t="s">
        <v>152</v>
      </c>
      <c r="F1071" s="15" t="n">
        <v>1218.96</v>
      </c>
      <c r="G1071" s="15" t="n">
        <v>0</v>
      </c>
      <c r="H1071" s="15" t="n">
        <v>1218.96</v>
      </c>
      <c r="I1071" s="7" t="n">
        <v>1</v>
      </c>
      <c r="J1071" s="7" t="s">
        <v>1946</v>
      </c>
    </row>
    <row r="1072" customFormat="false" ht="15" hidden="false" customHeight="false" outlineLevel="0" collapsed="false">
      <c r="A1072" s="3" t="n">
        <v>6</v>
      </c>
      <c r="B1072" s="24" t="n">
        <v>46174</v>
      </c>
      <c r="C1072" s="3" t="s">
        <v>788</v>
      </c>
      <c r="D1072" s="3" t="s">
        <v>224</v>
      </c>
      <c r="E1072" s="3" t="s">
        <v>143</v>
      </c>
      <c r="F1072" s="15" t="n">
        <v>4035.64</v>
      </c>
      <c r="G1072" s="15" t="n">
        <v>0</v>
      </c>
      <c r="H1072" s="15" t="n">
        <v>4035.64</v>
      </c>
      <c r="I1072" s="7" t="n">
        <v>1</v>
      </c>
      <c r="J1072" s="7" t="s">
        <v>1947</v>
      </c>
    </row>
    <row r="1073" customFormat="false" ht="15" hidden="false" customHeight="false" outlineLevel="0" collapsed="false">
      <c r="A1073" s="3" t="n">
        <v>6</v>
      </c>
      <c r="B1073" s="24" t="n">
        <v>46174</v>
      </c>
      <c r="C1073" s="3" t="s">
        <v>789</v>
      </c>
      <c r="D1073" s="3" t="s">
        <v>224</v>
      </c>
      <c r="E1073" s="3" t="s">
        <v>128</v>
      </c>
      <c r="F1073" s="15" t="n">
        <v>5276.7</v>
      </c>
      <c r="G1073" s="15" t="n">
        <v>0</v>
      </c>
      <c r="H1073" s="15" t="n">
        <v>5276.7</v>
      </c>
      <c r="I1073" s="7" t="n">
        <v>1</v>
      </c>
      <c r="J1073" s="7" t="s">
        <v>1948</v>
      </c>
    </row>
    <row r="1074" customFormat="false" ht="15" hidden="false" customHeight="false" outlineLevel="0" collapsed="false">
      <c r="A1074" s="3" t="n">
        <v>6</v>
      </c>
      <c r="B1074" s="24" t="n">
        <v>46174</v>
      </c>
      <c r="C1074" s="3" t="s">
        <v>790</v>
      </c>
      <c r="D1074" s="3" t="s">
        <v>243</v>
      </c>
      <c r="E1074" s="3" t="s">
        <v>112</v>
      </c>
      <c r="F1074" s="15" t="n">
        <v>1172.76</v>
      </c>
      <c r="G1074" s="15" t="n">
        <v>0</v>
      </c>
      <c r="H1074" s="15" t="n">
        <v>1172.76</v>
      </c>
      <c r="I1074" s="7" t="n">
        <v>1</v>
      </c>
      <c r="J1074" s="7" t="s">
        <v>1949</v>
      </c>
    </row>
    <row r="1075" customFormat="false" ht="15" hidden="false" customHeight="false" outlineLevel="0" collapsed="false">
      <c r="A1075" s="3" t="n">
        <v>6</v>
      </c>
      <c r="B1075" s="24" t="n">
        <v>46174</v>
      </c>
      <c r="C1075" s="3" t="s">
        <v>791</v>
      </c>
      <c r="D1075" s="3" t="s">
        <v>246</v>
      </c>
      <c r="E1075" s="3" t="s">
        <v>112</v>
      </c>
      <c r="F1075" s="15" t="n">
        <v>991.16</v>
      </c>
      <c r="G1075" s="15" t="n">
        <v>0</v>
      </c>
      <c r="H1075" s="15" t="n">
        <v>991.16</v>
      </c>
      <c r="I1075" s="7" t="n">
        <v>1</v>
      </c>
      <c r="J1075" s="7" t="s">
        <v>1950</v>
      </c>
    </row>
    <row r="1076" customFormat="false" ht="15" hidden="false" customHeight="false" outlineLevel="0" collapsed="false">
      <c r="A1076" s="3" t="n">
        <v>6</v>
      </c>
      <c r="B1076" s="24" t="n">
        <v>46174</v>
      </c>
      <c r="C1076" s="3" t="s">
        <v>792</v>
      </c>
      <c r="D1076" s="3" t="s">
        <v>252</v>
      </c>
      <c r="E1076" s="3" t="s">
        <v>166</v>
      </c>
      <c r="F1076" s="15" t="n">
        <v>1067.16</v>
      </c>
      <c r="G1076" s="15" t="n">
        <v>0</v>
      </c>
      <c r="H1076" s="15" t="n">
        <v>1067.16</v>
      </c>
      <c r="I1076" s="7" t="n">
        <v>1</v>
      </c>
      <c r="J1076" s="7" t="s">
        <v>1951</v>
      </c>
    </row>
    <row r="1077" customFormat="false" ht="15" hidden="false" customHeight="false" outlineLevel="0" collapsed="false">
      <c r="A1077" s="3" t="n">
        <v>6</v>
      </c>
      <c r="B1077" s="24" t="n">
        <v>46174</v>
      </c>
      <c r="C1077" s="3" t="s">
        <v>793</v>
      </c>
      <c r="D1077" s="3" t="s">
        <v>252</v>
      </c>
      <c r="E1077" s="3" t="s">
        <v>112</v>
      </c>
      <c r="F1077" s="15" t="n">
        <v>891.16</v>
      </c>
      <c r="G1077" s="15" t="n">
        <v>0</v>
      </c>
      <c r="H1077" s="15" t="n">
        <v>891.16</v>
      </c>
      <c r="I1077" s="7" t="n">
        <v>1</v>
      </c>
      <c r="J1077" s="7" t="s">
        <v>1952</v>
      </c>
    </row>
    <row r="1078" customFormat="false" ht="15" hidden="false" customHeight="false" outlineLevel="0" collapsed="false">
      <c r="A1078" s="3" t="n">
        <v>6</v>
      </c>
      <c r="B1078" s="24" t="n">
        <v>46174</v>
      </c>
      <c r="C1078" s="3" t="s">
        <v>794</v>
      </c>
      <c r="D1078" s="3" t="s">
        <v>255</v>
      </c>
      <c r="E1078" s="3" t="s">
        <v>168</v>
      </c>
      <c r="F1078" s="15" t="n">
        <v>50</v>
      </c>
      <c r="G1078" s="15" t="n">
        <v>0</v>
      </c>
      <c r="H1078" s="15" t="n">
        <v>50</v>
      </c>
      <c r="I1078" s="7" t="n">
        <v>1</v>
      </c>
      <c r="J1078" s="7" t="s">
        <v>1953</v>
      </c>
    </row>
    <row r="1079" customFormat="false" ht="15" hidden="false" customHeight="false" outlineLevel="0" collapsed="false">
      <c r="A1079" s="3" t="n">
        <v>6</v>
      </c>
      <c r="B1079" s="24" t="n">
        <v>46174</v>
      </c>
      <c r="C1079" s="3" t="s">
        <v>794</v>
      </c>
      <c r="D1079" s="3" t="s">
        <v>255</v>
      </c>
      <c r="E1079" s="3" t="s">
        <v>112</v>
      </c>
      <c r="F1079" s="15" t="n">
        <v>952.76</v>
      </c>
      <c r="G1079" s="15" t="n">
        <v>0</v>
      </c>
      <c r="H1079" s="15" t="n">
        <v>952.76</v>
      </c>
      <c r="I1079" s="7" t="n">
        <v>2</v>
      </c>
      <c r="J1079" s="7" t="s">
        <v>1954</v>
      </c>
    </row>
    <row r="1080" customFormat="false" ht="15" hidden="false" customHeight="false" outlineLevel="0" collapsed="false">
      <c r="A1080" s="3" t="n">
        <v>6</v>
      </c>
      <c r="B1080" s="24" t="n">
        <v>46174</v>
      </c>
      <c r="C1080" s="3" t="s">
        <v>795</v>
      </c>
      <c r="D1080" s="3" t="s">
        <v>258</v>
      </c>
      <c r="E1080" s="3" t="s">
        <v>128</v>
      </c>
      <c r="F1080" s="15" t="n">
        <v>32</v>
      </c>
      <c r="G1080" s="15" t="n">
        <v>0</v>
      </c>
      <c r="H1080" s="15" t="n">
        <v>32</v>
      </c>
      <c r="I1080" s="7" t="n">
        <v>1</v>
      </c>
      <c r="J1080" s="7" t="s">
        <v>1955</v>
      </c>
    </row>
    <row r="1081" customFormat="false" ht="15" hidden="false" customHeight="false" outlineLevel="0" collapsed="false">
      <c r="A1081" s="3" t="n">
        <v>6</v>
      </c>
      <c r="B1081" s="24" t="n">
        <v>46174</v>
      </c>
      <c r="C1081" s="3" t="s">
        <v>795</v>
      </c>
      <c r="D1081" s="3" t="s">
        <v>258</v>
      </c>
      <c r="E1081" s="3" t="s">
        <v>146</v>
      </c>
      <c r="F1081" s="15" t="n">
        <v>711.26</v>
      </c>
      <c r="G1081" s="15" t="n">
        <v>0</v>
      </c>
      <c r="H1081" s="15" t="n">
        <v>711.26</v>
      </c>
      <c r="I1081" s="7" t="n">
        <v>2</v>
      </c>
      <c r="J1081" s="7" t="s">
        <v>1956</v>
      </c>
    </row>
    <row r="1082" customFormat="false" ht="15" hidden="false" customHeight="false" outlineLevel="0" collapsed="false">
      <c r="A1082" s="3" t="n">
        <v>6</v>
      </c>
      <c r="B1082" s="24" t="n">
        <v>46174</v>
      </c>
      <c r="C1082" s="3" t="s">
        <v>796</v>
      </c>
      <c r="D1082" s="3" t="s">
        <v>261</v>
      </c>
      <c r="E1082" s="3" t="s">
        <v>112</v>
      </c>
      <c r="F1082" s="15" t="n">
        <v>939.56</v>
      </c>
      <c r="G1082" s="15" t="n">
        <v>0</v>
      </c>
      <c r="H1082" s="15" t="n">
        <v>939.56</v>
      </c>
      <c r="I1082" s="7" t="n">
        <v>1</v>
      </c>
      <c r="J1082" s="7" t="s">
        <v>1957</v>
      </c>
    </row>
    <row r="1083" customFormat="false" ht="15" hidden="false" customHeight="false" outlineLevel="0" collapsed="false">
      <c r="A1083" s="3" t="n">
        <v>6</v>
      </c>
      <c r="B1083" s="24" t="n">
        <v>46174</v>
      </c>
      <c r="C1083" s="3" t="s">
        <v>797</v>
      </c>
      <c r="D1083" s="3" t="s">
        <v>222</v>
      </c>
      <c r="E1083" s="3" t="s">
        <v>118</v>
      </c>
      <c r="F1083" s="15" t="n">
        <v>1485.4</v>
      </c>
      <c r="G1083" s="15" t="n">
        <v>0</v>
      </c>
      <c r="H1083" s="15" t="n">
        <v>1485.4</v>
      </c>
      <c r="I1083" s="7" t="n">
        <v>1</v>
      </c>
      <c r="J1083" s="7" t="s">
        <v>1958</v>
      </c>
    </row>
    <row r="1084" customFormat="false" ht="15" hidden="false" customHeight="false" outlineLevel="0" collapsed="false">
      <c r="A1084" s="3" t="n">
        <v>6</v>
      </c>
      <c r="B1084" s="24" t="n">
        <v>46174</v>
      </c>
      <c r="C1084" s="3" t="s">
        <v>797</v>
      </c>
      <c r="D1084" s="3" t="s">
        <v>222</v>
      </c>
      <c r="E1084" s="3" t="s">
        <v>113</v>
      </c>
      <c r="F1084" s="15" t="n">
        <v>13132.4</v>
      </c>
      <c r="G1084" s="15" t="n">
        <v>0</v>
      </c>
      <c r="H1084" s="15" t="n">
        <v>13132.4</v>
      </c>
      <c r="I1084" s="7" t="n">
        <v>2</v>
      </c>
      <c r="J1084" s="7" t="s">
        <v>1959</v>
      </c>
    </row>
    <row r="1085" customFormat="false" ht="15" hidden="false" customHeight="false" outlineLevel="0" collapsed="false">
      <c r="A1085" s="3" t="n">
        <v>6</v>
      </c>
      <c r="B1085" s="24" t="n">
        <v>46174</v>
      </c>
      <c r="C1085" s="3" t="s">
        <v>797</v>
      </c>
      <c r="D1085" s="3" t="s">
        <v>222</v>
      </c>
      <c r="E1085" s="3" t="s">
        <v>111</v>
      </c>
      <c r="F1085" s="15" t="n">
        <v>10175.1</v>
      </c>
      <c r="G1085" s="15" t="n">
        <v>0</v>
      </c>
      <c r="H1085" s="15" t="n">
        <v>10175.1</v>
      </c>
      <c r="I1085" s="7" t="n">
        <v>3</v>
      </c>
      <c r="J1085" s="7" t="s">
        <v>1960</v>
      </c>
    </row>
    <row r="1086" customFormat="false" ht="15" hidden="false" customHeight="false" outlineLevel="0" collapsed="false">
      <c r="A1086" s="3" t="n">
        <v>6</v>
      </c>
      <c r="B1086" s="24" t="n">
        <v>46174</v>
      </c>
      <c r="C1086" s="3" t="s">
        <v>797</v>
      </c>
      <c r="D1086" s="3" t="s">
        <v>222</v>
      </c>
      <c r="E1086" s="3" t="s">
        <v>114</v>
      </c>
      <c r="F1086" s="15" t="n">
        <v>11865.8</v>
      </c>
      <c r="G1086" s="15" t="n">
        <v>0</v>
      </c>
      <c r="H1086" s="15" t="n">
        <v>11865.8</v>
      </c>
      <c r="I1086" s="7" t="n">
        <v>4</v>
      </c>
      <c r="J1086" s="7" t="s">
        <v>1961</v>
      </c>
    </row>
    <row r="1087" customFormat="false" ht="15" hidden="false" customHeight="false" outlineLevel="0" collapsed="false">
      <c r="A1087" s="3" t="n">
        <v>6</v>
      </c>
      <c r="B1087" s="24" t="n">
        <v>46174</v>
      </c>
      <c r="C1087" s="3" t="s">
        <v>798</v>
      </c>
      <c r="D1087" s="3" t="s">
        <v>222</v>
      </c>
      <c r="E1087" s="3" t="s">
        <v>140</v>
      </c>
      <c r="F1087" s="15" t="n">
        <v>579.36</v>
      </c>
      <c r="G1087" s="15" t="n">
        <v>0</v>
      </c>
      <c r="H1087" s="15" t="n">
        <v>579.36</v>
      </c>
      <c r="I1087" s="7" t="n">
        <v>1</v>
      </c>
      <c r="J1087" s="7" t="s">
        <v>1962</v>
      </c>
    </row>
    <row r="1088" customFormat="false" ht="15" hidden="false" customHeight="false" outlineLevel="0" collapsed="false">
      <c r="A1088" s="3" t="n">
        <v>6</v>
      </c>
      <c r="B1088" s="24" t="n">
        <v>46174</v>
      </c>
      <c r="C1088" s="3" t="s">
        <v>799</v>
      </c>
      <c r="D1088" s="3" t="s">
        <v>222</v>
      </c>
      <c r="E1088" s="3" t="s">
        <v>118</v>
      </c>
      <c r="F1088" s="15" t="n">
        <v>57.98</v>
      </c>
      <c r="G1088" s="15" t="n">
        <v>0</v>
      </c>
      <c r="H1088" s="15" t="n">
        <v>57.98</v>
      </c>
      <c r="I1088" s="7" t="n">
        <v>1</v>
      </c>
      <c r="J1088" s="7" t="s">
        <v>1963</v>
      </c>
    </row>
    <row r="1089" customFormat="false" ht="15" hidden="false" customHeight="false" outlineLevel="0" collapsed="false">
      <c r="A1089" s="3" t="n">
        <v>6</v>
      </c>
      <c r="B1089" s="24" t="n">
        <v>46174</v>
      </c>
      <c r="C1089" s="3" t="s">
        <v>799</v>
      </c>
      <c r="D1089" s="3" t="s">
        <v>222</v>
      </c>
      <c r="E1089" s="3" t="s">
        <v>113</v>
      </c>
      <c r="F1089" s="15" t="n">
        <v>1017.51</v>
      </c>
      <c r="G1089" s="15" t="n">
        <v>0</v>
      </c>
      <c r="H1089" s="15" t="n">
        <v>1017.51</v>
      </c>
      <c r="I1089" s="7" t="n">
        <v>2</v>
      </c>
      <c r="J1089" s="7" t="s">
        <v>1964</v>
      </c>
    </row>
    <row r="1090" customFormat="false" ht="15" hidden="false" customHeight="false" outlineLevel="0" collapsed="false">
      <c r="A1090" s="3" t="n">
        <v>6</v>
      </c>
      <c r="B1090" s="24" t="n">
        <v>46174</v>
      </c>
      <c r="C1090" s="3" t="s">
        <v>799</v>
      </c>
      <c r="D1090" s="3" t="s">
        <v>222</v>
      </c>
      <c r="E1090" s="3" t="s">
        <v>111</v>
      </c>
      <c r="F1090" s="15" t="n">
        <v>1235.78</v>
      </c>
      <c r="G1090" s="15" t="n">
        <v>0</v>
      </c>
      <c r="H1090" s="15" t="n">
        <v>1235.78</v>
      </c>
      <c r="I1090" s="7" t="n">
        <v>3</v>
      </c>
      <c r="J1090" s="7" t="s">
        <v>1965</v>
      </c>
    </row>
    <row r="1091" customFormat="false" ht="15" hidden="false" customHeight="false" outlineLevel="0" collapsed="false">
      <c r="A1091" s="3" t="n">
        <v>6</v>
      </c>
      <c r="B1091" s="24" t="n">
        <v>46174</v>
      </c>
      <c r="C1091" s="3" t="s">
        <v>799</v>
      </c>
      <c r="D1091" s="3" t="s">
        <v>222</v>
      </c>
      <c r="E1091" s="3" t="s">
        <v>114</v>
      </c>
      <c r="F1091" s="15" t="n">
        <v>2479.55</v>
      </c>
      <c r="G1091" s="15" t="n">
        <v>0</v>
      </c>
      <c r="H1091" s="15" t="n">
        <v>2479.55</v>
      </c>
      <c r="I1091" s="7" t="n">
        <v>4</v>
      </c>
      <c r="J1091" s="7" t="s">
        <v>1966</v>
      </c>
    </row>
    <row r="1092" customFormat="false" ht="15" hidden="false" customHeight="false" outlineLevel="0" collapsed="false">
      <c r="A1092" s="3" t="n">
        <v>6</v>
      </c>
      <c r="B1092" s="24" t="n">
        <v>46174</v>
      </c>
      <c r="C1092" s="3" t="s">
        <v>800</v>
      </c>
      <c r="D1092" s="3" t="s">
        <v>222</v>
      </c>
      <c r="E1092" s="3" t="s">
        <v>124</v>
      </c>
      <c r="F1092" s="15" t="n">
        <v>747.18</v>
      </c>
      <c r="G1092" s="15" t="n">
        <v>0</v>
      </c>
      <c r="H1092" s="15" t="n">
        <v>747.18</v>
      </c>
      <c r="I1092" s="7" t="n">
        <v>1</v>
      </c>
      <c r="J1092" s="7" t="s">
        <v>1967</v>
      </c>
    </row>
    <row r="1093" customFormat="false" ht="15" hidden="false" customHeight="false" outlineLevel="0" collapsed="false">
      <c r="A1093" s="3" t="n">
        <v>6</v>
      </c>
      <c r="B1093" s="24" t="n">
        <v>46174</v>
      </c>
      <c r="C1093" s="3" t="s">
        <v>800</v>
      </c>
      <c r="D1093" s="3" t="s">
        <v>222</v>
      </c>
      <c r="E1093" s="3" t="s">
        <v>125</v>
      </c>
      <c r="F1093" s="15" t="n">
        <v>723.35</v>
      </c>
      <c r="G1093" s="15" t="n">
        <v>0</v>
      </c>
      <c r="H1093" s="15" t="n">
        <v>723.35</v>
      </c>
      <c r="I1093" s="7" t="n">
        <v>2</v>
      </c>
      <c r="J1093" s="7" t="s">
        <v>1968</v>
      </c>
    </row>
    <row r="1094" customFormat="false" ht="15" hidden="false" customHeight="false" outlineLevel="0" collapsed="false">
      <c r="A1094" s="3" t="n">
        <v>6</v>
      </c>
      <c r="B1094" s="24" t="n">
        <v>46174</v>
      </c>
      <c r="C1094" s="3" t="s">
        <v>800</v>
      </c>
      <c r="D1094" s="3" t="s">
        <v>222</v>
      </c>
      <c r="E1094" s="3" t="s">
        <v>116</v>
      </c>
      <c r="F1094" s="15" t="n">
        <v>673.75</v>
      </c>
      <c r="G1094" s="15" t="n">
        <v>0</v>
      </c>
      <c r="H1094" s="15" t="n">
        <v>673.75</v>
      </c>
      <c r="I1094" s="7" t="n">
        <v>3</v>
      </c>
      <c r="J1094" s="7" t="s">
        <v>1969</v>
      </c>
    </row>
    <row r="1095" customFormat="false" ht="15" hidden="false" customHeight="false" outlineLevel="0" collapsed="false">
      <c r="A1095" s="3" t="n">
        <v>6</v>
      </c>
      <c r="B1095" s="24" t="n">
        <v>46174</v>
      </c>
      <c r="C1095" s="3" t="s">
        <v>800</v>
      </c>
      <c r="D1095" s="3" t="s">
        <v>222</v>
      </c>
      <c r="E1095" s="3" t="s">
        <v>115</v>
      </c>
      <c r="F1095" s="15" t="n">
        <v>144.67</v>
      </c>
      <c r="G1095" s="15" t="n">
        <v>0</v>
      </c>
      <c r="H1095" s="15" t="n">
        <v>144.67</v>
      </c>
      <c r="I1095" s="7" t="n">
        <v>4</v>
      </c>
      <c r="J1095" s="7" t="s">
        <v>1970</v>
      </c>
    </row>
    <row r="1096" customFormat="false" ht="15" hidden="false" customHeight="false" outlineLevel="0" collapsed="false">
      <c r="A1096" s="3" t="n">
        <v>6</v>
      </c>
      <c r="B1096" s="24" t="n">
        <v>46174</v>
      </c>
      <c r="C1096" s="3" t="s">
        <v>800</v>
      </c>
      <c r="D1096" s="3" t="s">
        <v>222</v>
      </c>
      <c r="E1096" s="3" t="s">
        <v>117</v>
      </c>
      <c r="F1096" s="15" t="n">
        <v>367.14</v>
      </c>
      <c r="G1096" s="15" t="n">
        <v>0</v>
      </c>
      <c r="H1096" s="15" t="n">
        <v>367.14</v>
      </c>
      <c r="I1096" s="7" t="n">
        <v>5</v>
      </c>
      <c r="J1096" s="7" t="s">
        <v>1971</v>
      </c>
    </row>
    <row r="1097" customFormat="false" ht="15" hidden="false" customHeight="false" outlineLevel="0" collapsed="false">
      <c r="A1097" s="3" t="n">
        <v>6</v>
      </c>
      <c r="B1097" s="24" t="n">
        <v>46174</v>
      </c>
      <c r="C1097" s="3" t="s">
        <v>800</v>
      </c>
      <c r="D1097" s="3" t="s">
        <v>222</v>
      </c>
      <c r="E1097" s="3" t="s">
        <v>108</v>
      </c>
      <c r="F1097" s="15" t="n">
        <v>1932.91</v>
      </c>
      <c r="G1097" s="15" t="n">
        <v>0</v>
      </c>
      <c r="H1097" s="15" t="n">
        <v>1932.91</v>
      </c>
      <c r="I1097" s="7" t="n">
        <v>6</v>
      </c>
      <c r="J1097" s="7" t="s">
        <v>1972</v>
      </c>
    </row>
    <row r="1098" customFormat="false" ht="15" hidden="false" customHeight="false" outlineLevel="0" collapsed="false">
      <c r="A1098" s="3" t="n">
        <v>6</v>
      </c>
      <c r="B1098" s="24" t="n">
        <v>46174</v>
      </c>
      <c r="C1098" s="3" t="s">
        <v>800</v>
      </c>
      <c r="D1098" s="3" t="s">
        <v>222</v>
      </c>
      <c r="E1098" s="3" t="s">
        <v>110</v>
      </c>
      <c r="F1098" s="15" t="n">
        <v>812.71</v>
      </c>
      <c r="G1098" s="15" t="n">
        <v>0</v>
      </c>
      <c r="H1098" s="15" t="n">
        <v>812.71</v>
      </c>
      <c r="I1098" s="7" t="n">
        <v>7</v>
      </c>
      <c r="J1098" s="7" t="s">
        <v>1973</v>
      </c>
    </row>
    <row r="1099" customFormat="false" ht="15" hidden="false" customHeight="false" outlineLevel="0" collapsed="false">
      <c r="A1099" s="3" t="n">
        <v>6</v>
      </c>
      <c r="B1099" s="24" t="n">
        <v>46174</v>
      </c>
      <c r="C1099" s="3" t="s">
        <v>800</v>
      </c>
      <c r="D1099" s="3" t="s">
        <v>222</v>
      </c>
      <c r="E1099" s="3" t="s">
        <v>121</v>
      </c>
      <c r="F1099" s="15" t="n">
        <v>514.01</v>
      </c>
      <c r="G1099" s="15" t="n">
        <v>0</v>
      </c>
      <c r="H1099" s="15" t="n">
        <v>514.01</v>
      </c>
      <c r="I1099" s="7" t="n">
        <v>8</v>
      </c>
      <c r="J1099" s="7" t="s">
        <v>1974</v>
      </c>
    </row>
    <row r="1100" customFormat="false" ht="15" hidden="false" customHeight="false" outlineLevel="0" collapsed="false">
      <c r="A1100" s="3" t="n">
        <v>6</v>
      </c>
      <c r="B1100" s="24" t="n">
        <v>46174</v>
      </c>
      <c r="C1100" s="3" t="s">
        <v>801</v>
      </c>
      <c r="D1100" s="3" t="s">
        <v>224</v>
      </c>
      <c r="E1100" s="3" t="s">
        <v>143</v>
      </c>
      <c r="F1100" s="15" t="n">
        <v>9376.68</v>
      </c>
      <c r="G1100" s="15" t="n">
        <v>3351.32</v>
      </c>
      <c r="H1100" s="15" t="n">
        <v>12728</v>
      </c>
      <c r="I1100" s="7" t="n">
        <v>1</v>
      </c>
      <c r="J1100" s="7" t="s">
        <v>1975</v>
      </c>
    </row>
    <row r="1101" customFormat="false" ht="15" hidden="false" customHeight="false" outlineLevel="0" collapsed="false">
      <c r="A1101" s="3" t="n">
        <v>6</v>
      </c>
      <c r="B1101" s="24" t="n">
        <v>46174</v>
      </c>
      <c r="C1101" s="3" t="s">
        <v>802</v>
      </c>
      <c r="D1101" s="3" t="s">
        <v>222</v>
      </c>
      <c r="E1101" s="3" t="s">
        <v>118</v>
      </c>
      <c r="F1101" s="15" t="n">
        <v>48566.56</v>
      </c>
      <c r="G1101" s="15" t="n">
        <v>17124.22</v>
      </c>
      <c r="H1101" s="15" t="n">
        <v>65690.78</v>
      </c>
      <c r="I1101" s="7" t="n">
        <v>1</v>
      </c>
      <c r="J1101" s="7" t="s">
        <v>1976</v>
      </c>
    </row>
    <row r="1102" customFormat="false" ht="15" hidden="false" customHeight="false" outlineLevel="0" collapsed="false">
      <c r="A1102" s="3" t="n">
        <v>6</v>
      </c>
      <c r="B1102" s="24" t="n">
        <v>46174</v>
      </c>
      <c r="C1102" s="3" t="s">
        <v>802</v>
      </c>
      <c r="D1102" s="3" t="s">
        <v>222</v>
      </c>
      <c r="E1102" s="3" t="s">
        <v>113</v>
      </c>
      <c r="F1102" s="15" t="n">
        <v>126957.3</v>
      </c>
      <c r="G1102" s="15" t="n">
        <v>45180.41</v>
      </c>
      <c r="H1102" s="15" t="n">
        <v>172137.71</v>
      </c>
      <c r="I1102" s="7" t="n">
        <v>2</v>
      </c>
      <c r="J1102" s="7" t="s">
        <v>1977</v>
      </c>
    </row>
    <row r="1103" customFormat="false" ht="15" hidden="false" customHeight="false" outlineLevel="0" collapsed="false">
      <c r="A1103" s="3" t="n">
        <v>6</v>
      </c>
      <c r="B1103" s="24" t="n">
        <v>46174</v>
      </c>
      <c r="C1103" s="3" t="s">
        <v>802</v>
      </c>
      <c r="D1103" s="3" t="s">
        <v>222</v>
      </c>
      <c r="E1103" s="3" t="s">
        <v>111</v>
      </c>
      <c r="F1103" s="15" t="n">
        <v>140923.58</v>
      </c>
      <c r="G1103" s="15" t="n">
        <v>49647</v>
      </c>
      <c r="H1103" s="15" t="n">
        <v>190570.58</v>
      </c>
      <c r="I1103" s="7" t="n">
        <v>3</v>
      </c>
      <c r="J1103" s="7" t="s">
        <v>1978</v>
      </c>
    </row>
    <row r="1104" customFormat="false" ht="15" hidden="false" customHeight="false" outlineLevel="0" collapsed="false">
      <c r="A1104" s="3" t="n">
        <v>6</v>
      </c>
      <c r="B1104" s="24" t="n">
        <v>46174</v>
      </c>
      <c r="C1104" s="3" t="s">
        <v>802</v>
      </c>
      <c r="D1104" s="3" t="s">
        <v>222</v>
      </c>
      <c r="E1104" s="3" t="s">
        <v>114</v>
      </c>
      <c r="F1104" s="15" t="n">
        <v>149270.29</v>
      </c>
      <c r="G1104" s="15" t="n">
        <v>52745.77</v>
      </c>
      <c r="H1104" s="15" t="n">
        <v>202016.06</v>
      </c>
      <c r="I1104" s="7" t="n">
        <v>4</v>
      </c>
      <c r="J1104" s="7" t="s">
        <v>1979</v>
      </c>
    </row>
    <row r="1105" customFormat="false" ht="15" hidden="false" customHeight="false" outlineLevel="0" collapsed="false">
      <c r="A1105" s="3" t="n">
        <v>6</v>
      </c>
      <c r="B1105" s="24" t="n">
        <v>46174</v>
      </c>
      <c r="C1105" s="3" t="s">
        <v>803</v>
      </c>
      <c r="D1105" s="3" t="s">
        <v>222</v>
      </c>
      <c r="E1105" s="3" t="s">
        <v>124</v>
      </c>
      <c r="F1105" s="15" t="n">
        <v>44838.54</v>
      </c>
      <c r="G1105" s="15" t="n">
        <v>15758.43</v>
      </c>
      <c r="H1105" s="15" t="n">
        <v>60596.97</v>
      </c>
      <c r="I1105" s="7" t="n">
        <v>1</v>
      </c>
      <c r="J1105" s="7" t="s">
        <v>1980</v>
      </c>
    </row>
    <row r="1106" customFormat="false" ht="15" hidden="false" customHeight="false" outlineLevel="0" collapsed="false">
      <c r="A1106" s="3" t="n">
        <v>6</v>
      </c>
      <c r="B1106" s="24" t="n">
        <v>46174</v>
      </c>
      <c r="C1106" s="3" t="s">
        <v>803</v>
      </c>
      <c r="D1106" s="3" t="s">
        <v>222</v>
      </c>
      <c r="E1106" s="3" t="s">
        <v>125</v>
      </c>
      <c r="F1106" s="15" t="n">
        <v>22400.39</v>
      </c>
      <c r="G1106" s="15" t="n">
        <v>8065.09</v>
      </c>
      <c r="H1106" s="15" t="n">
        <v>30465.48</v>
      </c>
      <c r="I1106" s="7" t="n">
        <v>2</v>
      </c>
      <c r="J1106" s="7" t="s">
        <v>1981</v>
      </c>
    </row>
    <row r="1107" customFormat="false" ht="15" hidden="false" customHeight="false" outlineLevel="0" collapsed="false">
      <c r="A1107" s="3" t="n">
        <v>6</v>
      </c>
      <c r="B1107" s="24" t="n">
        <v>46174</v>
      </c>
      <c r="C1107" s="3" t="s">
        <v>803</v>
      </c>
      <c r="D1107" s="3" t="s">
        <v>222</v>
      </c>
      <c r="E1107" s="3" t="s">
        <v>123</v>
      </c>
      <c r="F1107" s="15" t="n">
        <v>-9054</v>
      </c>
      <c r="G1107" s="15" t="n">
        <v>-2717.06</v>
      </c>
      <c r="H1107" s="15" t="n">
        <v>-11771.06</v>
      </c>
      <c r="I1107" s="7" t="n">
        <v>3</v>
      </c>
      <c r="J1107" s="7" t="s">
        <v>1982</v>
      </c>
    </row>
    <row r="1108" customFormat="false" ht="15" hidden="false" customHeight="false" outlineLevel="0" collapsed="false">
      <c r="A1108" s="3" t="n">
        <v>6</v>
      </c>
      <c r="B1108" s="24" t="n">
        <v>46174</v>
      </c>
      <c r="C1108" s="3" t="s">
        <v>803</v>
      </c>
      <c r="D1108" s="3" t="s">
        <v>222</v>
      </c>
      <c r="E1108" s="3" t="s">
        <v>131</v>
      </c>
      <c r="F1108" s="15" t="n">
        <v>11207.12</v>
      </c>
      <c r="G1108" s="15" t="n">
        <v>3981.18</v>
      </c>
      <c r="H1108" s="15" t="n">
        <v>15188.3</v>
      </c>
      <c r="I1108" s="7" t="n">
        <v>4</v>
      </c>
      <c r="J1108" s="7" t="s">
        <v>1983</v>
      </c>
    </row>
    <row r="1109" customFormat="false" ht="15" hidden="false" customHeight="false" outlineLevel="0" collapsed="false">
      <c r="A1109" s="3" t="n">
        <v>6</v>
      </c>
      <c r="B1109" s="24" t="n">
        <v>46174</v>
      </c>
      <c r="C1109" s="3" t="s">
        <v>803</v>
      </c>
      <c r="D1109" s="3" t="s">
        <v>222</v>
      </c>
      <c r="E1109" s="3" t="s">
        <v>116</v>
      </c>
      <c r="F1109" s="15" t="n">
        <v>80048.31</v>
      </c>
      <c r="G1109" s="15" t="n">
        <v>28225.97</v>
      </c>
      <c r="H1109" s="15" t="n">
        <v>108274.28</v>
      </c>
      <c r="I1109" s="7" t="n">
        <v>5</v>
      </c>
      <c r="J1109" s="7" t="s">
        <v>1984</v>
      </c>
    </row>
    <row r="1110" customFormat="false" ht="15" hidden="false" customHeight="false" outlineLevel="0" collapsed="false">
      <c r="A1110" s="3" t="n">
        <v>6</v>
      </c>
      <c r="B1110" s="24" t="n">
        <v>46174</v>
      </c>
      <c r="C1110" s="3" t="s">
        <v>803</v>
      </c>
      <c r="D1110" s="3" t="s">
        <v>222</v>
      </c>
      <c r="E1110" s="3" t="s">
        <v>115</v>
      </c>
      <c r="F1110" s="15" t="n">
        <v>61170.34</v>
      </c>
      <c r="G1110" s="15" t="n">
        <v>21416.94</v>
      </c>
      <c r="H1110" s="15" t="n">
        <v>82587.28</v>
      </c>
      <c r="I1110" s="7" t="n">
        <v>6</v>
      </c>
      <c r="J1110" s="7" t="s">
        <v>1985</v>
      </c>
    </row>
    <row r="1111" customFormat="false" ht="15" hidden="false" customHeight="false" outlineLevel="0" collapsed="false">
      <c r="A1111" s="3" t="n">
        <v>6</v>
      </c>
      <c r="B1111" s="24" t="n">
        <v>46174</v>
      </c>
      <c r="C1111" s="3" t="s">
        <v>803</v>
      </c>
      <c r="D1111" s="3" t="s">
        <v>222</v>
      </c>
      <c r="E1111" s="3" t="s">
        <v>117</v>
      </c>
      <c r="F1111" s="15" t="n">
        <v>92902.61</v>
      </c>
      <c r="G1111" s="15" t="n">
        <v>32714.09</v>
      </c>
      <c r="H1111" s="15" t="n">
        <v>125616.7</v>
      </c>
      <c r="I1111" s="7" t="n">
        <v>7</v>
      </c>
      <c r="J1111" s="7" t="s">
        <v>1986</v>
      </c>
    </row>
    <row r="1112" customFormat="false" ht="15" hidden="false" customHeight="false" outlineLevel="0" collapsed="false">
      <c r="A1112" s="3" t="n">
        <v>6</v>
      </c>
      <c r="B1112" s="24" t="n">
        <v>46174</v>
      </c>
      <c r="C1112" s="3" t="s">
        <v>803</v>
      </c>
      <c r="D1112" s="3" t="s">
        <v>222</v>
      </c>
      <c r="E1112" s="3" t="s">
        <v>150</v>
      </c>
      <c r="F1112" s="15" t="n">
        <v>3143.9</v>
      </c>
      <c r="G1112" s="15" t="n">
        <v>1112.2</v>
      </c>
      <c r="H1112" s="15" t="n">
        <v>4256.1</v>
      </c>
      <c r="I1112" s="7" t="n">
        <v>8</v>
      </c>
      <c r="J1112" s="7" t="s">
        <v>1987</v>
      </c>
    </row>
    <row r="1113" customFormat="false" ht="15" hidden="false" customHeight="false" outlineLevel="0" collapsed="false">
      <c r="A1113" s="3" t="n">
        <v>6</v>
      </c>
      <c r="B1113" s="24" t="n">
        <v>46174</v>
      </c>
      <c r="C1113" s="3" t="s">
        <v>803</v>
      </c>
      <c r="D1113" s="3" t="s">
        <v>222</v>
      </c>
      <c r="E1113" s="3" t="s">
        <v>108</v>
      </c>
      <c r="F1113" s="15" t="n">
        <v>44214.02</v>
      </c>
      <c r="G1113" s="15" t="n">
        <v>16919.6</v>
      </c>
      <c r="H1113" s="15" t="n">
        <v>61133.62</v>
      </c>
      <c r="I1113" s="7" t="n">
        <v>9</v>
      </c>
      <c r="J1113" s="7" t="s">
        <v>1988</v>
      </c>
    </row>
    <row r="1114" customFormat="false" ht="15" hidden="false" customHeight="false" outlineLevel="0" collapsed="false">
      <c r="A1114" s="3" t="n">
        <v>6</v>
      </c>
      <c r="B1114" s="24" t="n">
        <v>46174</v>
      </c>
      <c r="C1114" s="3" t="s">
        <v>803</v>
      </c>
      <c r="D1114" s="3" t="s">
        <v>222</v>
      </c>
      <c r="E1114" s="3" t="s">
        <v>110</v>
      </c>
      <c r="F1114" s="15" t="n">
        <v>17978.76</v>
      </c>
      <c r="G1114" s="15" t="n">
        <v>7436.33</v>
      </c>
      <c r="H1114" s="15" t="n">
        <v>25415.09</v>
      </c>
      <c r="I1114" s="7" t="n">
        <v>10</v>
      </c>
      <c r="J1114" s="7" t="s">
        <v>1989</v>
      </c>
    </row>
    <row r="1115" customFormat="false" ht="15" hidden="false" customHeight="false" outlineLevel="0" collapsed="false">
      <c r="A1115" s="3" t="n">
        <v>6</v>
      </c>
      <c r="B1115" s="24" t="n">
        <v>46174</v>
      </c>
      <c r="C1115" s="3" t="s">
        <v>803</v>
      </c>
      <c r="D1115" s="3" t="s">
        <v>222</v>
      </c>
      <c r="E1115" s="3" t="s">
        <v>139</v>
      </c>
      <c r="F1115" s="15" t="n">
        <v>2051.39</v>
      </c>
      <c r="G1115" s="15" t="n">
        <v>795.07</v>
      </c>
      <c r="H1115" s="15" t="n">
        <v>2846.46</v>
      </c>
      <c r="I1115" s="7" t="n">
        <v>11</v>
      </c>
      <c r="J1115" s="7" t="s">
        <v>1990</v>
      </c>
    </row>
    <row r="1116" customFormat="false" ht="15" hidden="false" customHeight="false" outlineLevel="0" collapsed="false">
      <c r="A1116" s="3" t="n">
        <v>6</v>
      </c>
      <c r="B1116" s="24" t="n">
        <v>46174</v>
      </c>
      <c r="C1116" s="3" t="s">
        <v>803</v>
      </c>
      <c r="D1116" s="3" t="s">
        <v>222</v>
      </c>
      <c r="E1116" s="3" t="s">
        <v>121</v>
      </c>
      <c r="F1116" s="15" t="n">
        <v>49016.99</v>
      </c>
      <c r="G1116" s="15" t="n">
        <v>17237.83</v>
      </c>
      <c r="H1116" s="15" t="n">
        <v>66254.82</v>
      </c>
      <c r="I1116" s="7" t="n">
        <v>12</v>
      </c>
      <c r="J1116" s="7" t="s">
        <v>1991</v>
      </c>
    </row>
    <row r="1117" customFormat="false" ht="15" hidden="false" customHeight="false" outlineLevel="0" collapsed="false">
      <c r="A1117" s="3" t="n">
        <v>6</v>
      </c>
      <c r="B1117" s="24" t="n">
        <v>46174</v>
      </c>
      <c r="C1117" s="3" t="s">
        <v>803</v>
      </c>
      <c r="D1117" s="3" t="s">
        <v>222</v>
      </c>
      <c r="E1117" s="3" t="s">
        <v>132</v>
      </c>
      <c r="F1117" s="15" t="n">
        <v>13271.75</v>
      </c>
      <c r="G1117" s="15" t="n">
        <v>4698.57</v>
      </c>
      <c r="H1117" s="15" t="n">
        <v>17970.32</v>
      </c>
      <c r="I1117" s="7" t="n">
        <v>13</v>
      </c>
      <c r="J1117" s="7" t="s">
        <v>1992</v>
      </c>
    </row>
    <row r="1118" customFormat="false" ht="15" hidden="false" customHeight="false" outlineLevel="0" collapsed="false">
      <c r="A1118" s="3" t="n">
        <v>6</v>
      </c>
      <c r="B1118" s="24" t="n">
        <v>46174</v>
      </c>
      <c r="C1118" s="3" t="s">
        <v>804</v>
      </c>
      <c r="D1118" s="3" t="s">
        <v>222</v>
      </c>
      <c r="E1118" s="3" t="s">
        <v>186</v>
      </c>
      <c r="F1118" s="15" t="n">
        <v>119.51</v>
      </c>
      <c r="G1118" s="15" t="n">
        <v>0</v>
      </c>
      <c r="H1118" s="15" t="n">
        <v>119.51</v>
      </c>
      <c r="I1118" s="7" t="n">
        <v>1</v>
      </c>
      <c r="J1118" s="7" t="s">
        <v>1993</v>
      </c>
    </row>
    <row r="1119" customFormat="false" ht="15" hidden="false" customHeight="false" outlineLevel="0" collapsed="false">
      <c r="A1119" s="3" t="n">
        <v>6</v>
      </c>
      <c r="B1119" s="24" t="n">
        <v>46174</v>
      </c>
      <c r="C1119" s="3" t="s">
        <v>804</v>
      </c>
      <c r="D1119" s="3" t="s">
        <v>222</v>
      </c>
      <c r="E1119" s="3" t="s">
        <v>124</v>
      </c>
      <c r="F1119" s="15" t="n">
        <v>3353.8</v>
      </c>
      <c r="G1119" s="15" t="n">
        <v>0</v>
      </c>
      <c r="H1119" s="15" t="n">
        <v>3353.8</v>
      </c>
      <c r="I1119" s="7" t="n">
        <v>2</v>
      </c>
      <c r="J1119" s="7" t="s">
        <v>1994</v>
      </c>
    </row>
    <row r="1120" customFormat="false" ht="15" hidden="false" customHeight="false" outlineLevel="0" collapsed="false">
      <c r="A1120" s="3" t="n">
        <v>6</v>
      </c>
      <c r="B1120" s="24" t="n">
        <v>46174</v>
      </c>
      <c r="C1120" s="3" t="s">
        <v>804</v>
      </c>
      <c r="D1120" s="3" t="s">
        <v>222</v>
      </c>
      <c r="E1120" s="3" t="s">
        <v>125</v>
      </c>
      <c r="F1120" s="15" t="n">
        <v>2169.8</v>
      </c>
      <c r="G1120" s="15" t="n">
        <v>0</v>
      </c>
      <c r="H1120" s="15" t="n">
        <v>2169.8</v>
      </c>
      <c r="I1120" s="7" t="n">
        <v>3</v>
      </c>
      <c r="J1120" s="7" t="s">
        <v>1995</v>
      </c>
    </row>
    <row r="1121" customFormat="false" ht="15" hidden="false" customHeight="false" outlineLevel="0" collapsed="false">
      <c r="A1121" s="3" t="n">
        <v>6</v>
      </c>
      <c r="B1121" s="24" t="n">
        <v>46174</v>
      </c>
      <c r="C1121" s="3" t="s">
        <v>804</v>
      </c>
      <c r="D1121" s="3" t="s">
        <v>222</v>
      </c>
      <c r="E1121" s="3" t="s">
        <v>123</v>
      </c>
      <c r="F1121" s="15" t="n">
        <v>1530.4</v>
      </c>
      <c r="G1121" s="15" t="n">
        <v>0</v>
      </c>
      <c r="H1121" s="15" t="n">
        <v>1530.4</v>
      </c>
      <c r="I1121" s="7" t="n">
        <v>4</v>
      </c>
      <c r="J1121" s="7" t="s">
        <v>1996</v>
      </c>
    </row>
    <row r="1122" customFormat="false" ht="15" hidden="false" customHeight="false" outlineLevel="0" collapsed="false">
      <c r="A1122" s="3" t="n">
        <v>6</v>
      </c>
      <c r="B1122" s="24" t="n">
        <v>46174</v>
      </c>
      <c r="C1122" s="3" t="s">
        <v>804</v>
      </c>
      <c r="D1122" s="3" t="s">
        <v>222</v>
      </c>
      <c r="E1122" s="3" t="s">
        <v>131</v>
      </c>
      <c r="F1122" s="15" t="n">
        <v>423.4</v>
      </c>
      <c r="G1122" s="15" t="n">
        <v>0</v>
      </c>
      <c r="H1122" s="15" t="n">
        <v>423.4</v>
      </c>
      <c r="I1122" s="7" t="n">
        <v>5</v>
      </c>
      <c r="J1122" s="7" t="s">
        <v>1997</v>
      </c>
    </row>
    <row r="1123" customFormat="false" ht="15" hidden="false" customHeight="false" outlineLevel="0" collapsed="false">
      <c r="A1123" s="3" t="n">
        <v>6</v>
      </c>
      <c r="B1123" s="24" t="n">
        <v>46174</v>
      </c>
      <c r="C1123" s="3" t="s">
        <v>804</v>
      </c>
      <c r="D1123" s="3" t="s">
        <v>222</v>
      </c>
      <c r="E1123" s="3" t="s">
        <v>127</v>
      </c>
      <c r="F1123" s="15" t="n">
        <v>72</v>
      </c>
      <c r="G1123" s="15" t="n">
        <v>0</v>
      </c>
      <c r="H1123" s="15" t="n">
        <v>72</v>
      </c>
      <c r="I1123" s="7" t="n">
        <v>6</v>
      </c>
      <c r="J1123" s="7" t="s">
        <v>1998</v>
      </c>
    </row>
    <row r="1124" customFormat="false" ht="15" hidden="false" customHeight="false" outlineLevel="0" collapsed="false">
      <c r="A1124" s="3" t="n">
        <v>6</v>
      </c>
      <c r="B1124" s="24" t="n">
        <v>46174</v>
      </c>
      <c r="C1124" s="3" t="s">
        <v>804</v>
      </c>
      <c r="D1124" s="3" t="s">
        <v>222</v>
      </c>
      <c r="E1124" s="3" t="s">
        <v>129</v>
      </c>
      <c r="F1124" s="15" t="n">
        <v>252</v>
      </c>
      <c r="G1124" s="15" t="n">
        <v>0</v>
      </c>
      <c r="H1124" s="15" t="n">
        <v>252</v>
      </c>
      <c r="I1124" s="7" t="n">
        <v>7</v>
      </c>
      <c r="J1124" s="7" t="s">
        <v>1999</v>
      </c>
    </row>
    <row r="1125" customFormat="false" ht="15" hidden="false" customHeight="false" outlineLevel="0" collapsed="false">
      <c r="A1125" s="3" t="n">
        <v>6</v>
      </c>
      <c r="B1125" s="24" t="n">
        <v>46174</v>
      </c>
      <c r="C1125" s="3" t="s">
        <v>804</v>
      </c>
      <c r="D1125" s="3" t="s">
        <v>222</v>
      </c>
      <c r="E1125" s="3" t="s">
        <v>116</v>
      </c>
      <c r="F1125" s="15" t="n">
        <v>11577.1</v>
      </c>
      <c r="G1125" s="15" t="n">
        <v>0</v>
      </c>
      <c r="H1125" s="15" t="n">
        <v>11577.1</v>
      </c>
      <c r="I1125" s="7" t="n">
        <v>8</v>
      </c>
      <c r="J1125" s="7" t="s">
        <v>2000</v>
      </c>
    </row>
    <row r="1126" customFormat="false" ht="15" hidden="false" customHeight="false" outlineLevel="0" collapsed="false">
      <c r="A1126" s="3" t="n">
        <v>6</v>
      </c>
      <c r="B1126" s="24" t="n">
        <v>46174</v>
      </c>
      <c r="C1126" s="3" t="s">
        <v>804</v>
      </c>
      <c r="D1126" s="3" t="s">
        <v>222</v>
      </c>
      <c r="E1126" s="3" t="s">
        <v>115</v>
      </c>
      <c r="F1126" s="15" t="n">
        <v>4895.1</v>
      </c>
      <c r="G1126" s="15" t="n">
        <v>0</v>
      </c>
      <c r="H1126" s="15" t="n">
        <v>4895.1</v>
      </c>
      <c r="I1126" s="7" t="n">
        <v>9</v>
      </c>
      <c r="J1126" s="7" t="s">
        <v>2001</v>
      </c>
    </row>
    <row r="1127" customFormat="false" ht="15" hidden="false" customHeight="false" outlineLevel="0" collapsed="false">
      <c r="A1127" s="3" t="n">
        <v>6</v>
      </c>
      <c r="B1127" s="24" t="n">
        <v>46174</v>
      </c>
      <c r="C1127" s="3" t="s">
        <v>804</v>
      </c>
      <c r="D1127" s="3" t="s">
        <v>222</v>
      </c>
      <c r="E1127" s="3" t="s">
        <v>117</v>
      </c>
      <c r="F1127" s="15" t="n">
        <v>11394.7</v>
      </c>
      <c r="G1127" s="15" t="n">
        <v>0</v>
      </c>
      <c r="H1127" s="15" t="n">
        <v>11394.7</v>
      </c>
      <c r="I1127" s="7" t="n">
        <v>10</v>
      </c>
      <c r="J1127" s="7" t="s">
        <v>2002</v>
      </c>
    </row>
    <row r="1128" customFormat="false" ht="15" hidden="false" customHeight="false" outlineLevel="0" collapsed="false">
      <c r="A1128" s="3" t="n">
        <v>6</v>
      </c>
      <c r="B1128" s="24" t="n">
        <v>46174</v>
      </c>
      <c r="C1128" s="3" t="s">
        <v>804</v>
      </c>
      <c r="D1128" s="3" t="s">
        <v>222</v>
      </c>
      <c r="E1128" s="3" t="s">
        <v>108</v>
      </c>
      <c r="F1128" s="15" t="n">
        <v>14142.5</v>
      </c>
      <c r="G1128" s="15" t="n">
        <v>0</v>
      </c>
      <c r="H1128" s="15" t="n">
        <v>14142.5</v>
      </c>
      <c r="I1128" s="7" t="n">
        <v>11</v>
      </c>
      <c r="J1128" s="7" t="s">
        <v>2003</v>
      </c>
    </row>
    <row r="1129" customFormat="false" ht="15" hidden="false" customHeight="false" outlineLevel="0" collapsed="false">
      <c r="A1129" s="3" t="n">
        <v>6</v>
      </c>
      <c r="B1129" s="24" t="n">
        <v>46174</v>
      </c>
      <c r="C1129" s="3" t="s">
        <v>804</v>
      </c>
      <c r="D1129" s="3" t="s">
        <v>222</v>
      </c>
      <c r="E1129" s="3" t="s">
        <v>110</v>
      </c>
      <c r="F1129" s="15" t="n">
        <v>10513.5</v>
      </c>
      <c r="G1129" s="15" t="n">
        <v>0</v>
      </c>
      <c r="H1129" s="15" t="n">
        <v>10513.5</v>
      </c>
      <c r="I1129" s="7" t="n">
        <v>12</v>
      </c>
      <c r="J1129" s="7" t="s">
        <v>2004</v>
      </c>
    </row>
    <row r="1130" customFormat="false" ht="15" hidden="false" customHeight="false" outlineLevel="0" collapsed="false">
      <c r="A1130" s="3" t="n">
        <v>6</v>
      </c>
      <c r="B1130" s="24" t="n">
        <v>46174</v>
      </c>
      <c r="C1130" s="3" t="s">
        <v>804</v>
      </c>
      <c r="D1130" s="3" t="s">
        <v>222</v>
      </c>
      <c r="E1130" s="3" t="s">
        <v>151</v>
      </c>
      <c r="F1130" s="15" t="n">
        <v>260.4</v>
      </c>
      <c r="G1130" s="15" t="n">
        <v>0</v>
      </c>
      <c r="H1130" s="15" t="n">
        <v>260.4</v>
      </c>
      <c r="I1130" s="7" t="n">
        <v>13</v>
      </c>
      <c r="J1130" s="7" t="s">
        <v>2005</v>
      </c>
    </row>
    <row r="1131" customFormat="false" ht="15" hidden="false" customHeight="false" outlineLevel="0" collapsed="false">
      <c r="A1131" s="3" t="n">
        <v>6</v>
      </c>
      <c r="B1131" s="24" t="n">
        <v>46174</v>
      </c>
      <c r="C1131" s="3" t="s">
        <v>804</v>
      </c>
      <c r="D1131" s="3" t="s">
        <v>222</v>
      </c>
      <c r="E1131" s="3" t="s">
        <v>121</v>
      </c>
      <c r="F1131" s="15" t="n">
        <v>3512</v>
      </c>
      <c r="G1131" s="15" t="n">
        <v>0</v>
      </c>
      <c r="H1131" s="15" t="n">
        <v>3512</v>
      </c>
      <c r="I1131" s="7" t="n">
        <v>14</v>
      </c>
      <c r="J1131" s="7" t="s">
        <v>2006</v>
      </c>
    </row>
    <row r="1132" customFormat="false" ht="15" hidden="false" customHeight="false" outlineLevel="0" collapsed="false">
      <c r="A1132" s="3" t="n">
        <v>6</v>
      </c>
      <c r="B1132" s="24" t="n">
        <v>46174</v>
      </c>
      <c r="C1132" s="3" t="s">
        <v>804</v>
      </c>
      <c r="D1132" s="3" t="s">
        <v>222</v>
      </c>
      <c r="E1132" s="3" t="s">
        <v>132</v>
      </c>
      <c r="F1132" s="15" t="n">
        <v>1923</v>
      </c>
      <c r="G1132" s="15" t="n">
        <v>0</v>
      </c>
      <c r="H1132" s="15" t="n">
        <v>1923</v>
      </c>
      <c r="I1132" s="7" t="n">
        <v>15</v>
      </c>
      <c r="J1132" s="7" t="s">
        <v>2007</v>
      </c>
    </row>
    <row r="1133" customFormat="false" ht="15" hidden="false" customHeight="false" outlineLevel="0" collapsed="false">
      <c r="A1133" s="3" t="n">
        <v>6</v>
      </c>
      <c r="B1133" s="24" t="n">
        <v>46174</v>
      </c>
      <c r="C1133" s="3" t="s">
        <v>805</v>
      </c>
      <c r="D1133" s="3" t="s">
        <v>222</v>
      </c>
      <c r="E1133" s="3" t="s">
        <v>118</v>
      </c>
      <c r="F1133" s="15" t="n">
        <v>6603.83</v>
      </c>
      <c r="G1133" s="15" t="n">
        <v>2313.374432</v>
      </c>
      <c r="H1133" s="15" t="n">
        <v>8917.204432</v>
      </c>
      <c r="I1133" s="7" t="n">
        <v>1</v>
      </c>
      <c r="J1133" s="7" t="s">
        <v>2008</v>
      </c>
    </row>
    <row r="1134" customFormat="false" ht="15" hidden="false" customHeight="false" outlineLevel="0" collapsed="false">
      <c r="A1134" s="3" t="n">
        <v>6</v>
      </c>
      <c r="B1134" s="24" t="n">
        <v>46174</v>
      </c>
      <c r="C1134" s="3" t="s">
        <v>805</v>
      </c>
      <c r="D1134" s="3" t="s">
        <v>222</v>
      </c>
      <c r="E1134" s="3" t="s">
        <v>120</v>
      </c>
      <c r="F1134" s="15" t="n">
        <v>56130.37</v>
      </c>
      <c r="G1134" s="15" t="n">
        <v>19721.37</v>
      </c>
      <c r="H1134" s="15" t="n">
        <v>75851.74</v>
      </c>
      <c r="I1134" s="7" t="n">
        <v>2</v>
      </c>
      <c r="J1134" s="7" t="s">
        <v>2009</v>
      </c>
    </row>
    <row r="1135" customFormat="false" ht="15" hidden="false" customHeight="false" outlineLevel="0" collapsed="false">
      <c r="A1135" s="3" t="n">
        <v>6</v>
      </c>
      <c r="B1135" s="24" t="n">
        <v>46174</v>
      </c>
      <c r="C1135" s="3" t="s">
        <v>805</v>
      </c>
      <c r="D1135" s="3" t="s">
        <v>222</v>
      </c>
      <c r="E1135" s="3" t="s">
        <v>126</v>
      </c>
      <c r="F1135" s="15" t="n">
        <v>29782.13</v>
      </c>
      <c r="G1135" s="15" t="n">
        <v>10579.913565</v>
      </c>
      <c r="H1135" s="15" t="n">
        <v>40362.043565</v>
      </c>
      <c r="I1135" s="7" t="n">
        <v>3</v>
      </c>
      <c r="J1135" s="7" t="s">
        <v>2010</v>
      </c>
    </row>
    <row r="1136" customFormat="false" ht="15" hidden="false" customHeight="false" outlineLevel="0" collapsed="false">
      <c r="A1136" s="3" t="n">
        <v>6</v>
      </c>
      <c r="B1136" s="24" t="n">
        <v>46174</v>
      </c>
      <c r="C1136" s="3" t="s">
        <v>805</v>
      </c>
      <c r="D1136" s="3" t="s">
        <v>222</v>
      </c>
      <c r="E1136" s="3" t="s">
        <v>139</v>
      </c>
      <c r="F1136" s="15" t="n">
        <v>17086.11</v>
      </c>
      <c r="G1136" s="15" t="n">
        <v>6055.606945</v>
      </c>
      <c r="H1136" s="15" t="n">
        <v>23141.716945</v>
      </c>
      <c r="I1136" s="7" t="n">
        <v>4</v>
      </c>
      <c r="J1136" s="7" t="s">
        <v>2011</v>
      </c>
    </row>
    <row r="1137" customFormat="false" ht="15" hidden="false" customHeight="false" outlineLevel="0" collapsed="false">
      <c r="A1137" s="3" t="n">
        <v>7</v>
      </c>
      <c r="B1137" s="24" t="n">
        <v>46204</v>
      </c>
      <c r="C1137" s="3" t="s">
        <v>806</v>
      </c>
      <c r="D1137" s="3" t="s">
        <v>807</v>
      </c>
      <c r="E1137" s="3" t="s">
        <v>109</v>
      </c>
      <c r="F1137" s="15" t="n">
        <v>26081.09</v>
      </c>
      <c r="G1137" s="15" t="n">
        <v>7872.36</v>
      </c>
      <c r="H1137" s="15" t="n">
        <v>33953.45</v>
      </c>
      <c r="I1137" s="7" t="n">
        <v>1</v>
      </c>
      <c r="J1137" s="7" t="s">
        <v>2012</v>
      </c>
    </row>
    <row r="1138" customFormat="false" ht="15" hidden="false" customHeight="false" outlineLevel="0" collapsed="false">
      <c r="A1138" s="3" t="n">
        <v>7</v>
      </c>
      <c r="B1138" s="24" t="n">
        <v>46204</v>
      </c>
      <c r="C1138" s="3" t="s">
        <v>808</v>
      </c>
      <c r="D1138" s="3" t="s">
        <v>440</v>
      </c>
      <c r="E1138" s="3" t="s">
        <v>148</v>
      </c>
      <c r="F1138" s="15" t="n">
        <v>2488.68</v>
      </c>
      <c r="G1138" s="15" t="n">
        <v>750.323976</v>
      </c>
      <c r="H1138" s="15" t="n">
        <v>3239.003976</v>
      </c>
      <c r="I1138" s="7" t="n">
        <v>1</v>
      </c>
      <c r="J1138" s="7" t="s">
        <v>2013</v>
      </c>
    </row>
    <row r="1139" customFormat="false" ht="15" hidden="false" customHeight="false" outlineLevel="0" collapsed="false">
      <c r="A1139" s="3" t="n">
        <v>7</v>
      </c>
      <c r="B1139" s="24" t="n">
        <v>46204</v>
      </c>
      <c r="C1139" s="3" t="s">
        <v>808</v>
      </c>
      <c r="D1139" s="3" t="s">
        <v>440</v>
      </c>
      <c r="E1139" s="3" t="s">
        <v>144</v>
      </c>
      <c r="F1139" s="15" t="n">
        <v>13321.76</v>
      </c>
      <c r="G1139" s="15" t="n">
        <v>4019.0596</v>
      </c>
      <c r="H1139" s="15" t="n">
        <v>17340.8196</v>
      </c>
      <c r="I1139" s="7" t="n">
        <v>2</v>
      </c>
      <c r="J1139" s="7" t="s">
        <v>2014</v>
      </c>
    </row>
    <row r="1140" customFormat="false" ht="15" hidden="false" customHeight="false" outlineLevel="0" collapsed="false">
      <c r="A1140" s="3" t="n">
        <v>7</v>
      </c>
      <c r="B1140" s="24" t="n">
        <v>46204</v>
      </c>
      <c r="C1140" s="3" t="s">
        <v>808</v>
      </c>
      <c r="D1140" s="3" t="s">
        <v>440</v>
      </c>
      <c r="E1140" s="3" t="s">
        <v>147</v>
      </c>
      <c r="F1140" s="15" t="n">
        <v>16582.42</v>
      </c>
      <c r="G1140" s="15" t="n">
        <v>4992.600272</v>
      </c>
      <c r="H1140" s="15" t="n">
        <v>21575.020272</v>
      </c>
      <c r="I1140" s="7" t="n">
        <v>3</v>
      </c>
      <c r="J1140" s="7" t="s">
        <v>2015</v>
      </c>
    </row>
    <row r="1141" customFormat="false" ht="15" hidden="false" customHeight="false" outlineLevel="0" collapsed="false">
      <c r="A1141" s="3" t="n">
        <v>7</v>
      </c>
      <c r="B1141" s="24" t="n">
        <v>46204</v>
      </c>
      <c r="C1141" s="3" t="s">
        <v>808</v>
      </c>
      <c r="D1141" s="3" t="s">
        <v>440</v>
      </c>
      <c r="E1141" s="3" t="s">
        <v>135</v>
      </c>
      <c r="F1141" s="15" t="n">
        <v>34417.18</v>
      </c>
      <c r="G1141" s="15" t="n">
        <v>10344.599192</v>
      </c>
      <c r="H1141" s="15" t="n">
        <v>44761.779192</v>
      </c>
      <c r="I1141" s="7" t="n">
        <v>4</v>
      </c>
      <c r="J1141" s="7" t="s">
        <v>2016</v>
      </c>
    </row>
    <row r="1142" customFormat="false" ht="15" hidden="false" customHeight="false" outlineLevel="0" collapsed="false">
      <c r="A1142" s="3" t="n">
        <v>7</v>
      </c>
      <c r="B1142" s="24" t="n">
        <v>46204</v>
      </c>
      <c r="C1142" s="3" t="s">
        <v>808</v>
      </c>
      <c r="D1142" s="3" t="s">
        <v>440</v>
      </c>
      <c r="E1142" s="3" t="s">
        <v>173</v>
      </c>
      <c r="F1142" s="15" t="n">
        <v>3810.05</v>
      </c>
      <c r="G1142" s="15" t="n">
        <v>1153.52368</v>
      </c>
      <c r="H1142" s="15" t="n">
        <v>4963.57368</v>
      </c>
      <c r="I1142" s="7" t="n">
        <v>5</v>
      </c>
      <c r="J1142" s="7" t="s">
        <v>2017</v>
      </c>
    </row>
    <row r="1143" customFormat="false" ht="15" hidden="false" customHeight="false" outlineLevel="0" collapsed="false">
      <c r="A1143" s="3" t="n">
        <v>7</v>
      </c>
      <c r="B1143" s="24" t="n">
        <v>46204</v>
      </c>
      <c r="C1143" s="3" t="s">
        <v>808</v>
      </c>
      <c r="D1143" s="3" t="s">
        <v>440</v>
      </c>
      <c r="E1143" s="3" t="s">
        <v>142</v>
      </c>
      <c r="F1143" s="15" t="n">
        <v>10523.82</v>
      </c>
      <c r="G1143" s="15" t="n">
        <v>3236.697264</v>
      </c>
      <c r="H1143" s="15" t="n">
        <v>13760.517264</v>
      </c>
      <c r="I1143" s="7" t="n">
        <v>6</v>
      </c>
      <c r="J1143" s="7" t="s">
        <v>2018</v>
      </c>
    </row>
    <row r="1144" customFormat="false" ht="15" hidden="false" customHeight="false" outlineLevel="0" collapsed="false">
      <c r="A1144" s="3" t="n">
        <v>7</v>
      </c>
      <c r="B1144" s="24" t="n">
        <v>46204</v>
      </c>
      <c r="C1144" s="3" t="s">
        <v>808</v>
      </c>
      <c r="D1144" s="3" t="s">
        <v>440</v>
      </c>
      <c r="E1144" s="3" t="s">
        <v>156</v>
      </c>
      <c r="F1144" s="15" t="n">
        <v>15770.01</v>
      </c>
      <c r="G1144" s="15" t="n">
        <v>4767.146952</v>
      </c>
      <c r="H1144" s="15" t="n">
        <v>20537.156952</v>
      </c>
      <c r="I1144" s="7" t="n">
        <v>7</v>
      </c>
      <c r="J1144" s="7" t="s">
        <v>2019</v>
      </c>
    </row>
    <row r="1145" customFormat="false" ht="15" hidden="false" customHeight="false" outlineLevel="0" collapsed="false">
      <c r="A1145" s="3" t="n">
        <v>7</v>
      </c>
      <c r="B1145" s="24" t="n">
        <v>46204</v>
      </c>
      <c r="C1145" s="3" t="s">
        <v>808</v>
      </c>
      <c r="D1145" s="3" t="s">
        <v>440</v>
      </c>
      <c r="E1145" s="3" t="s">
        <v>177</v>
      </c>
      <c r="F1145" s="15" t="n">
        <v>6423.34</v>
      </c>
      <c r="G1145" s="15" t="n">
        <v>1938.879632</v>
      </c>
      <c r="H1145" s="15" t="n">
        <v>8362.219632</v>
      </c>
      <c r="I1145" s="7" t="n">
        <v>8</v>
      </c>
      <c r="J1145" s="7" t="s">
        <v>2020</v>
      </c>
    </row>
    <row r="1146" customFormat="false" ht="15" hidden="false" customHeight="false" outlineLevel="0" collapsed="false">
      <c r="A1146" s="3" t="n">
        <v>7</v>
      </c>
      <c r="B1146" s="24" t="n">
        <v>46204</v>
      </c>
      <c r="C1146" s="3" t="s">
        <v>809</v>
      </c>
      <c r="D1146" s="3" t="s">
        <v>440</v>
      </c>
      <c r="E1146" s="3" t="s">
        <v>120</v>
      </c>
      <c r="F1146" s="15" t="n">
        <v>52384.83</v>
      </c>
      <c r="G1146" s="15" t="n">
        <v>18489.12</v>
      </c>
      <c r="H1146" s="15" t="n">
        <v>70873.95</v>
      </c>
      <c r="I1146" s="7" t="n">
        <v>1</v>
      </c>
      <c r="J1146" s="7" t="s">
        <v>2021</v>
      </c>
    </row>
    <row r="1147" customFormat="false" ht="15" hidden="false" customHeight="false" outlineLevel="0" collapsed="false">
      <c r="A1147" s="3" t="n">
        <v>7</v>
      </c>
      <c r="B1147" s="24" t="n">
        <v>46204</v>
      </c>
      <c r="C1147" s="3" t="s">
        <v>809</v>
      </c>
      <c r="D1147" s="3" t="s">
        <v>440</v>
      </c>
      <c r="E1147" s="3" t="s">
        <v>126</v>
      </c>
      <c r="F1147" s="15" t="n">
        <v>22921.72</v>
      </c>
      <c r="G1147" s="15" t="n">
        <v>8107.89</v>
      </c>
      <c r="H1147" s="15" t="n">
        <v>31029.61</v>
      </c>
      <c r="I1147" s="7" t="n">
        <v>2</v>
      </c>
      <c r="J1147" s="7" t="s">
        <v>2022</v>
      </c>
    </row>
    <row r="1148" customFormat="false" ht="15" hidden="false" customHeight="false" outlineLevel="0" collapsed="false">
      <c r="A1148" s="3" t="n">
        <v>7</v>
      </c>
      <c r="B1148" s="24" t="n">
        <v>46204</v>
      </c>
      <c r="C1148" s="3" t="s">
        <v>809</v>
      </c>
      <c r="D1148" s="3" t="s">
        <v>440</v>
      </c>
      <c r="E1148" s="3" t="s">
        <v>139</v>
      </c>
      <c r="F1148" s="15" t="n">
        <v>12162.12</v>
      </c>
      <c r="G1148" s="15" t="n">
        <v>4313.22</v>
      </c>
      <c r="H1148" s="15" t="n">
        <v>16475.34</v>
      </c>
      <c r="I1148" s="7" t="n">
        <v>3</v>
      </c>
      <c r="J1148" s="7" t="s">
        <v>2023</v>
      </c>
    </row>
    <row r="1149" customFormat="false" ht="15" hidden="false" customHeight="false" outlineLevel="0" collapsed="false">
      <c r="A1149" s="3" t="n">
        <v>7</v>
      </c>
      <c r="B1149" s="24" t="n">
        <v>46204</v>
      </c>
      <c r="C1149" s="3" t="s">
        <v>810</v>
      </c>
      <c r="D1149" s="3" t="s">
        <v>214</v>
      </c>
      <c r="E1149" s="3" t="s">
        <v>165</v>
      </c>
      <c r="F1149" s="15" t="n">
        <v>2406.19</v>
      </c>
      <c r="G1149" s="15" t="n">
        <v>867.67</v>
      </c>
      <c r="H1149" s="15" t="n">
        <v>3273.86</v>
      </c>
      <c r="I1149" s="7" t="n">
        <v>1</v>
      </c>
      <c r="J1149" s="7" t="s">
        <v>2024</v>
      </c>
    </row>
    <row r="1150" customFormat="false" ht="15" hidden="false" customHeight="false" outlineLevel="0" collapsed="false">
      <c r="A1150" s="3" t="n">
        <v>7</v>
      </c>
      <c r="B1150" s="24" t="n">
        <v>46204</v>
      </c>
      <c r="C1150" s="3" t="s">
        <v>811</v>
      </c>
      <c r="D1150" s="3" t="s">
        <v>214</v>
      </c>
      <c r="E1150" s="3" t="s">
        <v>112</v>
      </c>
      <c r="F1150" s="15" t="n">
        <v>17696.75</v>
      </c>
      <c r="G1150" s="15" t="n">
        <v>6395.65</v>
      </c>
      <c r="H1150" s="15" t="n">
        <v>24092.4</v>
      </c>
      <c r="I1150" s="7" t="n">
        <v>1</v>
      </c>
      <c r="J1150" s="7" t="s">
        <v>2025</v>
      </c>
    </row>
    <row r="1151" customFormat="false" ht="15" hidden="false" customHeight="false" outlineLevel="0" collapsed="false">
      <c r="A1151" s="3" t="n">
        <v>7</v>
      </c>
      <c r="B1151" s="24" t="n">
        <v>46204</v>
      </c>
      <c r="C1151" s="3" t="s">
        <v>812</v>
      </c>
      <c r="D1151" s="3" t="s">
        <v>217</v>
      </c>
      <c r="E1151" s="3" t="s">
        <v>159</v>
      </c>
      <c r="F1151" s="15" t="n">
        <v>4932.06</v>
      </c>
      <c r="G1151" s="15" t="n">
        <v>1770.14</v>
      </c>
      <c r="H1151" s="15" t="n">
        <v>6702.2</v>
      </c>
      <c r="I1151" s="7" t="n">
        <v>1</v>
      </c>
      <c r="J1151" s="7" t="s">
        <v>2026</v>
      </c>
    </row>
    <row r="1152" customFormat="false" ht="15" hidden="false" customHeight="false" outlineLevel="0" collapsed="false">
      <c r="A1152" s="3" t="n">
        <v>7</v>
      </c>
      <c r="B1152" s="24" t="n">
        <v>46204</v>
      </c>
      <c r="C1152" s="3" t="s">
        <v>813</v>
      </c>
      <c r="D1152" s="3" t="s">
        <v>217</v>
      </c>
      <c r="E1152" s="3" t="s">
        <v>112</v>
      </c>
      <c r="F1152" s="15" t="n">
        <v>3382.78</v>
      </c>
      <c r="G1152" s="15" t="n">
        <v>1218.73</v>
      </c>
      <c r="H1152" s="15" t="n">
        <v>4601.51</v>
      </c>
      <c r="I1152" s="7" t="n">
        <v>1</v>
      </c>
      <c r="J1152" s="7" t="s">
        <v>2027</v>
      </c>
    </row>
    <row r="1153" customFormat="false" ht="15" hidden="false" customHeight="false" outlineLevel="0" collapsed="false">
      <c r="A1153" s="3" t="n">
        <v>7</v>
      </c>
      <c r="B1153" s="24" t="n">
        <v>46204</v>
      </c>
      <c r="C1153" s="3" t="s">
        <v>814</v>
      </c>
      <c r="D1153" s="3" t="s">
        <v>219</v>
      </c>
      <c r="E1153" s="3" t="s">
        <v>112</v>
      </c>
      <c r="F1153" s="15" t="n">
        <v>2326.79</v>
      </c>
      <c r="G1153" s="15" t="n">
        <v>832.3</v>
      </c>
      <c r="H1153" s="15" t="n">
        <v>3159.09</v>
      </c>
      <c r="I1153" s="7" t="n">
        <v>1</v>
      </c>
      <c r="J1153" s="7" t="s">
        <v>2028</v>
      </c>
    </row>
    <row r="1154" customFormat="false" ht="15" hidden="false" customHeight="false" outlineLevel="0" collapsed="false">
      <c r="A1154" s="3" t="n">
        <v>7</v>
      </c>
      <c r="B1154" s="24" t="n">
        <v>46204</v>
      </c>
      <c r="C1154" s="3" t="s">
        <v>815</v>
      </c>
      <c r="D1154" s="3" t="s">
        <v>219</v>
      </c>
      <c r="E1154" s="3" t="s">
        <v>130</v>
      </c>
      <c r="F1154" s="15" t="n">
        <v>22099.5</v>
      </c>
      <c r="G1154" s="15" t="n">
        <v>7680.76</v>
      </c>
      <c r="H1154" s="15" t="n">
        <v>29780.26</v>
      </c>
      <c r="I1154" s="7" t="n">
        <v>1</v>
      </c>
      <c r="J1154" s="7" t="s">
        <v>2029</v>
      </c>
    </row>
    <row r="1155" customFormat="false" ht="15" hidden="false" customHeight="false" outlineLevel="0" collapsed="false">
      <c r="A1155" s="3" t="n">
        <v>7</v>
      </c>
      <c r="B1155" s="24" t="n">
        <v>46204</v>
      </c>
      <c r="C1155" s="3" t="s">
        <v>816</v>
      </c>
      <c r="D1155" s="3" t="s">
        <v>228</v>
      </c>
      <c r="E1155" s="3" t="s">
        <v>112</v>
      </c>
      <c r="F1155" s="15" t="n">
        <v>3663.41</v>
      </c>
      <c r="G1155" s="15" t="n">
        <v>1331.2</v>
      </c>
      <c r="H1155" s="15" t="n">
        <v>4994.61</v>
      </c>
      <c r="I1155" s="7" t="n">
        <v>1</v>
      </c>
      <c r="J1155" s="7" t="s">
        <v>2030</v>
      </c>
    </row>
    <row r="1156" customFormat="false" ht="15" hidden="false" customHeight="false" outlineLevel="0" collapsed="false">
      <c r="A1156" s="3" t="n">
        <v>7</v>
      </c>
      <c r="B1156" s="24" t="n">
        <v>46204</v>
      </c>
      <c r="C1156" s="3" t="s">
        <v>817</v>
      </c>
      <c r="D1156" s="3" t="s">
        <v>231</v>
      </c>
      <c r="E1156" s="3" t="s">
        <v>134</v>
      </c>
      <c r="F1156" s="15" t="n">
        <v>2443.93</v>
      </c>
      <c r="G1156" s="15" t="n">
        <v>879.83</v>
      </c>
      <c r="H1156" s="15" t="n">
        <v>3323.76</v>
      </c>
      <c r="I1156" s="7" t="n">
        <v>1</v>
      </c>
      <c r="J1156" s="7" t="s">
        <v>2031</v>
      </c>
    </row>
    <row r="1157" customFormat="false" ht="15" hidden="false" customHeight="false" outlineLevel="0" collapsed="false">
      <c r="A1157" s="3" t="n">
        <v>7</v>
      </c>
      <c r="B1157" s="24" t="n">
        <v>46204</v>
      </c>
      <c r="C1157" s="3" t="s">
        <v>817</v>
      </c>
      <c r="D1157" s="3" t="s">
        <v>231</v>
      </c>
      <c r="E1157" s="3" t="s">
        <v>112</v>
      </c>
      <c r="F1157" s="15" t="n">
        <v>2528.07</v>
      </c>
      <c r="G1157" s="15" t="n">
        <v>902.82</v>
      </c>
      <c r="H1157" s="15" t="n">
        <v>3430.89</v>
      </c>
      <c r="I1157" s="7" t="n">
        <v>2</v>
      </c>
      <c r="J1157" s="7" t="s">
        <v>2032</v>
      </c>
    </row>
    <row r="1158" customFormat="false" ht="15" hidden="false" customHeight="false" outlineLevel="0" collapsed="false">
      <c r="A1158" s="3" t="n">
        <v>7</v>
      </c>
      <c r="B1158" s="24" t="n">
        <v>46204</v>
      </c>
      <c r="C1158" s="3" t="s">
        <v>818</v>
      </c>
      <c r="D1158" s="3" t="s">
        <v>231</v>
      </c>
      <c r="E1158" s="3" t="s">
        <v>112</v>
      </c>
      <c r="F1158" s="15" t="n">
        <v>7313.99</v>
      </c>
      <c r="G1158" s="15" t="n">
        <v>2648.92</v>
      </c>
      <c r="H1158" s="15" t="n">
        <v>9962.91</v>
      </c>
      <c r="I1158" s="7" t="n">
        <v>1</v>
      </c>
      <c r="J1158" s="7" t="s">
        <v>2033</v>
      </c>
    </row>
    <row r="1159" customFormat="false" ht="15" hidden="false" customHeight="false" outlineLevel="0" collapsed="false">
      <c r="A1159" s="3" t="n">
        <v>7</v>
      </c>
      <c r="B1159" s="24" t="n">
        <v>46204</v>
      </c>
      <c r="C1159" s="3" t="s">
        <v>819</v>
      </c>
      <c r="D1159" s="3" t="s">
        <v>237</v>
      </c>
      <c r="E1159" s="3" t="s">
        <v>112</v>
      </c>
      <c r="F1159" s="15" t="n">
        <v>4819.07</v>
      </c>
      <c r="G1159" s="15" t="n">
        <v>1721.45</v>
      </c>
      <c r="H1159" s="15" t="n">
        <v>6540.52</v>
      </c>
      <c r="I1159" s="7" t="n">
        <v>1</v>
      </c>
      <c r="J1159" s="7" t="s">
        <v>2034</v>
      </c>
    </row>
    <row r="1160" customFormat="false" ht="15" hidden="false" customHeight="false" outlineLevel="0" collapsed="false">
      <c r="A1160" s="3" t="n">
        <v>7</v>
      </c>
      <c r="B1160" s="24" t="n">
        <v>46204</v>
      </c>
      <c r="C1160" s="3" t="s">
        <v>820</v>
      </c>
      <c r="D1160" s="3" t="s">
        <v>237</v>
      </c>
      <c r="E1160" s="3" t="s">
        <v>130</v>
      </c>
      <c r="F1160" s="15" t="n">
        <v>8531.39</v>
      </c>
      <c r="G1160" s="15" t="n">
        <v>2963.66</v>
      </c>
      <c r="H1160" s="15" t="n">
        <v>11495.05</v>
      </c>
      <c r="I1160" s="7" t="n">
        <v>1</v>
      </c>
      <c r="J1160" s="7" t="s">
        <v>2035</v>
      </c>
    </row>
    <row r="1161" customFormat="false" ht="15" hidden="false" customHeight="false" outlineLevel="0" collapsed="false">
      <c r="A1161" s="3" t="n">
        <v>7</v>
      </c>
      <c r="B1161" s="24" t="n">
        <v>46204</v>
      </c>
      <c r="C1161" s="3" t="s">
        <v>821</v>
      </c>
      <c r="D1161" s="3" t="s">
        <v>440</v>
      </c>
      <c r="E1161" s="3" t="s">
        <v>136</v>
      </c>
      <c r="F1161" s="15" t="n">
        <v>2169.83</v>
      </c>
      <c r="G1161" s="15" t="n">
        <v>858.85</v>
      </c>
      <c r="H1161" s="15" t="n">
        <v>3028.68</v>
      </c>
      <c r="I1161" s="7" t="n">
        <v>1</v>
      </c>
      <c r="J1161" s="7" t="s">
        <v>2036</v>
      </c>
    </row>
    <row r="1162" customFormat="false" ht="15" hidden="false" customHeight="false" outlineLevel="0" collapsed="false">
      <c r="A1162" s="3" t="n">
        <v>7</v>
      </c>
      <c r="B1162" s="24" t="n">
        <v>46204</v>
      </c>
      <c r="C1162" s="3" t="s">
        <v>822</v>
      </c>
      <c r="D1162" s="3" t="s">
        <v>440</v>
      </c>
      <c r="E1162" s="3" t="s">
        <v>112</v>
      </c>
      <c r="F1162" s="15" t="n">
        <v>8261.15</v>
      </c>
      <c r="G1162" s="15" t="n">
        <v>2973.09</v>
      </c>
      <c r="H1162" s="15" t="n">
        <v>11234.24</v>
      </c>
      <c r="I1162" s="7" t="n">
        <v>1</v>
      </c>
      <c r="J1162" s="7" t="s">
        <v>2037</v>
      </c>
    </row>
    <row r="1163" customFormat="false" ht="15" hidden="false" customHeight="false" outlineLevel="0" collapsed="false">
      <c r="A1163" s="3" t="n">
        <v>7</v>
      </c>
      <c r="B1163" s="24" t="n">
        <v>46204</v>
      </c>
      <c r="C1163" s="3" t="s">
        <v>822</v>
      </c>
      <c r="D1163" s="3" t="s">
        <v>440</v>
      </c>
      <c r="E1163" s="3" t="s">
        <v>164</v>
      </c>
      <c r="F1163" s="15" t="n">
        <v>2451.87</v>
      </c>
      <c r="G1163" s="15" t="n">
        <v>876.14</v>
      </c>
      <c r="H1163" s="15" t="n">
        <v>3328.01</v>
      </c>
      <c r="I1163" s="7" t="n">
        <v>2</v>
      </c>
      <c r="J1163" s="7" t="s">
        <v>2038</v>
      </c>
    </row>
    <row r="1164" customFormat="false" ht="15" hidden="false" customHeight="false" outlineLevel="0" collapsed="false">
      <c r="A1164" s="3" t="n">
        <v>7</v>
      </c>
      <c r="B1164" s="24" t="n">
        <v>46204</v>
      </c>
      <c r="C1164" s="3" t="s">
        <v>822</v>
      </c>
      <c r="D1164" s="3" t="s">
        <v>440</v>
      </c>
      <c r="E1164" s="3" t="s">
        <v>157</v>
      </c>
      <c r="F1164" s="15" t="n">
        <v>4358.1</v>
      </c>
      <c r="G1164" s="15" t="n">
        <v>1570.78</v>
      </c>
      <c r="H1164" s="15" t="n">
        <v>5928.88</v>
      </c>
      <c r="I1164" s="7" t="n">
        <v>3</v>
      </c>
      <c r="J1164" s="7" t="s">
        <v>2039</v>
      </c>
    </row>
    <row r="1165" customFormat="false" ht="15" hidden="false" customHeight="false" outlineLevel="0" collapsed="false">
      <c r="A1165" s="3" t="n">
        <v>7</v>
      </c>
      <c r="B1165" s="24" t="n">
        <v>46204</v>
      </c>
      <c r="C1165" s="3" t="s">
        <v>822</v>
      </c>
      <c r="D1165" s="3" t="s">
        <v>440</v>
      </c>
      <c r="E1165" s="3" t="s">
        <v>162</v>
      </c>
      <c r="F1165" s="15" t="n">
        <v>2501.16</v>
      </c>
      <c r="G1165" s="15" t="n">
        <v>893.22</v>
      </c>
      <c r="H1165" s="15" t="n">
        <v>3394.38</v>
      </c>
      <c r="I1165" s="7" t="n">
        <v>4</v>
      </c>
      <c r="J1165" s="7" t="s">
        <v>2040</v>
      </c>
    </row>
    <row r="1166" customFormat="false" ht="15" hidden="false" customHeight="false" outlineLevel="0" collapsed="false">
      <c r="A1166" s="3" t="n">
        <v>7</v>
      </c>
      <c r="B1166" s="24" t="n">
        <v>46204</v>
      </c>
      <c r="C1166" s="3" t="s">
        <v>822</v>
      </c>
      <c r="D1166" s="3" t="s">
        <v>440</v>
      </c>
      <c r="E1166" s="3" t="s">
        <v>172</v>
      </c>
      <c r="F1166" s="15" t="n">
        <v>2352.24</v>
      </c>
      <c r="G1166" s="15" t="n">
        <v>847.32</v>
      </c>
      <c r="H1166" s="15" t="n">
        <v>3199.56</v>
      </c>
      <c r="I1166" s="7" t="n">
        <v>5</v>
      </c>
      <c r="J1166" s="7" t="s">
        <v>2041</v>
      </c>
    </row>
    <row r="1167" customFormat="false" ht="15" hidden="false" customHeight="false" outlineLevel="0" collapsed="false">
      <c r="A1167" s="3" t="n">
        <v>7</v>
      </c>
      <c r="B1167" s="24" t="n">
        <v>46204</v>
      </c>
      <c r="C1167" s="3" t="s">
        <v>823</v>
      </c>
      <c r="D1167" s="3" t="s">
        <v>224</v>
      </c>
      <c r="E1167" s="3" t="s">
        <v>152</v>
      </c>
      <c r="F1167" s="15" t="n">
        <v>361.07</v>
      </c>
      <c r="G1167" s="15" t="n">
        <v>125.15</v>
      </c>
      <c r="H1167" s="15" t="n">
        <v>486.22</v>
      </c>
      <c r="I1167" s="7" t="n">
        <v>1</v>
      </c>
      <c r="J1167" s="7" t="s">
        <v>2042</v>
      </c>
    </row>
    <row r="1168" customFormat="false" ht="15" hidden="false" customHeight="false" outlineLevel="0" collapsed="false">
      <c r="A1168" s="3" t="n">
        <v>7</v>
      </c>
      <c r="B1168" s="24" t="n">
        <v>46204</v>
      </c>
      <c r="C1168" s="3" t="s">
        <v>824</v>
      </c>
      <c r="D1168" s="3" t="s">
        <v>243</v>
      </c>
      <c r="E1168" s="3" t="s">
        <v>112</v>
      </c>
      <c r="F1168" s="15" t="n">
        <v>226.65</v>
      </c>
      <c r="G1168" s="15" t="n">
        <v>102.57</v>
      </c>
      <c r="H1168" s="15" t="n">
        <v>329.22</v>
      </c>
      <c r="I1168" s="7" t="n">
        <v>1</v>
      </c>
      <c r="J1168" s="7" t="s">
        <v>2043</v>
      </c>
    </row>
    <row r="1169" customFormat="false" ht="15" hidden="false" customHeight="false" outlineLevel="0" collapsed="false">
      <c r="A1169" s="3" t="n">
        <v>7</v>
      </c>
      <c r="B1169" s="24" t="n">
        <v>46204</v>
      </c>
      <c r="C1169" s="3" t="s">
        <v>825</v>
      </c>
      <c r="D1169" s="3" t="s">
        <v>246</v>
      </c>
      <c r="E1169" s="3" t="s">
        <v>112</v>
      </c>
      <c r="F1169" s="15" t="n">
        <v>2361.68</v>
      </c>
      <c r="G1169" s="15" t="n">
        <v>844.38</v>
      </c>
      <c r="H1169" s="15" t="n">
        <v>3206.06</v>
      </c>
      <c r="I1169" s="7" t="n">
        <v>1</v>
      </c>
      <c r="J1169" s="7" t="s">
        <v>2044</v>
      </c>
    </row>
    <row r="1170" customFormat="false" ht="15" hidden="false" customHeight="false" outlineLevel="0" collapsed="false">
      <c r="A1170" s="3" t="n">
        <v>7</v>
      </c>
      <c r="B1170" s="24" t="n">
        <v>46204</v>
      </c>
      <c r="C1170" s="3" t="s">
        <v>826</v>
      </c>
      <c r="D1170" s="3" t="s">
        <v>252</v>
      </c>
      <c r="E1170" s="3" t="s">
        <v>112</v>
      </c>
      <c r="F1170" s="15" t="n">
        <v>2530.56</v>
      </c>
      <c r="G1170" s="15" t="n">
        <v>902.92</v>
      </c>
      <c r="H1170" s="15" t="n">
        <v>3433.48</v>
      </c>
      <c r="I1170" s="7" t="n">
        <v>1</v>
      </c>
      <c r="J1170" s="7" t="s">
        <v>2045</v>
      </c>
    </row>
    <row r="1171" customFormat="false" ht="15" hidden="false" customHeight="false" outlineLevel="0" collapsed="false">
      <c r="A1171" s="3" t="n">
        <v>7</v>
      </c>
      <c r="B1171" s="24" t="n">
        <v>46204</v>
      </c>
      <c r="C1171" s="3" t="s">
        <v>827</v>
      </c>
      <c r="D1171" s="3" t="s">
        <v>255</v>
      </c>
      <c r="E1171" s="3" t="s">
        <v>112</v>
      </c>
      <c r="F1171" s="15" t="n">
        <v>2361.68</v>
      </c>
      <c r="G1171" s="15" t="n">
        <v>844.38</v>
      </c>
      <c r="H1171" s="15" t="n">
        <v>3206.06</v>
      </c>
      <c r="I1171" s="7" t="n">
        <v>1</v>
      </c>
      <c r="J1171" s="7" t="s">
        <v>2046</v>
      </c>
    </row>
    <row r="1172" customFormat="false" ht="15" hidden="false" customHeight="false" outlineLevel="0" collapsed="false">
      <c r="A1172" s="3" t="n">
        <v>7</v>
      </c>
      <c r="B1172" s="24" t="n">
        <v>46204</v>
      </c>
      <c r="C1172" s="3" t="s">
        <v>828</v>
      </c>
      <c r="D1172" s="3" t="s">
        <v>222</v>
      </c>
      <c r="E1172" s="3" t="s">
        <v>140</v>
      </c>
      <c r="F1172" s="15" t="n">
        <v>715.02</v>
      </c>
      <c r="G1172" s="15" t="n">
        <v>272.66</v>
      </c>
      <c r="H1172" s="15" t="n">
        <v>987.68</v>
      </c>
      <c r="I1172" s="7" t="n">
        <v>1</v>
      </c>
      <c r="J1172" s="7" t="s">
        <v>2047</v>
      </c>
    </row>
    <row r="1173" customFormat="false" ht="15" hidden="false" customHeight="false" outlineLevel="0" collapsed="false">
      <c r="A1173" s="3" t="n">
        <v>7</v>
      </c>
      <c r="B1173" s="24" t="n">
        <v>46204</v>
      </c>
      <c r="C1173" s="3" t="s">
        <v>829</v>
      </c>
      <c r="D1173" s="3" t="s">
        <v>471</v>
      </c>
      <c r="E1173" s="3" t="s">
        <v>124</v>
      </c>
      <c r="F1173" s="15" t="n">
        <v>40763.92</v>
      </c>
      <c r="G1173" s="15" t="n">
        <v>14386.44</v>
      </c>
      <c r="H1173" s="15" t="n">
        <v>55150.36</v>
      </c>
      <c r="I1173" s="7" t="n">
        <v>1</v>
      </c>
      <c r="J1173" s="7" t="s">
        <v>2048</v>
      </c>
    </row>
    <row r="1174" customFormat="false" ht="15" hidden="false" customHeight="false" outlineLevel="0" collapsed="false">
      <c r="A1174" s="3" t="n">
        <v>7</v>
      </c>
      <c r="B1174" s="24" t="n">
        <v>46204</v>
      </c>
      <c r="C1174" s="3" t="s">
        <v>829</v>
      </c>
      <c r="D1174" s="3" t="s">
        <v>471</v>
      </c>
      <c r="E1174" s="3" t="s">
        <v>125</v>
      </c>
      <c r="F1174" s="15" t="n">
        <v>63054.52</v>
      </c>
      <c r="G1174" s="15" t="n">
        <v>22224.27</v>
      </c>
      <c r="H1174" s="15" t="n">
        <v>85278.79</v>
      </c>
      <c r="I1174" s="7" t="n">
        <v>2</v>
      </c>
      <c r="J1174" s="7" t="s">
        <v>2049</v>
      </c>
    </row>
    <row r="1175" customFormat="false" ht="15" hidden="false" customHeight="false" outlineLevel="0" collapsed="false">
      <c r="A1175" s="3" t="n">
        <v>7</v>
      </c>
      <c r="B1175" s="24" t="n">
        <v>46204</v>
      </c>
      <c r="C1175" s="3" t="s">
        <v>829</v>
      </c>
      <c r="D1175" s="3" t="s">
        <v>471</v>
      </c>
      <c r="E1175" s="3" t="s">
        <v>123</v>
      </c>
      <c r="F1175" s="15" t="n">
        <v>15802.82</v>
      </c>
      <c r="G1175" s="15" t="n">
        <v>5562.69</v>
      </c>
      <c r="H1175" s="15" t="n">
        <v>21365.51</v>
      </c>
      <c r="I1175" s="7" t="n">
        <v>3</v>
      </c>
      <c r="J1175" s="7" t="s">
        <v>2050</v>
      </c>
    </row>
    <row r="1176" customFormat="false" ht="15" hidden="false" customHeight="false" outlineLevel="0" collapsed="false">
      <c r="A1176" s="3" t="n">
        <v>7</v>
      </c>
      <c r="B1176" s="24" t="n">
        <v>46204</v>
      </c>
      <c r="C1176" s="3" t="s">
        <v>829</v>
      </c>
      <c r="D1176" s="3" t="s">
        <v>471</v>
      </c>
      <c r="E1176" s="3" t="s">
        <v>131</v>
      </c>
      <c r="F1176" s="15" t="n">
        <v>34618.78</v>
      </c>
      <c r="G1176" s="15" t="n">
        <v>12201.75</v>
      </c>
      <c r="H1176" s="15" t="n">
        <v>46820.53</v>
      </c>
      <c r="I1176" s="7" t="n">
        <v>4</v>
      </c>
      <c r="J1176" s="7" t="s">
        <v>2051</v>
      </c>
    </row>
    <row r="1177" customFormat="false" ht="15" hidden="false" customHeight="false" outlineLevel="0" collapsed="false">
      <c r="A1177" s="3" t="n">
        <v>7</v>
      </c>
      <c r="B1177" s="24" t="n">
        <v>46204</v>
      </c>
      <c r="C1177" s="3" t="s">
        <v>829</v>
      </c>
      <c r="D1177" s="3" t="s">
        <v>471</v>
      </c>
      <c r="E1177" s="3" t="s">
        <v>127</v>
      </c>
      <c r="F1177" s="15" t="n">
        <v>57202.86</v>
      </c>
      <c r="G1177" s="15" t="n">
        <v>20085.96</v>
      </c>
      <c r="H1177" s="15" t="n">
        <v>77288.82</v>
      </c>
      <c r="I1177" s="7" t="n">
        <v>5</v>
      </c>
      <c r="J1177" s="7" t="s">
        <v>2052</v>
      </c>
    </row>
    <row r="1178" customFormat="false" ht="15" hidden="false" customHeight="false" outlineLevel="0" collapsed="false">
      <c r="A1178" s="3" t="n">
        <v>7</v>
      </c>
      <c r="B1178" s="24" t="n">
        <v>46204</v>
      </c>
      <c r="C1178" s="3" t="s">
        <v>829</v>
      </c>
      <c r="D1178" s="3" t="s">
        <v>471</v>
      </c>
      <c r="E1178" s="3" t="s">
        <v>129</v>
      </c>
      <c r="F1178" s="15" t="n">
        <v>18636.19</v>
      </c>
      <c r="G1178" s="15" t="n">
        <v>6564.91</v>
      </c>
      <c r="H1178" s="15" t="n">
        <v>25201.1</v>
      </c>
      <c r="I1178" s="7" t="n">
        <v>6</v>
      </c>
      <c r="J1178" s="7" t="s">
        <v>2053</v>
      </c>
    </row>
    <row r="1179" customFormat="false" ht="15" hidden="false" customHeight="false" outlineLevel="0" collapsed="false">
      <c r="A1179" s="3" t="n">
        <v>7</v>
      </c>
      <c r="B1179" s="24" t="n">
        <v>46204</v>
      </c>
      <c r="C1179" s="3" t="s">
        <v>829</v>
      </c>
      <c r="D1179" s="3" t="s">
        <v>471</v>
      </c>
      <c r="E1179" s="3" t="s">
        <v>116</v>
      </c>
      <c r="F1179" s="15" t="n">
        <v>83193.83</v>
      </c>
      <c r="G1179" s="15" t="n">
        <v>29324.99</v>
      </c>
      <c r="H1179" s="15" t="n">
        <v>112518.82</v>
      </c>
      <c r="I1179" s="7" t="n">
        <v>7</v>
      </c>
      <c r="J1179" s="7" t="s">
        <v>2054</v>
      </c>
    </row>
    <row r="1180" customFormat="false" ht="15" hidden="false" customHeight="false" outlineLevel="0" collapsed="false">
      <c r="A1180" s="3" t="n">
        <v>7</v>
      </c>
      <c r="B1180" s="24" t="n">
        <v>46204</v>
      </c>
      <c r="C1180" s="3" t="s">
        <v>829</v>
      </c>
      <c r="D1180" s="3" t="s">
        <v>471</v>
      </c>
      <c r="E1180" s="3" t="s">
        <v>115</v>
      </c>
      <c r="F1180" s="15" t="n">
        <v>135116.08</v>
      </c>
      <c r="G1180" s="15" t="n">
        <v>47467.46</v>
      </c>
      <c r="H1180" s="15" t="n">
        <v>182583.54</v>
      </c>
      <c r="I1180" s="7" t="n">
        <v>8</v>
      </c>
      <c r="J1180" s="7" t="s">
        <v>2055</v>
      </c>
    </row>
    <row r="1181" customFormat="false" ht="15" hidden="false" customHeight="false" outlineLevel="0" collapsed="false">
      <c r="A1181" s="3" t="n">
        <v>7</v>
      </c>
      <c r="B1181" s="24" t="n">
        <v>46204</v>
      </c>
      <c r="C1181" s="3" t="s">
        <v>829</v>
      </c>
      <c r="D1181" s="3" t="s">
        <v>471</v>
      </c>
      <c r="E1181" s="3" t="s">
        <v>117</v>
      </c>
      <c r="F1181" s="15" t="n">
        <v>94041.1</v>
      </c>
      <c r="G1181" s="15" t="n">
        <v>33141.36</v>
      </c>
      <c r="H1181" s="15" t="n">
        <v>127182.46</v>
      </c>
      <c r="I1181" s="7" t="n">
        <v>9</v>
      </c>
      <c r="J1181" s="7" t="s">
        <v>2056</v>
      </c>
    </row>
    <row r="1182" customFormat="false" ht="15" hidden="false" customHeight="false" outlineLevel="0" collapsed="false">
      <c r="A1182" s="3" t="n">
        <v>7</v>
      </c>
      <c r="B1182" s="24" t="n">
        <v>46204</v>
      </c>
      <c r="C1182" s="3" t="s">
        <v>829</v>
      </c>
      <c r="D1182" s="3" t="s">
        <v>471</v>
      </c>
      <c r="E1182" s="3" t="s">
        <v>150</v>
      </c>
      <c r="F1182" s="15" t="n">
        <v>21881.75</v>
      </c>
      <c r="G1182" s="15" t="n">
        <v>7800.99</v>
      </c>
      <c r="H1182" s="15" t="n">
        <v>29682.74</v>
      </c>
      <c r="I1182" s="7" t="n">
        <v>10</v>
      </c>
      <c r="J1182" s="7" t="s">
        <v>2057</v>
      </c>
    </row>
    <row r="1183" customFormat="false" ht="15" hidden="false" customHeight="false" outlineLevel="0" collapsed="false">
      <c r="A1183" s="3" t="n">
        <v>7</v>
      </c>
      <c r="B1183" s="24" t="n">
        <v>46204</v>
      </c>
      <c r="C1183" s="3" t="s">
        <v>829</v>
      </c>
      <c r="D1183" s="3" t="s">
        <v>471</v>
      </c>
      <c r="E1183" s="3" t="s">
        <v>108</v>
      </c>
      <c r="F1183" s="15" t="n">
        <v>327077.35</v>
      </c>
      <c r="G1183" s="15" t="n">
        <v>115231.99</v>
      </c>
      <c r="H1183" s="15" t="n">
        <v>442309.34</v>
      </c>
      <c r="I1183" s="7" t="n">
        <v>11</v>
      </c>
      <c r="J1183" s="7" t="s">
        <v>2058</v>
      </c>
    </row>
    <row r="1184" customFormat="false" ht="15" hidden="false" customHeight="false" outlineLevel="0" collapsed="false">
      <c r="A1184" s="3" t="n">
        <v>7</v>
      </c>
      <c r="B1184" s="24" t="n">
        <v>46204</v>
      </c>
      <c r="C1184" s="3" t="s">
        <v>829</v>
      </c>
      <c r="D1184" s="3" t="s">
        <v>471</v>
      </c>
      <c r="E1184" s="3" t="s">
        <v>170</v>
      </c>
      <c r="F1184" s="15" t="n">
        <v>23958.82</v>
      </c>
      <c r="G1184" s="15" t="n">
        <v>8431.01</v>
      </c>
      <c r="H1184" s="15" t="n">
        <v>32389.83</v>
      </c>
      <c r="I1184" s="7" t="n">
        <v>12</v>
      </c>
      <c r="J1184" s="7" t="s">
        <v>2059</v>
      </c>
    </row>
    <row r="1185" customFormat="false" ht="15" hidden="false" customHeight="false" outlineLevel="0" collapsed="false">
      <c r="A1185" s="3" t="n">
        <v>7</v>
      </c>
      <c r="B1185" s="24" t="n">
        <v>46204</v>
      </c>
      <c r="C1185" s="3" t="s">
        <v>829</v>
      </c>
      <c r="D1185" s="3" t="s">
        <v>471</v>
      </c>
      <c r="E1185" s="3" t="s">
        <v>110</v>
      </c>
      <c r="F1185" s="15" t="n">
        <v>194765.94</v>
      </c>
      <c r="G1185" s="15" t="n">
        <v>68708.35</v>
      </c>
      <c r="H1185" s="15" t="n">
        <v>263474.29</v>
      </c>
      <c r="I1185" s="7" t="n">
        <v>13</v>
      </c>
      <c r="J1185" s="7" t="s">
        <v>2060</v>
      </c>
    </row>
    <row r="1186" customFormat="false" ht="15" hidden="false" customHeight="false" outlineLevel="0" collapsed="false">
      <c r="A1186" s="3" t="n">
        <v>7</v>
      </c>
      <c r="B1186" s="24" t="n">
        <v>46204</v>
      </c>
      <c r="C1186" s="3" t="s">
        <v>829</v>
      </c>
      <c r="D1186" s="3" t="s">
        <v>471</v>
      </c>
      <c r="E1186" s="3" t="s">
        <v>151</v>
      </c>
      <c r="F1186" s="15" t="n">
        <v>11381.06</v>
      </c>
      <c r="G1186" s="15" t="n">
        <v>4005.77</v>
      </c>
      <c r="H1186" s="15" t="n">
        <v>15386.83</v>
      </c>
      <c r="I1186" s="7" t="n">
        <v>14</v>
      </c>
      <c r="J1186" s="7" t="s">
        <v>2061</v>
      </c>
    </row>
    <row r="1187" customFormat="false" ht="15" hidden="false" customHeight="false" outlineLevel="0" collapsed="false">
      <c r="A1187" s="3" t="n">
        <v>7</v>
      </c>
      <c r="B1187" s="24" t="n">
        <v>46204</v>
      </c>
      <c r="C1187" s="3" t="s">
        <v>829</v>
      </c>
      <c r="D1187" s="3" t="s">
        <v>471</v>
      </c>
      <c r="E1187" s="3" t="s">
        <v>121</v>
      </c>
      <c r="F1187" s="15" t="n">
        <v>50537.7</v>
      </c>
      <c r="G1187" s="15" t="n">
        <v>17784.44</v>
      </c>
      <c r="H1187" s="15" t="n">
        <v>68322.14</v>
      </c>
      <c r="I1187" s="7" t="n">
        <v>15</v>
      </c>
      <c r="J1187" s="7" t="s">
        <v>2062</v>
      </c>
    </row>
    <row r="1188" customFormat="false" ht="15" hidden="false" customHeight="false" outlineLevel="0" collapsed="false">
      <c r="A1188" s="3" t="n">
        <v>7</v>
      </c>
      <c r="B1188" s="24" t="n">
        <v>46204</v>
      </c>
      <c r="C1188" s="3" t="s">
        <v>830</v>
      </c>
      <c r="D1188" s="3" t="s">
        <v>258</v>
      </c>
      <c r="E1188" s="3" t="s">
        <v>146</v>
      </c>
      <c r="F1188" s="15" t="n">
        <v>7078.24</v>
      </c>
      <c r="G1188" s="15" t="n">
        <v>2464.41</v>
      </c>
      <c r="H1188" s="15" t="n">
        <v>9542.65</v>
      </c>
      <c r="I1188" s="7" t="n">
        <v>1</v>
      </c>
      <c r="J1188" s="7" t="s">
        <v>2063</v>
      </c>
    </row>
    <row r="1189" customFormat="false" ht="15" hidden="false" customHeight="false" outlineLevel="0" collapsed="false">
      <c r="A1189" s="3" t="n">
        <v>7</v>
      </c>
      <c r="B1189" s="24" t="n">
        <v>46204</v>
      </c>
      <c r="C1189" s="3" t="s">
        <v>831</v>
      </c>
      <c r="D1189" s="3" t="s">
        <v>261</v>
      </c>
      <c r="E1189" s="3" t="s">
        <v>112</v>
      </c>
      <c r="F1189" s="15" t="n">
        <v>1260.99</v>
      </c>
      <c r="G1189" s="15" t="n">
        <v>470.43</v>
      </c>
      <c r="H1189" s="15" t="n">
        <v>1731.42</v>
      </c>
      <c r="I1189" s="7" t="n">
        <v>1</v>
      </c>
      <c r="J1189" s="7" t="s">
        <v>2064</v>
      </c>
    </row>
    <row r="1190" customFormat="false" ht="15" hidden="false" customHeight="false" outlineLevel="0" collapsed="false">
      <c r="A1190" s="3" t="n">
        <v>7</v>
      </c>
      <c r="B1190" s="24" t="n">
        <v>46204</v>
      </c>
      <c r="C1190" s="3" t="s">
        <v>832</v>
      </c>
      <c r="D1190" s="3" t="s">
        <v>212</v>
      </c>
      <c r="E1190" s="3" t="s">
        <v>109</v>
      </c>
      <c r="F1190" s="15" t="n">
        <v>0</v>
      </c>
      <c r="G1190" s="15" t="n">
        <v>71393.87</v>
      </c>
      <c r="H1190" s="15" t="n">
        <v>71393.87</v>
      </c>
      <c r="I1190" s="7" t="n">
        <v>1</v>
      </c>
      <c r="J1190" s="7" t="s">
        <v>2065</v>
      </c>
    </row>
    <row r="1191" customFormat="false" ht="15" hidden="false" customHeight="false" outlineLevel="0" collapsed="false">
      <c r="A1191" s="3" t="n">
        <v>7</v>
      </c>
      <c r="B1191" s="24" t="n">
        <v>46204</v>
      </c>
      <c r="C1191" s="3" t="s">
        <v>833</v>
      </c>
      <c r="D1191" s="3" t="s">
        <v>222</v>
      </c>
      <c r="E1191" s="3" t="s">
        <v>118</v>
      </c>
      <c r="F1191" s="15" t="n">
        <v>29637.9</v>
      </c>
      <c r="G1191" s="15" t="n">
        <v>10408.56</v>
      </c>
      <c r="H1191" s="15" t="n">
        <v>40046.46</v>
      </c>
      <c r="I1191" s="7" t="n">
        <v>1</v>
      </c>
      <c r="J1191" s="7" t="s">
        <v>2066</v>
      </c>
    </row>
    <row r="1192" customFormat="false" ht="15" hidden="false" customHeight="false" outlineLevel="0" collapsed="false">
      <c r="A1192" s="3" t="n">
        <v>7</v>
      </c>
      <c r="B1192" s="24" t="n">
        <v>46204</v>
      </c>
      <c r="C1192" s="3" t="s">
        <v>833</v>
      </c>
      <c r="D1192" s="3" t="s">
        <v>222</v>
      </c>
      <c r="E1192" s="3" t="s">
        <v>113</v>
      </c>
      <c r="F1192" s="15" t="n">
        <v>189323.31</v>
      </c>
      <c r="G1192" s="15" t="n">
        <v>66834.5</v>
      </c>
      <c r="H1192" s="15" t="n">
        <v>256157.81</v>
      </c>
      <c r="I1192" s="7" t="n">
        <v>2</v>
      </c>
      <c r="J1192" s="7" t="s">
        <v>2067</v>
      </c>
    </row>
    <row r="1193" customFormat="false" ht="15" hidden="false" customHeight="false" outlineLevel="0" collapsed="false">
      <c r="A1193" s="3" t="n">
        <v>7</v>
      </c>
      <c r="B1193" s="24" t="n">
        <v>46204</v>
      </c>
      <c r="C1193" s="3" t="s">
        <v>833</v>
      </c>
      <c r="D1193" s="3" t="s">
        <v>222</v>
      </c>
      <c r="E1193" s="3" t="s">
        <v>111</v>
      </c>
      <c r="F1193" s="15" t="n">
        <v>201461.75</v>
      </c>
      <c r="G1193" s="15" t="n">
        <v>70777.45</v>
      </c>
      <c r="H1193" s="15" t="n">
        <v>272239.2</v>
      </c>
      <c r="I1193" s="7" t="n">
        <v>3</v>
      </c>
      <c r="J1193" s="7" t="s">
        <v>2068</v>
      </c>
    </row>
    <row r="1194" customFormat="false" ht="15" hidden="false" customHeight="false" outlineLevel="0" collapsed="false">
      <c r="A1194" s="3" t="n">
        <v>7</v>
      </c>
      <c r="B1194" s="24" t="n">
        <v>46204</v>
      </c>
      <c r="C1194" s="3" t="s">
        <v>833</v>
      </c>
      <c r="D1194" s="3" t="s">
        <v>222</v>
      </c>
      <c r="E1194" s="3" t="s">
        <v>114</v>
      </c>
      <c r="F1194" s="15" t="n">
        <v>144215.73</v>
      </c>
      <c r="G1194" s="15" t="n">
        <v>50915.95</v>
      </c>
      <c r="H1194" s="15" t="n">
        <v>195131.68</v>
      </c>
      <c r="I1194" s="7" t="n">
        <v>4</v>
      </c>
      <c r="J1194" s="7" t="s">
        <v>2069</v>
      </c>
    </row>
    <row r="1195" customFormat="false" ht="15" hidden="false" customHeight="false" outlineLevel="0" collapsed="false">
      <c r="A1195" s="3" t="n">
        <v>7</v>
      </c>
      <c r="B1195" s="24" t="n">
        <v>46204</v>
      </c>
      <c r="C1195" s="3" t="s">
        <v>834</v>
      </c>
      <c r="D1195" s="3" t="s">
        <v>226</v>
      </c>
      <c r="E1195" s="3" t="s">
        <v>138</v>
      </c>
      <c r="F1195" s="15" t="n">
        <v>11636.89</v>
      </c>
      <c r="G1195" s="15" t="n">
        <v>3501.61</v>
      </c>
      <c r="H1195" s="15" t="n">
        <v>15138.5</v>
      </c>
      <c r="I1195" s="7" t="n">
        <v>1</v>
      </c>
      <c r="J1195" s="7" t="s">
        <v>2070</v>
      </c>
    </row>
    <row r="1196" customFormat="false" ht="15" hidden="false" customHeight="false" outlineLevel="0" collapsed="false">
      <c r="A1196" s="3" t="n">
        <v>7</v>
      </c>
      <c r="B1196" s="24" t="n">
        <v>46204</v>
      </c>
      <c r="C1196" s="3" t="s">
        <v>835</v>
      </c>
      <c r="D1196" s="3" t="s">
        <v>836</v>
      </c>
      <c r="E1196" s="3" t="s">
        <v>112</v>
      </c>
      <c r="F1196" s="15" t="n">
        <v>5806.93</v>
      </c>
      <c r="G1196" s="15" t="n">
        <v>1970.48</v>
      </c>
      <c r="H1196" s="15" t="n">
        <v>7777.41</v>
      </c>
      <c r="I1196" s="7" t="n">
        <v>1</v>
      </c>
      <c r="J1196" s="7" t="s">
        <v>2071</v>
      </c>
    </row>
    <row r="1197" customFormat="false" ht="15" hidden="false" customHeight="false" outlineLevel="0" collapsed="false">
      <c r="A1197" s="3" t="n">
        <v>7</v>
      </c>
      <c r="B1197" s="24" t="n">
        <v>46204</v>
      </c>
      <c r="C1197" s="3" t="s">
        <v>837</v>
      </c>
      <c r="D1197" s="3" t="s">
        <v>440</v>
      </c>
      <c r="E1197" s="3" t="s">
        <v>148</v>
      </c>
      <c r="F1197" s="15" t="n">
        <v>3.9</v>
      </c>
      <c r="G1197" s="15" t="n">
        <v>0</v>
      </c>
      <c r="H1197" s="15" t="n">
        <v>3.9</v>
      </c>
      <c r="I1197" s="7" t="n">
        <v>1</v>
      </c>
      <c r="J1197" s="7" t="s">
        <v>2072</v>
      </c>
    </row>
    <row r="1198" customFormat="false" ht="15" hidden="false" customHeight="false" outlineLevel="0" collapsed="false">
      <c r="A1198" s="3" t="n">
        <v>7</v>
      </c>
      <c r="B1198" s="24" t="n">
        <v>46204</v>
      </c>
      <c r="C1198" s="3" t="s">
        <v>837</v>
      </c>
      <c r="D1198" s="3" t="s">
        <v>440</v>
      </c>
      <c r="E1198" s="3" t="s">
        <v>144</v>
      </c>
      <c r="F1198" s="15" t="n">
        <v>444.45</v>
      </c>
      <c r="G1198" s="15" t="n">
        <v>0</v>
      </c>
      <c r="H1198" s="15" t="n">
        <v>444.45</v>
      </c>
      <c r="I1198" s="7" t="n">
        <v>2</v>
      </c>
      <c r="J1198" s="7" t="s">
        <v>2073</v>
      </c>
    </row>
    <row r="1199" customFormat="false" ht="15" hidden="false" customHeight="false" outlineLevel="0" collapsed="false">
      <c r="A1199" s="3" t="n">
        <v>7</v>
      </c>
      <c r="B1199" s="24" t="n">
        <v>46204</v>
      </c>
      <c r="C1199" s="3" t="s">
        <v>837</v>
      </c>
      <c r="D1199" s="3" t="s">
        <v>440</v>
      </c>
      <c r="E1199" s="3" t="s">
        <v>147</v>
      </c>
      <c r="F1199" s="15" t="n">
        <v>360.85</v>
      </c>
      <c r="G1199" s="15" t="n">
        <v>0</v>
      </c>
      <c r="H1199" s="15" t="n">
        <v>360.85</v>
      </c>
      <c r="I1199" s="7" t="n">
        <v>3</v>
      </c>
      <c r="J1199" s="7" t="s">
        <v>2074</v>
      </c>
    </row>
    <row r="1200" customFormat="false" ht="15" hidden="false" customHeight="false" outlineLevel="0" collapsed="false">
      <c r="A1200" s="3" t="n">
        <v>7</v>
      </c>
      <c r="B1200" s="24" t="n">
        <v>46204</v>
      </c>
      <c r="C1200" s="3" t="s">
        <v>837</v>
      </c>
      <c r="D1200" s="3" t="s">
        <v>440</v>
      </c>
      <c r="E1200" s="3" t="s">
        <v>135</v>
      </c>
      <c r="F1200" s="15" t="n">
        <v>444.45</v>
      </c>
      <c r="G1200" s="15" t="n">
        <v>0</v>
      </c>
      <c r="H1200" s="15" t="n">
        <v>444.45</v>
      </c>
      <c r="I1200" s="7" t="n">
        <v>4</v>
      </c>
      <c r="J1200" s="7" t="s">
        <v>2075</v>
      </c>
    </row>
    <row r="1201" customFormat="false" ht="15" hidden="false" customHeight="false" outlineLevel="0" collapsed="false">
      <c r="A1201" s="3" t="n">
        <v>7</v>
      </c>
      <c r="B1201" s="24" t="n">
        <v>46204</v>
      </c>
      <c r="C1201" s="3" t="s">
        <v>837</v>
      </c>
      <c r="D1201" s="3" t="s">
        <v>440</v>
      </c>
      <c r="E1201" s="3" t="s">
        <v>173</v>
      </c>
      <c r="F1201" s="15" t="n">
        <v>84</v>
      </c>
      <c r="G1201" s="15" t="n">
        <v>0</v>
      </c>
      <c r="H1201" s="15" t="n">
        <v>84</v>
      </c>
      <c r="I1201" s="7" t="n">
        <v>5</v>
      </c>
      <c r="J1201" s="7" t="s">
        <v>2076</v>
      </c>
    </row>
    <row r="1202" customFormat="false" ht="15" hidden="false" customHeight="false" outlineLevel="0" collapsed="false">
      <c r="A1202" s="3" t="n">
        <v>7</v>
      </c>
      <c r="B1202" s="24" t="n">
        <v>46204</v>
      </c>
      <c r="C1202" s="3" t="s">
        <v>837</v>
      </c>
      <c r="D1202" s="3" t="s">
        <v>440</v>
      </c>
      <c r="E1202" s="3" t="s">
        <v>156</v>
      </c>
      <c r="F1202" s="15" t="n">
        <v>1333.35</v>
      </c>
      <c r="G1202" s="15" t="n">
        <v>0</v>
      </c>
      <c r="H1202" s="15" t="n">
        <v>1333.35</v>
      </c>
      <c r="I1202" s="7" t="n">
        <v>6</v>
      </c>
      <c r="J1202" s="7" t="s">
        <v>2077</v>
      </c>
    </row>
    <row r="1203" customFormat="false" ht="15" hidden="false" customHeight="false" outlineLevel="0" collapsed="false">
      <c r="A1203" s="3" t="n">
        <v>7</v>
      </c>
      <c r="B1203" s="24" t="n">
        <v>46204</v>
      </c>
      <c r="C1203" s="3" t="s">
        <v>837</v>
      </c>
      <c r="D1203" s="3" t="s">
        <v>440</v>
      </c>
      <c r="E1203" s="3" t="s">
        <v>177</v>
      </c>
      <c r="F1203" s="15" t="n">
        <v>444.45</v>
      </c>
      <c r="G1203" s="15" t="n">
        <v>0</v>
      </c>
      <c r="H1203" s="15" t="n">
        <v>444.45</v>
      </c>
      <c r="I1203" s="7" t="n">
        <v>7</v>
      </c>
      <c r="J1203" s="7" t="s">
        <v>2078</v>
      </c>
    </row>
    <row r="1204" customFormat="false" ht="15" hidden="false" customHeight="false" outlineLevel="0" collapsed="false">
      <c r="A1204" s="3" t="n">
        <v>7</v>
      </c>
      <c r="B1204" s="24" t="n">
        <v>46204</v>
      </c>
      <c r="C1204" s="3" t="s">
        <v>838</v>
      </c>
      <c r="D1204" s="3" t="s">
        <v>440</v>
      </c>
      <c r="E1204" s="3" t="s">
        <v>120</v>
      </c>
      <c r="F1204" s="15" t="n">
        <v>4296.1</v>
      </c>
      <c r="G1204" s="15" t="n">
        <v>0</v>
      </c>
      <c r="H1204" s="15" t="n">
        <v>4296.1</v>
      </c>
      <c r="I1204" s="7" t="n">
        <v>1</v>
      </c>
      <c r="J1204" s="7" t="s">
        <v>2079</v>
      </c>
    </row>
    <row r="1205" customFormat="false" ht="15" hidden="false" customHeight="false" outlineLevel="0" collapsed="false">
      <c r="A1205" s="3" t="n">
        <v>7</v>
      </c>
      <c r="B1205" s="24" t="n">
        <v>46204</v>
      </c>
      <c r="C1205" s="3" t="s">
        <v>838</v>
      </c>
      <c r="D1205" s="3" t="s">
        <v>440</v>
      </c>
      <c r="E1205" s="3" t="s">
        <v>126</v>
      </c>
      <c r="F1205" s="15" t="n">
        <v>3702.01</v>
      </c>
      <c r="G1205" s="15" t="n">
        <v>0</v>
      </c>
      <c r="H1205" s="15" t="n">
        <v>3702.01</v>
      </c>
      <c r="I1205" s="7" t="n">
        <v>2</v>
      </c>
      <c r="J1205" s="7" t="s">
        <v>2080</v>
      </c>
    </row>
    <row r="1206" customFormat="false" ht="15" hidden="false" customHeight="false" outlineLevel="0" collapsed="false">
      <c r="A1206" s="3" t="n">
        <v>7</v>
      </c>
      <c r="B1206" s="24" t="n">
        <v>46204</v>
      </c>
      <c r="C1206" s="3" t="s">
        <v>838</v>
      </c>
      <c r="D1206" s="3" t="s">
        <v>440</v>
      </c>
      <c r="E1206" s="3" t="s">
        <v>139</v>
      </c>
      <c r="F1206" s="15" t="n">
        <v>2728.7</v>
      </c>
      <c r="G1206" s="15" t="n">
        <v>0</v>
      </c>
      <c r="H1206" s="15" t="n">
        <v>2728.7</v>
      </c>
      <c r="I1206" s="7" t="n">
        <v>3</v>
      </c>
      <c r="J1206" s="7" t="s">
        <v>2081</v>
      </c>
    </row>
    <row r="1207" customFormat="false" ht="15" hidden="false" customHeight="false" outlineLevel="0" collapsed="false">
      <c r="A1207" s="3" t="n">
        <v>7</v>
      </c>
      <c r="B1207" s="24" t="n">
        <v>46204</v>
      </c>
      <c r="C1207" s="3" t="s">
        <v>839</v>
      </c>
      <c r="D1207" s="3" t="s">
        <v>440</v>
      </c>
      <c r="E1207" s="3" t="s">
        <v>165</v>
      </c>
      <c r="F1207" s="15" t="n">
        <v>1159.19</v>
      </c>
      <c r="G1207" s="15" t="n">
        <v>0</v>
      </c>
      <c r="H1207" s="15" t="n">
        <v>1159.19</v>
      </c>
      <c r="I1207" s="7" t="n">
        <v>1</v>
      </c>
      <c r="J1207" s="7" t="s">
        <v>2082</v>
      </c>
    </row>
    <row r="1208" customFormat="false" ht="15" hidden="false" customHeight="false" outlineLevel="0" collapsed="false">
      <c r="A1208" s="3" t="n">
        <v>7</v>
      </c>
      <c r="B1208" s="24" t="n">
        <v>46204</v>
      </c>
      <c r="C1208" s="3" t="s">
        <v>840</v>
      </c>
      <c r="D1208" s="3" t="s">
        <v>214</v>
      </c>
      <c r="E1208" s="3" t="s">
        <v>112</v>
      </c>
      <c r="F1208" s="15" t="n">
        <v>9460.02</v>
      </c>
      <c r="G1208" s="15" t="n">
        <v>0</v>
      </c>
      <c r="H1208" s="15" t="n">
        <v>9460.02</v>
      </c>
      <c r="I1208" s="7" t="n">
        <v>1</v>
      </c>
      <c r="J1208" s="7" t="s">
        <v>2083</v>
      </c>
    </row>
    <row r="1209" customFormat="false" ht="15" hidden="false" customHeight="false" outlineLevel="0" collapsed="false">
      <c r="A1209" s="3" t="n">
        <v>7</v>
      </c>
      <c r="B1209" s="24" t="n">
        <v>46204</v>
      </c>
      <c r="C1209" s="3" t="s">
        <v>841</v>
      </c>
      <c r="D1209" s="3" t="s">
        <v>440</v>
      </c>
      <c r="E1209" s="3" t="s">
        <v>159</v>
      </c>
      <c r="F1209" s="15" t="n">
        <v>1524.7</v>
      </c>
      <c r="G1209" s="15" t="n">
        <v>0</v>
      </c>
      <c r="H1209" s="15" t="n">
        <v>1524.7</v>
      </c>
      <c r="I1209" s="7" t="n">
        <v>1</v>
      </c>
      <c r="J1209" s="7" t="s">
        <v>2084</v>
      </c>
    </row>
    <row r="1210" customFormat="false" ht="15" hidden="false" customHeight="false" outlineLevel="0" collapsed="false">
      <c r="A1210" s="3" t="n">
        <v>7</v>
      </c>
      <c r="B1210" s="24" t="n">
        <v>46204</v>
      </c>
      <c r="C1210" s="3" t="s">
        <v>842</v>
      </c>
      <c r="D1210" s="3" t="s">
        <v>440</v>
      </c>
      <c r="E1210" s="3" t="s">
        <v>112</v>
      </c>
      <c r="F1210" s="15" t="n">
        <v>224.3</v>
      </c>
      <c r="G1210" s="15" t="n">
        <v>0</v>
      </c>
      <c r="H1210" s="15" t="n">
        <v>224.3</v>
      </c>
      <c r="I1210" s="7" t="n">
        <v>1</v>
      </c>
      <c r="J1210" s="7" t="s">
        <v>2085</v>
      </c>
    </row>
    <row r="1211" customFormat="false" ht="15" hidden="false" customHeight="false" outlineLevel="0" collapsed="false">
      <c r="A1211" s="3" t="n">
        <v>7</v>
      </c>
      <c r="B1211" s="24" t="n">
        <v>46204</v>
      </c>
      <c r="C1211" s="3" t="s">
        <v>843</v>
      </c>
      <c r="D1211" s="3" t="s">
        <v>440</v>
      </c>
      <c r="E1211" s="3" t="s">
        <v>112</v>
      </c>
      <c r="F1211" s="15" t="n">
        <v>530.03</v>
      </c>
      <c r="G1211" s="15" t="n">
        <v>0</v>
      </c>
      <c r="H1211" s="15" t="n">
        <v>530.03</v>
      </c>
      <c r="I1211" s="7" t="n">
        <v>1</v>
      </c>
      <c r="J1211" s="7" t="s">
        <v>2086</v>
      </c>
    </row>
    <row r="1212" customFormat="false" ht="15" hidden="false" customHeight="false" outlineLevel="0" collapsed="false">
      <c r="A1212" s="3" t="n">
        <v>7</v>
      </c>
      <c r="B1212" s="24" t="n">
        <v>46204</v>
      </c>
      <c r="C1212" s="3" t="s">
        <v>844</v>
      </c>
      <c r="D1212" s="3" t="s">
        <v>440</v>
      </c>
      <c r="E1212" s="3" t="s">
        <v>130</v>
      </c>
      <c r="F1212" s="15" t="n">
        <v>3146.6</v>
      </c>
      <c r="G1212" s="15" t="n">
        <v>0</v>
      </c>
      <c r="H1212" s="15" t="n">
        <v>3146.6</v>
      </c>
      <c r="I1212" s="7" t="n">
        <v>1</v>
      </c>
      <c r="J1212" s="7" t="s">
        <v>2087</v>
      </c>
    </row>
    <row r="1213" customFormat="false" ht="15" hidden="false" customHeight="false" outlineLevel="0" collapsed="false">
      <c r="A1213" s="3" t="n">
        <v>7</v>
      </c>
      <c r="B1213" s="24" t="n">
        <v>46204</v>
      </c>
      <c r="C1213" s="3" t="s">
        <v>845</v>
      </c>
      <c r="D1213" s="3" t="s">
        <v>440</v>
      </c>
      <c r="E1213" s="3" t="s">
        <v>112</v>
      </c>
      <c r="F1213" s="15" t="n">
        <v>1563.55</v>
      </c>
      <c r="G1213" s="15" t="n">
        <v>0</v>
      </c>
      <c r="H1213" s="15" t="n">
        <v>1563.55</v>
      </c>
      <c r="I1213" s="7" t="n">
        <v>1</v>
      </c>
      <c r="J1213" s="7" t="s">
        <v>2088</v>
      </c>
    </row>
    <row r="1214" customFormat="false" ht="15" hidden="false" customHeight="false" outlineLevel="0" collapsed="false">
      <c r="A1214" s="3" t="n">
        <v>7</v>
      </c>
      <c r="B1214" s="24" t="n">
        <v>46204</v>
      </c>
      <c r="C1214" s="3" t="s">
        <v>846</v>
      </c>
      <c r="D1214" s="3" t="s">
        <v>440</v>
      </c>
      <c r="E1214" s="3" t="s">
        <v>134</v>
      </c>
      <c r="F1214" s="15" t="n">
        <v>972.17</v>
      </c>
      <c r="G1214" s="15" t="n">
        <v>0</v>
      </c>
      <c r="H1214" s="15" t="n">
        <v>972.17</v>
      </c>
      <c r="I1214" s="7" t="n">
        <v>1</v>
      </c>
      <c r="J1214" s="7" t="s">
        <v>2089</v>
      </c>
    </row>
    <row r="1215" customFormat="false" ht="15" hidden="false" customHeight="false" outlineLevel="0" collapsed="false">
      <c r="A1215" s="3" t="n">
        <v>7</v>
      </c>
      <c r="B1215" s="24" t="n">
        <v>46204</v>
      </c>
      <c r="C1215" s="3" t="s">
        <v>847</v>
      </c>
      <c r="D1215" s="3" t="s">
        <v>440</v>
      </c>
      <c r="E1215" s="3" t="s">
        <v>112</v>
      </c>
      <c r="F1215" s="15" t="n">
        <v>1727.59</v>
      </c>
      <c r="G1215" s="15" t="n">
        <v>0</v>
      </c>
      <c r="H1215" s="15" t="n">
        <v>1727.59</v>
      </c>
      <c r="I1215" s="7" t="n">
        <v>1</v>
      </c>
      <c r="J1215" s="7" t="s">
        <v>2090</v>
      </c>
    </row>
    <row r="1216" customFormat="false" ht="15" hidden="false" customHeight="false" outlineLevel="0" collapsed="false">
      <c r="A1216" s="3" t="n">
        <v>7</v>
      </c>
      <c r="B1216" s="24" t="n">
        <v>46204</v>
      </c>
      <c r="C1216" s="3" t="s">
        <v>848</v>
      </c>
      <c r="D1216" s="3" t="s">
        <v>440</v>
      </c>
      <c r="E1216" s="3" t="s">
        <v>112</v>
      </c>
      <c r="F1216" s="15" t="n">
        <v>913.53</v>
      </c>
      <c r="G1216" s="15" t="n">
        <v>0</v>
      </c>
      <c r="H1216" s="15" t="n">
        <v>913.53</v>
      </c>
      <c r="I1216" s="7" t="n">
        <v>1</v>
      </c>
      <c r="J1216" s="7" t="s">
        <v>2091</v>
      </c>
    </row>
    <row r="1217" customFormat="false" ht="15" hidden="false" customHeight="false" outlineLevel="0" collapsed="false">
      <c r="A1217" s="3" t="n">
        <v>7</v>
      </c>
      <c r="B1217" s="24" t="n">
        <v>46204</v>
      </c>
      <c r="C1217" s="3" t="s">
        <v>849</v>
      </c>
      <c r="D1217" s="3" t="s">
        <v>440</v>
      </c>
      <c r="E1217" s="3" t="s">
        <v>130</v>
      </c>
      <c r="F1217" s="15" t="n">
        <v>323.3</v>
      </c>
      <c r="G1217" s="15" t="n">
        <v>0</v>
      </c>
      <c r="H1217" s="15" t="n">
        <v>323.3</v>
      </c>
      <c r="I1217" s="7" t="n">
        <v>1</v>
      </c>
      <c r="J1217" s="7" t="s">
        <v>2092</v>
      </c>
    </row>
    <row r="1218" customFormat="false" ht="15" hidden="false" customHeight="false" outlineLevel="0" collapsed="false">
      <c r="A1218" s="3" t="n">
        <v>7</v>
      </c>
      <c r="B1218" s="24" t="n">
        <v>46204</v>
      </c>
      <c r="C1218" s="3" t="s">
        <v>850</v>
      </c>
      <c r="D1218" s="3" t="s">
        <v>440</v>
      </c>
      <c r="E1218" s="3" t="s">
        <v>136</v>
      </c>
      <c r="F1218" s="15" t="n">
        <v>454.13</v>
      </c>
      <c r="G1218" s="15" t="n">
        <v>0</v>
      </c>
      <c r="H1218" s="15" t="n">
        <v>454.13</v>
      </c>
      <c r="I1218" s="7" t="n">
        <v>1</v>
      </c>
      <c r="J1218" s="7" t="s">
        <v>2093</v>
      </c>
    </row>
    <row r="1219" customFormat="false" ht="15" hidden="false" customHeight="false" outlineLevel="0" collapsed="false">
      <c r="A1219" s="3" t="n">
        <v>7</v>
      </c>
      <c r="B1219" s="24" t="n">
        <v>46204</v>
      </c>
      <c r="C1219" s="3" t="s">
        <v>851</v>
      </c>
      <c r="D1219" s="3" t="s">
        <v>440</v>
      </c>
      <c r="E1219" s="3" t="s">
        <v>138</v>
      </c>
      <c r="F1219" s="15" t="n">
        <v>400.5</v>
      </c>
      <c r="G1219" s="15" t="n">
        <v>0</v>
      </c>
      <c r="H1219" s="15" t="n">
        <v>400.5</v>
      </c>
      <c r="I1219" s="7" t="n">
        <v>1</v>
      </c>
      <c r="J1219" s="7" t="s">
        <v>2094</v>
      </c>
    </row>
    <row r="1220" customFormat="false" ht="15" hidden="false" customHeight="false" outlineLevel="0" collapsed="false">
      <c r="A1220" s="3" t="n">
        <v>7</v>
      </c>
      <c r="B1220" s="24" t="n">
        <v>46204</v>
      </c>
      <c r="C1220" s="3" t="s">
        <v>852</v>
      </c>
      <c r="D1220" s="3" t="s">
        <v>440</v>
      </c>
      <c r="E1220" s="3" t="s">
        <v>112</v>
      </c>
      <c r="F1220" s="15" t="n">
        <v>728.6</v>
      </c>
      <c r="G1220" s="15" t="n">
        <v>0</v>
      </c>
      <c r="H1220" s="15" t="n">
        <v>728.6</v>
      </c>
      <c r="I1220" s="7" t="n">
        <v>1</v>
      </c>
      <c r="J1220" s="7" t="s">
        <v>2095</v>
      </c>
    </row>
    <row r="1221" customFormat="false" ht="15" hidden="false" customHeight="false" outlineLevel="0" collapsed="false">
      <c r="A1221" s="3" t="n">
        <v>7</v>
      </c>
      <c r="B1221" s="24" t="n">
        <v>46204</v>
      </c>
      <c r="C1221" s="3" t="s">
        <v>853</v>
      </c>
      <c r="D1221" s="3" t="s">
        <v>440</v>
      </c>
      <c r="E1221" s="3" t="s">
        <v>112</v>
      </c>
      <c r="F1221" s="15" t="n">
        <v>954.49</v>
      </c>
      <c r="G1221" s="15" t="n">
        <v>0</v>
      </c>
      <c r="H1221" s="15" t="n">
        <v>954.49</v>
      </c>
      <c r="I1221" s="7" t="n">
        <v>1</v>
      </c>
      <c r="J1221" s="7" t="s">
        <v>2096</v>
      </c>
    </row>
    <row r="1222" customFormat="false" ht="15" hidden="false" customHeight="false" outlineLevel="0" collapsed="false">
      <c r="A1222" s="3" t="n">
        <v>7</v>
      </c>
      <c r="B1222" s="24" t="n">
        <v>46204</v>
      </c>
      <c r="C1222" s="3" t="s">
        <v>854</v>
      </c>
      <c r="D1222" s="3" t="s">
        <v>440</v>
      </c>
      <c r="E1222" s="3" t="s">
        <v>112</v>
      </c>
      <c r="F1222" s="15" t="n">
        <v>931.49</v>
      </c>
      <c r="G1222" s="15" t="n">
        <v>0</v>
      </c>
      <c r="H1222" s="15" t="n">
        <v>931.49</v>
      </c>
      <c r="I1222" s="7" t="n">
        <v>1</v>
      </c>
      <c r="J1222" s="7" t="s">
        <v>2097</v>
      </c>
    </row>
    <row r="1223" customFormat="false" ht="15" hidden="false" customHeight="false" outlineLevel="0" collapsed="false">
      <c r="A1223" s="3" t="n">
        <v>7</v>
      </c>
      <c r="B1223" s="24" t="n">
        <v>46204</v>
      </c>
      <c r="C1223" s="3" t="s">
        <v>855</v>
      </c>
      <c r="D1223" s="3" t="s">
        <v>440</v>
      </c>
      <c r="E1223" s="3" t="s">
        <v>112</v>
      </c>
      <c r="F1223" s="15" t="n">
        <v>995.89</v>
      </c>
      <c r="G1223" s="15" t="n">
        <v>0</v>
      </c>
      <c r="H1223" s="15" t="n">
        <v>995.89</v>
      </c>
      <c r="I1223" s="7" t="n">
        <v>1</v>
      </c>
      <c r="J1223" s="7" t="s">
        <v>2098</v>
      </c>
    </row>
    <row r="1224" customFormat="false" ht="15" hidden="false" customHeight="false" outlineLevel="0" collapsed="false">
      <c r="A1224" s="3" t="n">
        <v>7</v>
      </c>
      <c r="B1224" s="24" t="n">
        <v>46204</v>
      </c>
      <c r="C1224" s="3" t="s">
        <v>856</v>
      </c>
      <c r="D1224" s="3" t="s">
        <v>471</v>
      </c>
      <c r="E1224" s="3" t="s">
        <v>140</v>
      </c>
      <c r="F1224" s="15" t="n">
        <v>308.34</v>
      </c>
      <c r="G1224" s="15" t="n">
        <v>0</v>
      </c>
      <c r="H1224" s="15" t="n">
        <v>308.34</v>
      </c>
      <c r="I1224" s="7" t="n">
        <v>1</v>
      </c>
      <c r="J1224" s="7" t="s">
        <v>2099</v>
      </c>
    </row>
    <row r="1225" customFormat="false" ht="15" hidden="false" customHeight="false" outlineLevel="0" collapsed="false">
      <c r="A1225" s="3" t="n">
        <v>7</v>
      </c>
      <c r="B1225" s="24" t="n">
        <v>46204</v>
      </c>
      <c r="C1225" s="3" t="s">
        <v>857</v>
      </c>
      <c r="D1225" s="3" t="s">
        <v>471</v>
      </c>
      <c r="E1225" s="3" t="s">
        <v>118</v>
      </c>
      <c r="F1225" s="15" t="n">
        <v>1258.4</v>
      </c>
      <c r="G1225" s="15" t="n">
        <v>0</v>
      </c>
      <c r="H1225" s="15" t="n">
        <v>1258.4</v>
      </c>
      <c r="I1225" s="7" t="n">
        <v>1</v>
      </c>
      <c r="J1225" s="7" t="s">
        <v>2100</v>
      </c>
    </row>
    <row r="1226" customFormat="false" ht="15" hidden="false" customHeight="false" outlineLevel="0" collapsed="false">
      <c r="A1226" s="3" t="n">
        <v>7</v>
      </c>
      <c r="B1226" s="24" t="n">
        <v>46204</v>
      </c>
      <c r="C1226" s="3" t="s">
        <v>857</v>
      </c>
      <c r="D1226" s="3" t="s">
        <v>440</v>
      </c>
      <c r="E1226" s="3" t="s">
        <v>113</v>
      </c>
      <c r="F1226" s="15" t="n">
        <v>156</v>
      </c>
      <c r="G1226" s="15" t="n">
        <v>0</v>
      </c>
      <c r="H1226" s="15" t="n">
        <v>156</v>
      </c>
      <c r="I1226" s="7" t="n">
        <v>2</v>
      </c>
      <c r="J1226" s="7" t="s">
        <v>2101</v>
      </c>
    </row>
    <row r="1227" customFormat="false" ht="15" hidden="false" customHeight="false" outlineLevel="0" collapsed="false">
      <c r="A1227" s="3" t="n">
        <v>7</v>
      </c>
      <c r="B1227" s="24" t="n">
        <v>46204</v>
      </c>
      <c r="C1227" s="3" t="s">
        <v>857</v>
      </c>
      <c r="D1227" s="3" t="s">
        <v>471</v>
      </c>
      <c r="E1227" s="3" t="s">
        <v>113</v>
      </c>
      <c r="F1227" s="15" t="n">
        <v>17736.2</v>
      </c>
      <c r="G1227" s="15" t="n">
        <v>0</v>
      </c>
      <c r="H1227" s="15" t="n">
        <v>17736.2</v>
      </c>
      <c r="I1227" s="7" t="n">
        <v>3</v>
      </c>
      <c r="J1227" s="7" t="s">
        <v>2102</v>
      </c>
    </row>
    <row r="1228" customFormat="false" ht="15" hidden="false" customHeight="false" outlineLevel="0" collapsed="false">
      <c r="A1228" s="3" t="n">
        <v>7</v>
      </c>
      <c r="B1228" s="24" t="n">
        <v>46204</v>
      </c>
      <c r="C1228" s="3" t="s">
        <v>857</v>
      </c>
      <c r="D1228" s="3" t="s">
        <v>440</v>
      </c>
      <c r="E1228" s="3" t="s">
        <v>111</v>
      </c>
      <c r="F1228" s="15" t="n">
        <v>216</v>
      </c>
      <c r="G1228" s="15" t="n">
        <v>0</v>
      </c>
      <c r="H1228" s="15" t="n">
        <v>216</v>
      </c>
      <c r="I1228" s="7" t="n">
        <v>4</v>
      </c>
      <c r="J1228" s="7" t="s">
        <v>2103</v>
      </c>
    </row>
    <row r="1229" customFormat="false" ht="15" hidden="false" customHeight="false" outlineLevel="0" collapsed="false">
      <c r="A1229" s="3" t="n">
        <v>7</v>
      </c>
      <c r="B1229" s="24" t="n">
        <v>46204</v>
      </c>
      <c r="C1229" s="3" t="s">
        <v>857</v>
      </c>
      <c r="D1229" s="3" t="s">
        <v>471</v>
      </c>
      <c r="E1229" s="3" t="s">
        <v>111</v>
      </c>
      <c r="F1229" s="15" t="n">
        <v>14166.6</v>
      </c>
      <c r="G1229" s="15" t="n">
        <v>0</v>
      </c>
      <c r="H1229" s="15" t="n">
        <v>14166.6</v>
      </c>
      <c r="I1229" s="7" t="n">
        <v>5</v>
      </c>
      <c r="J1229" s="7" t="s">
        <v>2104</v>
      </c>
    </row>
    <row r="1230" customFormat="false" ht="15" hidden="false" customHeight="false" outlineLevel="0" collapsed="false">
      <c r="A1230" s="3" t="n">
        <v>7</v>
      </c>
      <c r="B1230" s="24" t="n">
        <v>46204</v>
      </c>
      <c r="C1230" s="3" t="s">
        <v>857</v>
      </c>
      <c r="D1230" s="3" t="s">
        <v>440</v>
      </c>
      <c r="E1230" s="3" t="s">
        <v>114</v>
      </c>
      <c r="F1230" s="15" t="n">
        <v>180</v>
      </c>
      <c r="G1230" s="15" t="n">
        <v>0</v>
      </c>
      <c r="H1230" s="15" t="n">
        <v>180</v>
      </c>
      <c r="I1230" s="7" t="n">
        <v>6</v>
      </c>
      <c r="J1230" s="7" t="s">
        <v>2105</v>
      </c>
    </row>
    <row r="1231" customFormat="false" ht="15" hidden="false" customHeight="false" outlineLevel="0" collapsed="false">
      <c r="A1231" s="3" t="n">
        <v>7</v>
      </c>
      <c r="B1231" s="24" t="n">
        <v>46204</v>
      </c>
      <c r="C1231" s="3" t="s">
        <v>857</v>
      </c>
      <c r="D1231" s="3" t="s">
        <v>471</v>
      </c>
      <c r="E1231" s="3" t="s">
        <v>114</v>
      </c>
      <c r="F1231" s="15" t="n">
        <v>11631.8</v>
      </c>
      <c r="G1231" s="15" t="n">
        <v>0</v>
      </c>
      <c r="H1231" s="15" t="n">
        <v>11631.8</v>
      </c>
      <c r="I1231" s="7" t="n">
        <v>7</v>
      </c>
      <c r="J1231" s="7" t="s">
        <v>2106</v>
      </c>
    </row>
    <row r="1232" customFormat="false" ht="15" hidden="false" customHeight="false" outlineLevel="0" collapsed="false">
      <c r="A1232" s="3" t="n">
        <v>7</v>
      </c>
      <c r="B1232" s="24" t="n">
        <v>46204</v>
      </c>
      <c r="C1232" s="3" t="s">
        <v>858</v>
      </c>
      <c r="D1232" s="3" t="s">
        <v>471</v>
      </c>
      <c r="E1232" s="3" t="s">
        <v>113</v>
      </c>
      <c r="F1232" s="15" t="n">
        <v>1933.41</v>
      </c>
      <c r="G1232" s="15" t="n">
        <v>0</v>
      </c>
      <c r="H1232" s="15" t="n">
        <v>1933.41</v>
      </c>
      <c r="I1232" s="7" t="n">
        <v>1</v>
      </c>
      <c r="J1232" s="7" t="s">
        <v>2107</v>
      </c>
    </row>
    <row r="1233" customFormat="false" ht="15" hidden="false" customHeight="false" outlineLevel="0" collapsed="false">
      <c r="A1233" s="3" t="n">
        <v>7</v>
      </c>
      <c r="B1233" s="24" t="n">
        <v>46204</v>
      </c>
      <c r="C1233" s="3" t="s">
        <v>858</v>
      </c>
      <c r="D1233" s="3" t="s">
        <v>471</v>
      </c>
      <c r="E1233" s="3" t="s">
        <v>111</v>
      </c>
      <c r="F1233" s="15" t="n">
        <v>1625.23</v>
      </c>
      <c r="G1233" s="15" t="n">
        <v>0</v>
      </c>
      <c r="H1233" s="15" t="n">
        <v>1625.23</v>
      </c>
      <c r="I1233" s="7" t="n">
        <v>2</v>
      </c>
      <c r="J1233" s="7" t="s">
        <v>2108</v>
      </c>
    </row>
    <row r="1234" customFormat="false" ht="15" hidden="false" customHeight="false" outlineLevel="0" collapsed="false">
      <c r="A1234" s="3" t="n">
        <v>7</v>
      </c>
      <c r="B1234" s="24" t="n">
        <v>46204</v>
      </c>
      <c r="C1234" s="3" t="s">
        <v>858</v>
      </c>
      <c r="D1234" s="3" t="s">
        <v>471</v>
      </c>
      <c r="E1234" s="3" t="s">
        <v>114</v>
      </c>
      <c r="F1234" s="15" t="n">
        <v>1752.17</v>
      </c>
      <c r="G1234" s="15" t="n">
        <v>0</v>
      </c>
      <c r="H1234" s="15" t="n">
        <v>1752.17</v>
      </c>
      <c r="I1234" s="7" t="n">
        <v>3</v>
      </c>
      <c r="J1234" s="7" t="s">
        <v>2109</v>
      </c>
    </row>
    <row r="1235" customFormat="false" ht="15" hidden="false" customHeight="false" outlineLevel="0" collapsed="false">
      <c r="A1235" s="3" t="n">
        <v>7</v>
      </c>
      <c r="B1235" s="24" t="n">
        <v>46204</v>
      </c>
      <c r="C1235" s="3" t="s">
        <v>859</v>
      </c>
      <c r="D1235" s="3" t="s">
        <v>471</v>
      </c>
      <c r="E1235" s="3" t="s">
        <v>124</v>
      </c>
      <c r="F1235" s="15" t="n">
        <v>434.01</v>
      </c>
      <c r="G1235" s="15" t="n">
        <v>0</v>
      </c>
      <c r="H1235" s="15" t="n">
        <v>434.01</v>
      </c>
      <c r="I1235" s="7" t="n">
        <v>1</v>
      </c>
      <c r="J1235" s="7" t="s">
        <v>2110</v>
      </c>
    </row>
    <row r="1236" customFormat="false" ht="15" hidden="false" customHeight="false" outlineLevel="0" collapsed="false">
      <c r="A1236" s="3" t="n">
        <v>7</v>
      </c>
      <c r="B1236" s="24" t="n">
        <v>46204</v>
      </c>
      <c r="C1236" s="3" t="s">
        <v>859</v>
      </c>
      <c r="D1236" s="3" t="s">
        <v>471</v>
      </c>
      <c r="E1236" s="3" t="s">
        <v>125</v>
      </c>
      <c r="F1236" s="15" t="n">
        <v>511.03</v>
      </c>
      <c r="G1236" s="15" t="n">
        <v>0</v>
      </c>
      <c r="H1236" s="15" t="n">
        <v>511.03</v>
      </c>
      <c r="I1236" s="7" t="n">
        <v>2</v>
      </c>
      <c r="J1236" s="7" t="s">
        <v>2111</v>
      </c>
    </row>
    <row r="1237" customFormat="false" ht="15" hidden="false" customHeight="false" outlineLevel="0" collapsed="false">
      <c r="A1237" s="3" t="n">
        <v>7</v>
      </c>
      <c r="B1237" s="24" t="n">
        <v>46204</v>
      </c>
      <c r="C1237" s="3" t="s">
        <v>859</v>
      </c>
      <c r="D1237" s="3" t="s">
        <v>471</v>
      </c>
      <c r="E1237" s="3" t="s">
        <v>123</v>
      </c>
      <c r="F1237" s="15" t="n">
        <v>144.67</v>
      </c>
      <c r="G1237" s="15" t="n">
        <v>0</v>
      </c>
      <c r="H1237" s="15" t="n">
        <v>144.67</v>
      </c>
      <c r="I1237" s="7" t="n">
        <v>3</v>
      </c>
      <c r="J1237" s="7" t="s">
        <v>2112</v>
      </c>
    </row>
    <row r="1238" customFormat="false" ht="15" hidden="false" customHeight="false" outlineLevel="0" collapsed="false">
      <c r="A1238" s="3" t="n">
        <v>7</v>
      </c>
      <c r="B1238" s="24" t="n">
        <v>46204</v>
      </c>
      <c r="C1238" s="3" t="s">
        <v>859</v>
      </c>
      <c r="D1238" s="3" t="s">
        <v>471</v>
      </c>
      <c r="E1238" s="3" t="s">
        <v>131</v>
      </c>
      <c r="F1238" s="15" t="n">
        <v>723.35</v>
      </c>
      <c r="G1238" s="15" t="n">
        <v>0</v>
      </c>
      <c r="H1238" s="15" t="n">
        <v>723.35</v>
      </c>
      <c r="I1238" s="7" t="n">
        <v>4</v>
      </c>
      <c r="J1238" s="7" t="s">
        <v>2113</v>
      </c>
    </row>
    <row r="1239" customFormat="false" ht="15" hidden="false" customHeight="false" outlineLevel="0" collapsed="false">
      <c r="A1239" s="3" t="n">
        <v>7</v>
      </c>
      <c r="B1239" s="24" t="n">
        <v>46204</v>
      </c>
      <c r="C1239" s="3" t="s">
        <v>859</v>
      </c>
      <c r="D1239" s="3" t="s">
        <v>471</v>
      </c>
      <c r="E1239" s="3" t="s">
        <v>127</v>
      </c>
      <c r="F1239" s="15" t="n">
        <v>868.02</v>
      </c>
      <c r="G1239" s="15" t="n">
        <v>0</v>
      </c>
      <c r="H1239" s="15" t="n">
        <v>868.02</v>
      </c>
      <c r="I1239" s="7" t="n">
        <v>5</v>
      </c>
      <c r="J1239" s="7" t="s">
        <v>2114</v>
      </c>
    </row>
    <row r="1240" customFormat="false" ht="15" hidden="false" customHeight="false" outlineLevel="0" collapsed="false">
      <c r="A1240" s="3" t="n">
        <v>7</v>
      </c>
      <c r="B1240" s="24" t="n">
        <v>46204</v>
      </c>
      <c r="C1240" s="3" t="s">
        <v>859</v>
      </c>
      <c r="D1240" s="3" t="s">
        <v>471</v>
      </c>
      <c r="E1240" s="3" t="s">
        <v>129</v>
      </c>
      <c r="F1240" s="15" t="n">
        <v>289.34</v>
      </c>
      <c r="G1240" s="15" t="n">
        <v>0</v>
      </c>
      <c r="H1240" s="15" t="n">
        <v>289.34</v>
      </c>
      <c r="I1240" s="7" t="n">
        <v>6</v>
      </c>
      <c r="J1240" s="7" t="s">
        <v>2115</v>
      </c>
    </row>
    <row r="1241" customFormat="false" ht="15" hidden="false" customHeight="false" outlineLevel="0" collapsed="false">
      <c r="A1241" s="3" t="n">
        <v>7</v>
      </c>
      <c r="B1241" s="24" t="n">
        <v>46204</v>
      </c>
      <c r="C1241" s="3" t="s">
        <v>859</v>
      </c>
      <c r="D1241" s="3" t="s">
        <v>471</v>
      </c>
      <c r="E1241" s="3" t="s">
        <v>116</v>
      </c>
      <c r="F1241" s="15" t="n">
        <v>1514.35</v>
      </c>
      <c r="G1241" s="15" t="n">
        <v>0</v>
      </c>
      <c r="H1241" s="15" t="n">
        <v>1514.35</v>
      </c>
      <c r="I1241" s="7" t="n">
        <v>7</v>
      </c>
      <c r="J1241" s="7" t="s">
        <v>2116</v>
      </c>
    </row>
    <row r="1242" customFormat="false" ht="15" hidden="false" customHeight="false" outlineLevel="0" collapsed="false">
      <c r="A1242" s="3" t="n">
        <v>7</v>
      </c>
      <c r="B1242" s="24" t="n">
        <v>46204</v>
      </c>
      <c r="C1242" s="3" t="s">
        <v>859</v>
      </c>
      <c r="D1242" s="3" t="s">
        <v>471</v>
      </c>
      <c r="E1242" s="3" t="s">
        <v>115</v>
      </c>
      <c r="F1242" s="15" t="n">
        <v>2958.43</v>
      </c>
      <c r="G1242" s="15" t="n">
        <v>0</v>
      </c>
      <c r="H1242" s="15" t="n">
        <v>2958.43</v>
      </c>
      <c r="I1242" s="7" t="n">
        <v>8</v>
      </c>
      <c r="J1242" s="7" t="s">
        <v>2117</v>
      </c>
    </row>
    <row r="1243" customFormat="false" ht="15" hidden="false" customHeight="false" outlineLevel="0" collapsed="false">
      <c r="A1243" s="3" t="n">
        <v>7</v>
      </c>
      <c r="B1243" s="24" t="n">
        <v>46204</v>
      </c>
      <c r="C1243" s="3" t="s">
        <v>859</v>
      </c>
      <c r="D1243" s="3" t="s">
        <v>471</v>
      </c>
      <c r="E1243" s="3" t="s">
        <v>117</v>
      </c>
      <c r="F1243" s="15" t="n">
        <v>1863.75</v>
      </c>
      <c r="G1243" s="15" t="n">
        <v>0</v>
      </c>
      <c r="H1243" s="15" t="n">
        <v>1863.75</v>
      </c>
      <c r="I1243" s="7" t="n">
        <v>9</v>
      </c>
      <c r="J1243" s="7" t="s">
        <v>2118</v>
      </c>
    </row>
    <row r="1244" customFormat="false" ht="15" hidden="false" customHeight="false" outlineLevel="0" collapsed="false">
      <c r="A1244" s="3" t="n">
        <v>7</v>
      </c>
      <c r="B1244" s="24" t="n">
        <v>46204</v>
      </c>
      <c r="C1244" s="3" t="s">
        <v>859</v>
      </c>
      <c r="D1244" s="3" t="s">
        <v>471</v>
      </c>
      <c r="E1244" s="3" t="s">
        <v>150</v>
      </c>
      <c r="F1244" s="15" t="n">
        <v>666.68</v>
      </c>
      <c r="G1244" s="15" t="n">
        <v>0</v>
      </c>
      <c r="H1244" s="15" t="n">
        <v>666.68</v>
      </c>
      <c r="I1244" s="7" t="n">
        <v>10</v>
      </c>
      <c r="J1244" s="7" t="s">
        <v>2119</v>
      </c>
    </row>
    <row r="1245" customFormat="false" ht="15" hidden="false" customHeight="false" outlineLevel="0" collapsed="false">
      <c r="A1245" s="3" t="n">
        <v>7</v>
      </c>
      <c r="B1245" s="24" t="n">
        <v>46204</v>
      </c>
      <c r="C1245" s="3" t="s">
        <v>859</v>
      </c>
      <c r="D1245" s="3" t="s">
        <v>471</v>
      </c>
      <c r="E1245" s="3" t="s">
        <v>108</v>
      </c>
      <c r="F1245" s="15" t="n">
        <v>11267.3</v>
      </c>
      <c r="G1245" s="15" t="n">
        <v>0</v>
      </c>
      <c r="H1245" s="15" t="n">
        <v>11267.3</v>
      </c>
      <c r="I1245" s="7" t="n">
        <v>11</v>
      </c>
      <c r="J1245" s="7" t="s">
        <v>2120</v>
      </c>
    </row>
    <row r="1246" customFormat="false" ht="15" hidden="false" customHeight="false" outlineLevel="0" collapsed="false">
      <c r="A1246" s="3" t="n">
        <v>7</v>
      </c>
      <c r="B1246" s="24" t="n">
        <v>46204</v>
      </c>
      <c r="C1246" s="3" t="s">
        <v>859</v>
      </c>
      <c r="D1246" s="3" t="s">
        <v>471</v>
      </c>
      <c r="E1246" s="3" t="s">
        <v>170</v>
      </c>
      <c r="F1246" s="15" t="n">
        <v>166.67</v>
      </c>
      <c r="G1246" s="15" t="n">
        <v>0</v>
      </c>
      <c r="H1246" s="15" t="n">
        <v>166.67</v>
      </c>
      <c r="I1246" s="7" t="n">
        <v>12</v>
      </c>
      <c r="J1246" s="7" t="s">
        <v>2121</v>
      </c>
    </row>
    <row r="1247" customFormat="false" ht="15" hidden="false" customHeight="false" outlineLevel="0" collapsed="false">
      <c r="A1247" s="3" t="n">
        <v>7</v>
      </c>
      <c r="B1247" s="24" t="n">
        <v>46204</v>
      </c>
      <c r="C1247" s="3" t="s">
        <v>859</v>
      </c>
      <c r="D1247" s="3" t="s">
        <v>471</v>
      </c>
      <c r="E1247" s="3" t="s">
        <v>110</v>
      </c>
      <c r="F1247" s="15" t="n">
        <v>9172.22</v>
      </c>
      <c r="G1247" s="15" t="n">
        <v>0</v>
      </c>
      <c r="H1247" s="15" t="n">
        <v>9172.22</v>
      </c>
      <c r="I1247" s="7" t="n">
        <v>13</v>
      </c>
      <c r="J1247" s="7" t="s">
        <v>2122</v>
      </c>
    </row>
    <row r="1248" customFormat="false" ht="15" hidden="false" customHeight="false" outlineLevel="0" collapsed="false">
      <c r="A1248" s="3" t="n">
        <v>7</v>
      </c>
      <c r="B1248" s="24" t="n">
        <v>46204</v>
      </c>
      <c r="C1248" s="3" t="s">
        <v>859</v>
      </c>
      <c r="D1248" s="3" t="s">
        <v>471</v>
      </c>
      <c r="E1248" s="3" t="s">
        <v>120</v>
      </c>
      <c r="F1248" s="15" t="n">
        <v>127.14</v>
      </c>
      <c r="G1248" s="15" t="n">
        <v>0</v>
      </c>
      <c r="H1248" s="15" t="n">
        <v>127.14</v>
      </c>
      <c r="I1248" s="7" t="n">
        <v>14</v>
      </c>
      <c r="J1248" s="7" t="s">
        <v>2123</v>
      </c>
    </row>
    <row r="1249" customFormat="false" ht="15" hidden="false" customHeight="false" outlineLevel="0" collapsed="false">
      <c r="A1249" s="3" t="n">
        <v>7</v>
      </c>
      <c r="B1249" s="24" t="n">
        <v>46204</v>
      </c>
      <c r="C1249" s="3" t="s">
        <v>859</v>
      </c>
      <c r="D1249" s="3" t="s">
        <v>471</v>
      </c>
      <c r="E1249" s="3" t="s">
        <v>151</v>
      </c>
      <c r="F1249" s="15" t="n">
        <v>33.73</v>
      </c>
      <c r="G1249" s="15" t="n">
        <v>0</v>
      </c>
      <c r="H1249" s="15" t="n">
        <v>33.73</v>
      </c>
      <c r="I1249" s="7" t="n">
        <v>15</v>
      </c>
      <c r="J1249" s="7" t="s">
        <v>2124</v>
      </c>
    </row>
    <row r="1250" customFormat="false" ht="15" hidden="false" customHeight="false" outlineLevel="0" collapsed="false">
      <c r="A1250" s="3" t="n">
        <v>7</v>
      </c>
      <c r="B1250" s="24" t="n">
        <v>46204</v>
      </c>
      <c r="C1250" s="3" t="s">
        <v>860</v>
      </c>
      <c r="D1250" s="3" t="s">
        <v>471</v>
      </c>
      <c r="E1250" s="3" t="s">
        <v>124</v>
      </c>
      <c r="F1250" s="15" t="n">
        <v>2972.1</v>
      </c>
      <c r="G1250" s="15" t="n">
        <v>0</v>
      </c>
      <c r="H1250" s="15" t="n">
        <v>2972.1</v>
      </c>
      <c r="I1250" s="7" t="n">
        <v>1</v>
      </c>
      <c r="J1250" s="7" t="s">
        <v>2125</v>
      </c>
    </row>
    <row r="1251" customFormat="false" ht="15" hidden="false" customHeight="false" outlineLevel="0" collapsed="false">
      <c r="A1251" s="3" t="n">
        <v>7</v>
      </c>
      <c r="B1251" s="24" t="n">
        <v>46204</v>
      </c>
      <c r="C1251" s="3" t="s">
        <v>860</v>
      </c>
      <c r="D1251" s="3" t="s">
        <v>471</v>
      </c>
      <c r="E1251" s="3" t="s">
        <v>125</v>
      </c>
      <c r="F1251" s="15" t="n">
        <v>5356.8</v>
      </c>
      <c r="G1251" s="15" t="n">
        <v>0</v>
      </c>
      <c r="H1251" s="15" t="n">
        <v>5356.8</v>
      </c>
      <c r="I1251" s="7" t="n">
        <v>2</v>
      </c>
      <c r="J1251" s="7" t="s">
        <v>2126</v>
      </c>
    </row>
    <row r="1252" customFormat="false" ht="15" hidden="false" customHeight="false" outlineLevel="0" collapsed="false">
      <c r="A1252" s="3" t="n">
        <v>7</v>
      </c>
      <c r="B1252" s="24" t="n">
        <v>46204</v>
      </c>
      <c r="C1252" s="3" t="s">
        <v>860</v>
      </c>
      <c r="D1252" s="3" t="s">
        <v>471</v>
      </c>
      <c r="E1252" s="3" t="s">
        <v>123</v>
      </c>
      <c r="F1252" s="15" t="n">
        <v>2329.7</v>
      </c>
      <c r="G1252" s="15" t="n">
        <v>0</v>
      </c>
      <c r="H1252" s="15" t="n">
        <v>2329.7</v>
      </c>
      <c r="I1252" s="7" t="n">
        <v>3</v>
      </c>
      <c r="J1252" s="7" t="s">
        <v>2127</v>
      </c>
    </row>
    <row r="1253" customFormat="false" ht="15" hidden="false" customHeight="false" outlineLevel="0" collapsed="false">
      <c r="A1253" s="3" t="n">
        <v>7</v>
      </c>
      <c r="B1253" s="24" t="n">
        <v>46204</v>
      </c>
      <c r="C1253" s="3" t="s">
        <v>860</v>
      </c>
      <c r="D1253" s="3" t="s">
        <v>471</v>
      </c>
      <c r="E1253" s="3" t="s">
        <v>131</v>
      </c>
      <c r="F1253" s="15" t="n">
        <v>4024.6</v>
      </c>
      <c r="G1253" s="15" t="n">
        <v>0</v>
      </c>
      <c r="H1253" s="15" t="n">
        <v>4024.6</v>
      </c>
      <c r="I1253" s="7" t="n">
        <v>4</v>
      </c>
      <c r="J1253" s="7" t="s">
        <v>2128</v>
      </c>
    </row>
    <row r="1254" customFormat="false" ht="15" hidden="false" customHeight="false" outlineLevel="0" collapsed="false">
      <c r="A1254" s="3" t="n">
        <v>7</v>
      </c>
      <c r="B1254" s="24" t="n">
        <v>46204</v>
      </c>
      <c r="C1254" s="3" t="s">
        <v>860</v>
      </c>
      <c r="D1254" s="3" t="s">
        <v>471</v>
      </c>
      <c r="E1254" s="3" t="s">
        <v>127</v>
      </c>
      <c r="F1254" s="15" t="n">
        <v>5119.4</v>
      </c>
      <c r="G1254" s="15" t="n">
        <v>0</v>
      </c>
      <c r="H1254" s="15" t="n">
        <v>5119.4</v>
      </c>
      <c r="I1254" s="7" t="n">
        <v>5</v>
      </c>
      <c r="J1254" s="7" t="s">
        <v>2129</v>
      </c>
    </row>
    <row r="1255" customFormat="false" ht="15" hidden="false" customHeight="false" outlineLevel="0" collapsed="false">
      <c r="A1255" s="3" t="n">
        <v>7</v>
      </c>
      <c r="B1255" s="24" t="n">
        <v>46204</v>
      </c>
      <c r="C1255" s="3" t="s">
        <v>860</v>
      </c>
      <c r="D1255" s="3" t="s">
        <v>471</v>
      </c>
      <c r="E1255" s="3" t="s">
        <v>129</v>
      </c>
      <c r="F1255" s="15" t="n">
        <v>2012.6</v>
      </c>
      <c r="G1255" s="15" t="n">
        <v>0</v>
      </c>
      <c r="H1255" s="15" t="n">
        <v>2012.6</v>
      </c>
      <c r="I1255" s="7" t="n">
        <v>6</v>
      </c>
      <c r="J1255" s="7" t="s">
        <v>2130</v>
      </c>
    </row>
    <row r="1256" customFormat="false" ht="15" hidden="false" customHeight="false" outlineLevel="0" collapsed="false">
      <c r="A1256" s="3" t="n">
        <v>7</v>
      </c>
      <c r="B1256" s="24" t="n">
        <v>46204</v>
      </c>
      <c r="C1256" s="3" t="s">
        <v>860</v>
      </c>
      <c r="D1256" s="3" t="s">
        <v>440</v>
      </c>
      <c r="E1256" s="3" t="s">
        <v>116</v>
      </c>
      <c r="F1256" s="15" t="n">
        <v>72</v>
      </c>
      <c r="G1256" s="15" t="n">
        <v>0</v>
      </c>
      <c r="H1256" s="15" t="n">
        <v>72</v>
      </c>
      <c r="I1256" s="7" t="n">
        <v>7</v>
      </c>
      <c r="J1256" s="7" t="s">
        <v>2131</v>
      </c>
    </row>
    <row r="1257" customFormat="false" ht="15" hidden="false" customHeight="false" outlineLevel="0" collapsed="false">
      <c r="A1257" s="3" t="n">
        <v>7</v>
      </c>
      <c r="B1257" s="24" t="n">
        <v>46204</v>
      </c>
      <c r="C1257" s="3" t="s">
        <v>860</v>
      </c>
      <c r="D1257" s="3" t="s">
        <v>471</v>
      </c>
      <c r="E1257" s="3" t="s">
        <v>116</v>
      </c>
      <c r="F1257" s="15" t="n">
        <v>14841.1</v>
      </c>
      <c r="G1257" s="15" t="n">
        <v>0</v>
      </c>
      <c r="H1257" s="15" t="n">
        <v>14841.1</v>
      </c>
      <c r="I1257" s="7" t="n">
        <v>8</v>
      </c>
      <c r="J1257" s="7" t="s">
        <v>2132</v>
      </c>
    </row>
    <row r="1258" customFormat="false" ht="15" hidden="false" customHeight="false" outlineLevel="0" collapsed="false">
      <c r="A1258" s="3" t="n">
        <v>7</v>
      </c>
      <c r="B1258" s="24" t="n">
        <v>46204</v>
      </c>
      <c r="C1258" s="3" t="s">
        <v>860</v>
      </c>
      <c r="D1258" s="3" t="s">
        <v>440</v>
      </c>
      <c r="E1258" s="3" t="s">
        <v>115</v>
      </c>
      <c r="F1258" s="15" t="n">
        <v>204</v>
      </c>
      <c r="G1258" s="15" t="n">
        <v>0</v>
      </c>
      <c r="H1258" s="15" t="n">
        <v>204</v>
      </c>
      <c r="I1258" s="7" t="n">
        <v>9</v>
      </c>
      <c r="J1258" s="7" t="s">
        <v>2133</v>
      </c>
    </row>
    <row r="1259" customFormat="false" ht="15" hidden="false" customHeight="false" outlineLevel="0" collapsed="false">
      <c r="A1259" s="3" t="n">
        <v>7</v>
      </c>
      <c r="B1259" s="24" t="n">
        <v>46204</v>
      </c>
      <c r="C1259" s="3" t="s">
        <v>860</v>
      </c>
      <c r="D1259" s="3" t="s">
        <v>471</v>
      </c>
      <c r="E1259" s="3" t="s">
        <v>115</v>
      </c>
      <c r="F1259" s="15" t="n">
        <v>16853.5</v>
      </c>
      <c r="G1259" s="15" t="n">
        <v>0</v>
      </c>
      <c r="H1259" s="15" t="n">
        <v>16853.5</v>
      </c>
      <c r="I1259" s="7" t="n">
        <v>10</v>
      </c>
      <c r="J1259" s="7" t="s">
        <v>2134</v>
      </c>
    </row>
    <row r="1260" customFormat="false" ht="15" hidden="false" customHeight="false" outlineLevel="0" collapsed="false">
      <c r="A1260" s="3" t="n">
        <v>7</v>
      </c>
      <c r="B1260" s="24" t="n">
        <v>46204</v>
      </c>
      <c r="C1260" s="3" t="s">
        <v>860</v>
      </c>
      <c r="D1260" s="3" t="s">
        <v>440</v>
      </c>
      <c r="E1260" s="3" t="s">
        <v>117</v>
      </c>
      <c r="F1260" s="15" t="n">
        <v>144</v>
      </c>
      <c r="G1260" s="15" t="n">
        <v>0</v>
      </c>
      <c r="H1260" s="15" t="n">
        <v>144</v>
      </c>
      <c r="I1260" s="7" t="n">
        <v>11</v>
      </c>
      <c r="J1260" s="7" t="s">
        <v>2135</v>
      </c>
    </row>
    <row r="1261" customFormat="false" ht="15" hidden="false" customHeight="false" outlineLevel="0" collapsed="false">
      <c r="A1261" s="3" t="n">
        <v>7</v>
      </c>
      <c r="B1261" s="24" t="n">
        <v>46204</v>
      </c>
      <c r="C1261" s="3" t="s">
        <v>860</v>
      </c>
      <c r="D1261" s="3" t="s">
        <v>471</v>
      </c>
      <c r="E1261" s="3" t="s">
        <v>117</v>
      </c>
      <c r="F1261" s="15" t="n">
        <v>13474.7</v>
      </c>
      <c r="G1261" s="15" t="n">
        <v>0</v>
      </c>
      <c r="H1261" s="15" t="n">
        <v>13474.7</v>
      </c>
      <c r="I1261" s="7" t="n">
        <v>12</v>
      </c>
      <c r="J1261" s="7" t="s">
        <v>2136</v>
      </c>
    </row>
    <row r="1262" customFormat="false" ht="15" hidden="false" customHeight="false" outlineLevel="0" collapsed="false">
      <c r="A1262" s="3" t="n">
        <v>7</v>
      </c>
      <c r="B1262" s="24" t="n">
        <v>46204</v>
      </c>
      <c r="C1262" s="3" t="s">
        <v>860</v>
      </c>
      <c r="D1262" s="3" t="s">
        <v>471</v>
      </c>
      <c r="E1262" s="3" t="s">
        <v>150</v>
      </c>
      <c r="F1262" s="15" t="n">
        <v>4483.4</v>
      </c>
      <c r="G1262" s="15" t="n">
        <v>0</v>
      </c>
      <c r="H1262" s="15" t="n">
        <v>4483.4</v>
      </c>
      <c r="I1262" s="7" t="n">
        <v>13</v>
      </c>
      <c r="J1262" s="7" t="s">
        <v>2137</v>
      </c>
    </row>
    <row r="1263" customFormat="false" ht="15" hidden="false" customHeight="false" outlineLevel="0" collapsed="false">
      <c r="A1263" s="3" t="n">
        <v>7</v>
      </c>
      <c r="B1263" s="24" t="n">
        <v>46204</v>
      </c>
      <c r="C1263" s="3" t="s">
        <v>860</v>
      </c>
      <c r="D1263" s="3" t="s">
        <v>440</v>
      </c>
      <c r="E1263" s="3" t="s">
        <v>108</v>
      </c>
      <c r="F1263" s="15" t="n">
        <v>5076</v>
      </c>
      <c r="G1263" s="15" t="n">
        <v>0</v>
      </c>
      <c r="H1263" s="15" t="n">
        <v>5076</v>
      </c>
      <c r="I1263" s="7" t="n">
        <v>14</v>
      </c>
      <c r="J1263" s="7" t="s">
        <v>2138</v>
      </c>
    </row>
    <row r="1264" customFormat="false" ht="15" hidden="false" customHeight="false" outlineLevel="0" collapsed="false">
      <c r="A1264" s="3" t="n">
        <v>7</v>
      </c>
      <c r="B1264" s="24" t="n">
        <v>46204</v>
      </c>
      <c r="C1264" s="3" t="s">
        <v>860</v>
      </c>
      <c r="D1264" s="3" t="s">
        <v>471</v>
      </c>
      <c r="E1264" s="3" t="s">
        <v>108</v>
      </c>
      <c r="F1264" s="15" t="n">
        <v>62220.8</v>
      </c>
      <c r="G1264" s="15" t="n">
        <v>0</v>
      </c>
      <c r="H1264" s="15" t="n">
        <v>62220.8</v>
      </c>
      <c r="I1264" s="7" t="n">
        <v>15</v>
      </c>
      <c r="J1264" s="7" t="s">
        <v>2139</v>
      </c>
    </row>
    <row r="1265" customFormat="false" ht="15" hidden="false" customHeight="false" outlineLevel="0" collapsed="false">
      <c r="A1265" s="3" t="n">
        <v>7</v>
      </c>
      <c r="B1265" s="24" t="n">
        <v>46204</v>
      </c>
      <c r="C1265" s="3" t="s">
        <v>860</v>
      </c>
      <c r="D1265" s="3" t="s">
        <v>471</v>
      </c>
      <c r="E1265" s="3" t="s">
        <v>170</v>
      </c>
      <c r="F1265" s="15" t="n">
        <v>2573.1</v>
      </c>
      <c r="G1265" s="15" t="n">
        <v>0</v>
      </c>
      <c r="H1265" s="15" t="n">
        <v>2573.1</v>
      </c>
      <c r="I1265" s="7" t="n">
        <v>16</v>
      </c>
      <c r="J1265" s="7" t="s">
        <v>2140</v>
      </c>
    </row>
    <row r="1266" customFormat="false" ht="15" hidden="false" customHeight="false" outlineLevel="0" collapsed="false">
      <c r="A1266" s="3" t="n">
        <v>7</v>
      </c>
      <c r="B1266" s="24" t="n">
        <v>46204</v>
      </c>
      <c r="C1266" s="3" t="s">
        <v>860</v>
      </c>
      <c r="D1266" s="3" t="s">
        <v>440</v>
      </c>
      <c r="E1266" s="3" t="s">
        <v>110</v>
      </c>
      <c r="F1266" s="15" t="n">
        <v>1236</v>
      </c>
      <c r="G1266" s="15" t="n">
        <v>0</v>
      </c>
      <c r="H1266" s="15" t="n">
        <v>1236</v>
      </c>
      <c r="I1266" s="7" t="n">
        <v>17</v>
      </c>
      <c r="J1266" s="7" t="s">
        <v>2141</v>
      </c>
    </row>
    <row r="1267" customFormat="false" ht="15" hidden="false" customHeight="false" outlineLevel="0" collapsed="false">
      <c r="A1267" s="3" t="n">
        <v>7</v>
      </c>
      <c r="B1267" s="24" t="n">
        <v>46204</v>
      </c>
      <c r="C1267" s="3" t="s">
        <v>860</v>
      </c>
      <c r="D1267" s="3" t="s">
        <v>471</v>
      </c>
      <c r="E1267" s="3" t="s">
        <v>110</v>
      </c>
      <c r="F1267" s="15" t="n">
        <v>37206.2</v>
      </c>
      <c r="G1267" s="15" t="n">
        <v>0</v>
      </c>
      <c r="H1267" s="15" t="n">
        <v>37206.2</v>
      </c>
      <c r="I1267" s="7" t="n">
        <v>18</v>
      </c>
      <c r="J1267" s="7" t="s">
        <v>2142</v>
      </c>
    </row>
    <row r="1268" customFormat="false" ht="15" hidden="false" customHeight="false" outlineLevel="0" collapsed="false">
      <c r="A1268" s="3" t="n">
        <v>7</v>
      </c>
      <c r="B1268" s="24" t="n">
        <v>46204</v>
      </c>
      <c r="C1268" s="3" t="s">
        <v>860</v>
      </c>
      <c r="D1268" s="3" t="s">
        <v>471</v>
      </c>
      <c r="E1268" s="3" t="s">
        <v>151</v>
      </c>
      <c r="F1268" s="15" t="n">
        <v>376</v>
      </c>
      <c r="G1268" s="15" t="n">
        <v>0</v>
      </c>
      <c r="H1268" s="15" t="n">
        <v>376</v>
      </c>
      <c r="I1268" s="7" t="n">
        <v>19</v>
      </c>
      <c r="J1268" s="7" t="s">
        <v>2143</v>
      </c>
    </row>
    <row r="1269" customFormat="false" ht="15" hidden="false" customHeight="false" outlineLevel="0" collapsed="false">
      <c r="A1269" s="3" t="n">
        <v>7</v>
      </c>
      <c r="B1269" s="24" t="n">
        <v>46204</v>
      </c>
      <c r="C1269" s="3" t="s">
        <v>860</v>
      </c>
      <c r="D1269" s="3" t="s">
        <v>471</v>
      </c>
      <c r="E1269" s="3" t="s">
        <v>121</v>
      </c>
      <c r="F1269" s="15" t="n">
        <v>3415.5</v>
      </c>
      <c r="G1269" s="15" t="n">
        <v>0</v>
      </c>
      <c r="H1269" s="15" t="n">
        <v>3415.5</v>
      </c>
      <c r="I1269" s="7" t="n">
        <v>20</v>
      </c>
      <c r="J1269" s="7" t="s">
        <v>2144</v>
      </c>
    </row>
    <row r="1270" customFormat="false" ht="15" hidden="false" customHeight="false" outlineLevel="0" collapsed="false">
      <c r="A1270" s="3" t="n">
        <v>7</v>
      </c>
      <c r="B1270" s="24" t="n">
        <v>46204</v>
      </c>
      <c r="C1270" s="3" t="s">
        <v>861</v>
      </c>
      <c r="D1270" s="3" t="s">
        <v>440</v>
      </c>
      <c r="E1270" s="3" t="s">
        <v>146</v>
      </c>
      <c r="F1270" s="15" t="n">
        <v>743.59</v>
      </c>
      <c r="G1270" s="15" t="n">
        <v>0</v>
      </c>
      <c r="H1270" s="15" t="n">
        <v>743.59</v>
      </c>
      <c r="I1270" s="7" t="n">
        <v>1</v>
      </c>
      <c r="J1270" s="7" t="s">
        <v>2145</v>
      </c>
    </row>
    <row r="1272" customFormat="false" ht="15" hidden="false" customHeight="false" outlineLevel="0" collapsed="false">
      <c r="E1272" s="7" t="s">
        <v>2146</v>
      </c>
    </row>
  </sheetData>
  <autoFilter ref="A4:J12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9" t="s">
        <v>16</v>
      </c>
    </row>
    <row r="2" customFormat="false" ht="15" hidden="false" customHeight="false" outlineLevel="0" collapsed="false">
      <c r="A2" s="7" t="s">
        <v>2147</v>
      </c>
    </row>
    <row r="4" customFormat="false" ht="25.5" hidden="false" customHeight="true" outlineLevel="0" collapsed="false">
      <c r="A4" s="13" t="s">
        <v>200</v>
      </c>
      <c r="B4" s="13" t="s">
        <v>202</v>
      </c>
      <c r="C4" s="13" t="s">
        <v>88</v>
      </c>
      <c r="D4" s="14" t="s">
        <v>875</v>
      </c>
    </row>
    <row r="5" customFormat="false" ht="15" hidden="false" customHeight="false" outlineLevel="0" collapsed="false">
      <c r="A5" s="3" t="n">
        <v>1</v>
      </c>
      <c r="B5" s="3" t="s">
        <v>211</v>
      </c>
      <c r="C5" s="3" t="s">
        <v>101</v>
      </c>
      <c r="D5" s="15" t="n">
        <v>20410.4</v>
      </c>
    </row>
    <row r="6" customFormat="false" ht="15" hidden="false" customHeight="false" outlineLevel="0" collapsed="false">
      <c r="A6" s="3" t="n">
        <v>1</v>
      </c>
      <c r="B6" s="3" t="s">
        <v>211</v>
      </c>
      <c r="C6" s="3" t="s">
        <v>102</v>
      </c>
      <c r="D6" s="15" t="n">
        <v>1009.5</v>
      </c>
    </row>
    <row r="7" customFormat="false" ht="15" hidden="false" customHeight="false" outlineLevel="0" collapsed="false">
      <c r="A7" s="3" t="n">
        <v>1</v>
      </c>
      <c r="B7" s="3" t="s">
        <v>213</v>
      </c>
      <c r="C7" s="3" t="s">
        <v>101</v>
      </c>
      <c r="D7" s="15" t="n">
        <v>753.45</v>
      </c>
    </row>
    <row r="8" customFormat="false" ht="15" hidden="false" customHeight="false" outlineLevel="0" collapsed="false">
      <c r="A8" s="3" t="n">
        <v>1</v>
      </c>
      <c r="B8" s="3" t="s">
        <v>213</v>
      </c>
      <c r="C8" s="3" t="s">
        <v>102</v>
      </c>
      <c r="D8" s="15" t="n">
        <v>12</v>
      </c>
    </row>
    <row r="9" customFormat="false" ht="15" hidden="false" customHeight="false" outlineLevel="0" collapsed="false">
      <c r="A9" s="3" t="n">
        <v>1</v>
      </c>
      <c r="B9" s="3" t="s">
        <v>215</v>
      </c>
      <c r="C9" s="3" t="s">
        <v>101</v>
      </c>
      <c r="D9" s="15" t="n">
        <v>2365.61</v>
      </c>
    </row>
    <row r="10" customFormat="false" ht="15" hidden="false" customHeight="false" outlineLevel="0" collapsed="false">
      <c r="A10" s="3" t="n">
        <v>1</v>
      </c>
      <c r="B10" s="3" t="s">
        <v>215</v>
      </c>
      <c r="C10" s="3" t="s">
        <v>102</v>
      </c>
      <c r="D10" s="15" t="n">
        <v>91</v>
      </c>
    </row>
    <row r="11" customFormat="false" ht="15" hidden="false" customHeight="false" outlineLevel="0" collapsed="false">
      <c r="A11" s="3" t="n">
        <v>1</v>
      </c>
      <c r="B11" s="3" t="s">
        <v>216</v>
      </c>
      <c r="C11" s="3" t="s">
        <v>101</v>
      </c>
      <c r="D11" s="15" t="n">
        <v>2399.05</v>
      </c>
    </row>
    <row r="12" customFormat="false" ht="15" hidden="false" customHeight="false" outlineLevel="0" collapsed="false">
      <c r="A12" s="3" t="n">
        <v>1</v>
      </c>
      <c r="B12" s="3" t="s">
        <v>216</v>
      </c>
      <c r="C12" s="3" t="s">
        <v>102</v>
      </c>
      <c r="D12" s="15" t="n">
        <v>194.3</v>
      </c>
    </row>
    <row r="13" customFormat="false" ht="15" hidden="false" customHeight="false" outlineLevel="0" collapsed="false">
      <c r="A13" s="3" t="n">
        <v>1</v>
      </c>
      <c r="B13" s="3" t="s">
        <v>218</v>
      </c>
      <c r="C13" s="3" t="s">
        <v>101</v>
      </c>
      <c r="D13" s="15" t="n">
        <v>3112.62</v>
      </c>
    </row>
    <row r="14" customFormat="false" ht="15" hidden="false" customHeight="false" outlineLevel="0" collapsed="false">
      <c r="A14" s="3" t="n">
        <v>1</v>
      </c>
      <c r="B14" s="3" t="s">
        <v>218</v>
      </c>
      <c r="C14" s="3" t="s">
        <v>102</v>
      </c>
      <c r="D14" s="15" t="n">
        <v>182</v>
      </c>
    </row>
    <row r="15" customFormat="false" ht="15" hidden="false" customHeight="false" outlineLevel="0" collapsed="false">
      <c r="A15" s="3" t="n">
        <v>1</v>
      </c>
      <c r="B15" s="3" t="s">
        <v>220</v>
      </c>
      <c r="C15" s="3" t="s">
        <v>101</v>
      </c>
      <c r="D15" s="15" t="n">
        <v>14048.65</v>
      </c>
    </row>
    <row r="16" customFormat="false" ht="15" hidden="false" customHeight="false" outlineLevel="0" collapsed="false">
      <c r="A16" s="3" t="n">
        <v>1</v>
      </c>
      <c r="B16" s="3" t="s">
        <v>220</v>
      </c>
      <c r="C16" s="3" t="s">
        <v>102</v>
      </c>
      <c r="D16" s="15" t="n">
        <v>764.5</v>
      </c>
    </row>
    <row r="17" customFormat="false" ht="15" hidden="false" customHeight="false" outlineLevel="0" collapsed="false">
      <c r="A17" s="3" t="n">
        <v>1</v>
      </c>
      <c r="B17" s="3" t="s">
        <v>221</v>
      </c>
      <c r="C17" s="3" t="s">
        <v>101</v>
      </c>
      <c r="D17" s="15" t="n">
        <v>1802.8</v>
      </c>
    </row>
    <row r="18" customFormat="false" ht="15" hidden="false" customHeight="false" outlineLevel="0" collapsed="false">
      <c r="A18" s="3" t="n">
        <v>1</v>
      </c>
      <c r="B18" s="3" t="s">
        <v>221</v>
      </c>
      <c r="C18" s="3" t="s">
        <v>102</v>
      </c>
      <c r="D18" s="15" t="n">
        <v>958.65</v>
      </c>
    </row>
    <row r="19" customFormat="false" ht="15" hidden="false" customHeight="false" outlineLevel="0" collapsed="false">
      <c r="A19" s="3" t="n">
        <v>1</v>
      </c>
      <c r="B19" s="3" t="s">
        <v>223</v>
      </c>
      <c r="C19" s="3" t="s">
        <v>101</v>
      </c>
      <c r="D19" s="15" t="n">
        <v>1163.88</v>
      </c>
    </row>
    <row r="20" customFormat="false" ht="15" hidden="false" customHeight="false" outlineLevel="0" collapsed="false">
      <c r="A20" s="3" t="n">
        <v>1</v>
      </c>
      <c r="B20" s="3" t="s">
        <v>223</v>
      </c>
      <c r="C20" s="3" t="s">
        <v>102</v>
      </c>
      <c r="D20" s="15" t="n">
        <v>136.5</v>
      </c>
    </row>
    <row r="21" customFormat="false" ht="15" hidden="false" customHeight="false" outlineLevel="0" collapsed="false">
      <c r="A21" s="3" t="n">
        <v>1</v>
      </c>
      <c r="B21" s="3" t="s">
        <v>225</v>
      </c>
      <c r="C21" s="3" t="s">
        <v>103</v>
      </c>
      <c r="D21" s="15" t="n">
        <v>-593.95</v>
      </c>
    </row>
    <row r="22" customFormat="false" ht="15" hidden="false" customHeight="false" outlineLevel="0" collapsed="false">
      <c r="A22" s="3" t="n">
        <v>1</v>
      </c>
      <c r="B22" s="3" t="s">
        <v>225</v>
      </c>
      <c r="C22" s="3" t="s">
        <v>100</v>
      </c>
      <c r="D22" s="15" t="n">
        <v>2122.43</v>
      </c>
    </row>
    <row r="23" customFormat="false" ht="15" hidden="false" customHeight="false" outlineLevel="0" collapsed="false">
      <c r="A23" s="3" t="n">
        <v>1</v>
      </c>
      <c r="B23" s="3" t="s">
        <v>225</v>
      </c>
      <c r="C23" s="3" t="s">
        <v>98</v>
      </c>
      <c r="D23" s="15" t="n">
        <v>3984.66</v>
      </c>
    </row>
    <row r="24" customFormat="false" ht="15" hidden="false" customHeight="false" outlineLevel="0" collapsed="false">
      <c r="A24" s="3" t="n">
        <v>1</v>
      </c>
      <c r="B24" s="3" t="s">
        <v>225</v>
      </c>
      <c r="C24" s="3" t="s">
        <v>82</v>
      </c>
      <c r="D24" s="15" t="n">
        <v>1708.49</v>
      </c>
    </row>
    <row r="25" customFormat="false" ht="15" hidden="false" customHeight="false" outlineLevel="0" collapsed="false">
      <c r="A25" s="3" t="n">
        <v>1</v>
      </c>
      <c r="B25" s="3" t="s">
        <v>227</v>
      </c>
      <c r="C25" s="3" t="s">
        <v>101</v>
      </c>
      <c r="D25" s="15" t="n">
        <v>507.96</v>
      </c>
    </row>
    <row r="26" customFormat="false" ht="15" hidden="false" customHeight="false" outlineLevel="0" collapsed="false">
      <c r="A26" s="3" t="n">
        <v>1</v>
      </c>
      <c r="B26" s="3" t="s">
        <v>227</v>
      </c>
      <c r="C26" s="3" t="s">
        <v>102</v>
      </c>
      <c r="D26" s="15" t="n">
        <v>10266</v>
      </c>
    </row>
    <row r="27" customFormat="false" ht="15" hidden="false" customHeight="false" outlineLevel="0" collapsed="false">
      <c r="A27" s="3" t="n">
        <v>1</v>
      </c>
      <c r="B27" s="3" t="s">
        <v>229</v>
      </c>
      <c r="C27" s="3" t="s">
        <v>101</v>
      </c>
      <c r="D27" s="15" t="n">
        <v>10401.65</v>
      </c>
    </row>
    <row r="28" customFormat="false" ht="15" hidden="false" customHeight="false" outlineLevel="0" collapsed="false">
      <c r="A28" s="3" t="n">
        <v>1</v>
      </c>
      <c r="B28" s="3" t="s">
        <v>229</v>
      </c>
      <c r="C28" s="3" t="s">
        <v>102</v>
      </c>
      <c r="D28" s="15" t="n">
        <v>364.8</v>
      </c>
    </row>
    <row r="29" customFormat="false" ht="15" hidden="false" customHeight="false" outlineLevel="0" collapsed="false">
      <c r="A29" s="3" t="n">
        <v>1</v>
      </c>
      <c r="B29" s="3" t="s">
        <v>230</v>
      </c>
      <c r="C29" s="3" t="s">
        <v>101</v>
      </c>
      <c r="D29" s="15" t="n">
        <v>6414.2</v>
      </c>
    </row>
    <row r="30" customFormat="false" ht="15" hidden="false" customHeight="false" outlineLevel="0" collapsed="false">
      <c r="A30" s="3" t="n">
        <v>1</v>
      </c>
      <c r="B30" s="3" t="s">
        <v>230</v>
      </c>
      <c r="C30" s="3" t="s">
        <v>102</v>
      </c>
      <c r="D30" s="15" t="n">
        <v>318.5</v>
      </c>
    </row>
    <row r="31" customFormat="false" ht="15" hidden="false" customHeight="false" outlineLevel="0" collapsed="false">
      <c r="A31" s="3" t="n">
        <v>1</v>
      </c>
      <c r="B31" s="3" t="s">
        <v>232</v>
      </c>
      <c r="C31" s="3" t="s">
        <v>101</v>
      </c>
      <c r="D31" s="15" t="n">
        <v>17259.86</v>
      </c>
    </row>
    <row r="32" customFormat="false" ht="15" hidden="false" customHeight="false" outlineLevel="0" collapsed="false">
      <c r="A32" s="3" t="n">
        <v>1</v>
      </c>
      <c r="B32" s="3" t="s">
        <v>232</v>
      </c>
      <c r="C32" s="3" t="s">
        <v>102</v>
      </c>
      <c r="D32" s="15" t="n">
        <v>804.5</v>
      </c>
    </row>
    <row r="33" customFormat="false" ht="15" hidden="false" customHeight="false" outlineLevel="0" collapsed="false">
      <c r="A33" s="3" t="n">
        <v>1</v>
      </c>
      <c r="B33" s="3" t="s">
        <v>233</v>
      </c>
      <c r="C33" s="3" t="s">
        <v>101</v>
      </c>
      <c r="D33" s="15" t="n">
        <v>5972.43</v>
      </c>
    </row>
    <row r="34" customFormat="false" ht="15" hidden="false" customHeight="false" outlineLevel="0" collapsed="false">
      <c r="A34" s="3" t="n">
        <v>1</v>
      </c>
      <c r="B34" s="3" t="s">
        <v>233</v>
      </c>
      <c r="C34" s="3" t="s">
        <v>102</v>
      </c>
      <c r="D34" s="15" t="n">
        <v>93</v>
      </c>
    </row>
    <row r="35" customFormat="false" ht="15" hidden="false" customHeight="false" outlineLevel="0" collapsed="false">
      <c r="A35" s="3" t="n">
        <v>1</v>
      </c>
      <c r="B35" s="3" t="s">
        <v>235</v>
      </c>
      <c r="C35" s="3" t="s">
        <v>101</v>
      </c>
      <c r="D35" s="15" t="n">
        <v>13560.57</v>
      </c>
    </row>
    <row r="36" customFormat="false" ht="15" hidden="false" customHeight="false" outlineLevel="0" collapsed="false">
      <c r="A36" s="3" t="n">
        <v>1</v>
      </c>
      <c r="B36" s="3" t="s">
        <v>235</v>
      </c>
      <c r="C36" s="3" t="s">
        <v>102</v>
      </c>
      <c r="D36" s="15" t="n">
        <v>351.5</v>
      </c>
    </row>
    <row r="37" customFormat="false" ht="15" hidden="false" customHeight="false" outlineLevel="0" collapsed="false">
      <c r="A37" s="3" t="n">
        <v>1</v>
      </c>
      <c r="B37" s="3" t="s">
        <v>236</v>
      </c>
      <c r="C37" s="3" t="s">
        <v>101</v>
      </c>
      <c r="D37" s="15" t="n">
        <v>3450.47</v>
      </c>
    </row>
    <row r="38" customFormat="false" ht="15" hidden="false" customHeight="false" outlineLevel="0" collapsed="false">
      <c r="A38" s="3" t="n">
        <v>1</v>
      </c>
      <c r="B38" s="3" t="s">
        <v>236</v>
      </c>
      <c r="C38" s="3" t="s">
        <v>102</v>
      </c>
      <c r="D38" s="15" t="n">
        <v>182</v>
      </c>
    </row>
    <row r="39" customFormat="false" ht="15" hidden="false" customHeight="false" outlineLevel="0" collapsed="false">
      <c r="A39" s="3" t="n">
        <v>1</v>
      </c>
      <c r="B39" s="3" t="s">
        <v>238</v>
      </c>
      <c r="C39" s="3" t="s">
        <v>101</v>
      </c>
      <c r="D39" s="15" t="n">
        <v>12034.37</v>
      </c>
    </row>
    <row r="40" customFormat="false" ht="15" hidden="false" customHeight="false" outlineLevel="0" collapsed="false">
      <c r="A40" s="3" t="n">
        <v>1</v>
      </c>
      <c r="B40" s="3" t="s">
        <v>238</v>
      </c>
      <c r="C40" s="3" t="s">
        <v>102</v>
      </c>
      <c r="D40" s="15" t="n">
        <v>485</v>
      </c>
    </row>
    <row r="41" customFormat="false" ht="15" hidden="false" customHeight="false" outlineLevel="0" collapsed="false">
      <c r="A41" s="3" t="n">
        <v>1</v>
      </c>
      <c r="B41" s="3" t="s">
        <v>239</v>
      </c>
      <c r="C41" s="3" t="s">
        <v>101</v>
      </c>
      <c r="D41" s="15" t="n">
        <v>3850.72</v>
      </c>
    </row>
    <row r="42" customFormat="false" ht="15" hidden="false" customHeight="false" outlineLevel="0" collapsed="false">
      <c r="A42" s="3" t="n">
        <v>1</v>
      </c>
      <c r="B42" s="3" t="s">
        <v>239</v>
      </c>
      <c r="C42" s="3" t="s">
        <v>102</v>
      </c>
      <c r="D42" s="15" t="n">
        <v>206</v>
      </c>
    </row>
    <row r="43" customFormat="false" ht="15" hidden="false" customHeight="false" outlineLevel="0" collapsed="false">
      <c r="A43" s="3" t="n">
        <v>1</v>
      </c>
      <c r="B43" s="3" t="s">
        <v>240</v>
      </c>
      <c r="C43" s="3" t="s">
        <v>101</v>
      </c>
      <c r="D43" s="15" t="n">
        <v>2145.01</v>
      </c>
    </row>
    <row r="44" customFormat="false" ht="15" hidden="false" customHeight="false" outlineLevel="0" collapsed="false">
      <c r="A44" s="3" t="n">
        <v>1</v>
      </c>
      <c r="B44" s="3" t="s">
        <v>240</v>
      </c>
      <c r="C44" s="3" t="s">
        <v>102</v>
      </c>
      <c r="D44" s="15" t="n">
        <v>148.5</v>
      </c>
    </row>
    <row r="45" customFormat="false" ht="15" hidden="false" customHeight="false" outlineLevel="0" collapsed="false">
      <c r="A45" s="3" t="n">
        <v>1</v>
      </c>
      <c r="B45" s="3" t="s">
        <v>241</v>
      </c>
      <c r="C45" s="3" t="s">
        <v>101</v>
      </c>
      <c r="D45" s="15" t="n">
        <v>6723.1</v>
      </c>
    </row>
    <row r="46" customFormat="false" ht="15" hidden="false" customHeight="false" outlineLevel="0" collapsed="false">
      <c r="A46" s="3" t="n">
        <v>1</v>
      </c>
      <c r="B46" s="3" t="s">
        <v>241</v>
      </c>
      <c r="C46" s="3" t="s">
        <v>102</v>
      </c>
      <c r="D46" s="15" t="n">
        <v>270</v>
      </c>
    </row>
    <row r="47" customFormat="false" ht="15" hidden="false" customHeight="false" outlineLevel="0" collapsed="false">
      <c r="A47" s="3" t="n">
        <v>1</v>
      </c>
      <c r="B47" s="3" t="s">
        <v>242</v>
      </c>
      <c r="C47" s="3" t="s">
        <v>101</v>
      </c>
      <c r="D47" s="15" t="n">
        <v>4905.83</v>
      </c>
    </row>
    <row r="48" customFormat="false" ht="15" hidden="false" customHeight="false" outlineLevel="0" collapsed="false">
      <c r="A48" s="3" t="n">
        <v>1</v>
      </c>
      <c r="B48" s="3" t="s">
        <v>242</v>
      </c>
      <c r="C48" s="3" t="s">
        <v>102</v>
      </c>
      <c r="D48" s="15" t="n">
        <v>182</v>
      </c>
    </row>
    <row r="49" customFormat="false" ht="15" hidden="false" customHeight="false" outlineLevel="0" collapsed="false">
      <c r="A49" s="3" t="n">
        <v>1</v>
      </c>
      <c r="B49" s="3" t="s">
        <v>244</v>
      </c>
      <c r="C49" s="3" t="s">
        <v>101</v>
      </c>
      <c r="D49" s="15" t="n">
        <v>1881.2</v>
      </c>
    </row>
    <row r="50" customFormat="false" ht="15" hidden="false" customHeight="false" outlineLevel="0" collapsed="false">
      <c r="A50" s="3" t="n">
        <v>1</v>
      </c>
      <c r="B50" s="3" t="s">
        <v>244</v>
      </c>
      <c r="C50" s="3" t="s">
        <v>102</v>
      </c>
      <c r="D50" s="15" t="n">
        <v>91</v>
      </c>
    </row>
    <row r="51" customFormat="false" ht="15" hidden="false" customHeight="false" outlineLevel="0" collapsed="false">
      <c r="A51" s="3" t="n">
        <v>1</v>
      </c>
      <c r="B51" s="3" t="s">
        <v>245</v>
      </c>
      <c r="C51" s="3" t="s">
        <v>101</v>
      </c>
      <c r="D51" s="15" t="n">
        <v>2355.81</v>
      </c>
    </row>
    <row r="52" customFormat="false" ht="15" hidden="false" customHeight="false" outlineLevel="0" collapsed="false">
      <c r="A52" s="3" t="n">
        <v>1</v>
      </c>
      <c r="B52" s="3" t="s">
        <v>245</v>
      </c>
      <c r="C52" s="3" t="s">
        <v>102</v>
      </c>
      <c r="D52" s="15" t="n">
        <v>176.5</v>
      </c>
    </row>
    <row r="53" customFormat="false" ht="15" hidden="false" customHeight="false" outlineLevel="0" collapsed="false">
      <c r="A53" s="3" t="n">
        <v>1</v>
      </c>
      <c r="B53" s="3" t="s">
        <v>247</v>
      </c>
      <c r="C53" s="3" t="s">
        <v>101</v>
      </c>
      <c r="D53" s="15" t="n">
        <v>1653.2</v>
      </c>
    </row>
    <row r="54" customFormat="false" ht="15" hidden="false" customHeight="false" outlineLevel="0" collapsed="false">
      <c r="A54" s="3" t="n">
        <v>1</v>
      </c>
      <c r="B54" s="3" t="s">
        <v>247</v>
      </c>
      <c r="C54" s="3" t="s">
        <v>102</v>
      </c>
      <c r="D54" s="15" t="n">
        <v>107</v>
      </c>
    </row>
    <row r="55" customFormat="false" ht="15" hidden="false" customHeight="false" outlineLevel="0" collapsed="false">
      <c r="A55" s="3" t="n">
        <v>1</v>
      </c>
      <c r="B55" s="3" t="s">
        <v>248</v>
      </c>
      <c r="C55" s="3" t="s">
        <v>101</v>
      </c>
      <c r="D55" s="15" t="n">
        <v>6860.88</v>
      </c>
    </row>
    <row r="56" customFormat="false" ht="15" hidden="false" customHeight="false" outlineLevel="0" collapsed="false">
      <c r="A56" s="3" t="n">
        <v>1</v>
      </c>
      <c r="B56" s="3" t="s">
        <v>248</v>
      </c>
      <c r="C56" s="3" t="s">
        <v>102</v>
      </c>
      <c r="D56" s="15" t="n">
        <v>400</v>
      </c>
    </row>
    <row r="57" customFormat="false" ht="15" hidden="false" customHeight="false" outlineLevel="0" collapsed="false">
      <c r="A57" s="3" t="n">
        <v>1</v>
      </c>
      <c r="B57" s="3" t="s">
        <v>250</v>
      </c>
      <c r="C57" s="3" t="s">
        <v>101</v>
      </c>
      <c r="D57" s="15" t="n">
        <v>8477.13</v>
      </c>
    </row>
    <row r="58" customFormat="false" ht="15" hidden="false" customHeight="false" outlineLevel="0" collapsed="false">
      <c r="A58" s="3" t="n">
        <v>1</v>
      </c>
      <c r="B58" s="3" t="s">
        <v>250</v>
      </c>
      <c r="C58" s="3" t="s">
        <v>102</v>
      </c>
      <c r="D58" s="15" t="n">
        <v>318.5</v>
      </c>
    </row>
    <row r="59" customFormat="false" ht="15" hidden="false" customHeight="false" outlineLevel="0" collapsed="false">
      <c r="A59" s="3" t="n">
        <v>1</v>
      </c>
      <c r="B59" s="3" t="s">
        <v>251</v>
      </c>
      <c r="C59" s="3" t="s">
        <v>101</v>
      </c>
      <c r="D59" s="15" t="n">
        <v>1933.2</v>
      </c>
    </row>
    <row r="60" customFormat="false" ht="15" hidden="false" customHeight="false" outlineLevel="0" collapsed="false">
      <c r="A60" s="3" t="n">
        <v>1</v>
      </c>
      <c r="B60" s="3" t="s">
        <v>251</v>
      </c>
      <c r="C60" s="3" t="s">
        <v>102</v>
      </c>
      <c r="D60" s="15" t="n">
        <v>91</v>
      </c>
    </row>
    <row r="61" customFormat="false" ht="15" hidden="false" customHeight="false" outlineLevel="0" collapsed="false">
      <c r="A61" s="3" t="n">
        <v>1</v>
      </c>
      <c r="B61" s="3" t="s">
        <v>253</v>
      </c>
      <c r="C61" s="3" t="s">
        <v>101</v>
      </c>
      <c r="D61" s="15" t="n">
        <v>3589.74</v>
      </c>
    </row>
    <row r="62" customFormat="false" ht="15" hidden="false" customHeight="false" outlineLevel="0" collapsed="false">
      <c r="A62" s="3" t="n">
        <v>1</v>
      </c>
      <c r="B62" s="3" t="s">
        <v>253</v>
      </c>
      <c r="C62" s="3" t="s">
        <v>102</v>
      </c>
      <c r="D62" s="15" t="n">
        <v>156.5</v>
      </c>
    </row>
    <row r="63" customFormat="false" ht="15" hidden="false" customHeight="false" outlineLevel="0" collapsed="false">
      <c r="A63" s="3" t="n">
        <v>1</v>
      </c>
      <c r="B63" s="3" t="s">
        <v>254</v>
      </c>
      <c r="C63" s="3" t="s">
        <v>101</v>
      </c>
      <c r="D63" s="15" t="n">
        <v>2416.91</v>
      </c>
    </row>
    <row r="64" customFormat="false" ht="15" hidden="false" customHeight="false" outlineLevel="0" collapsed="false">
      <c r="A64" s="3" t="n">
        <v>1</v>
      </c>
      <c r="B64" s="3" t="s">
        <v>254</v>
      </c>
      <c r="C64" s="3" t="s">
        <v>102</v>
      </c>
      <c r="D64" s="15" t="n">
        <v>136.5</v>
      </c>
    </row>
    <row r="65" customFormat="false" ht="15" hidden="false" customHeight="false" outlineLevel="0" collapsed="false">
      <c r="A65" s="3" t="n">
        <v>1</v>
      </c>
      <c r="B65" s="3" t="s">
        <v>256</v>
      </c>
      <c r="C65" s="3" t="s">
        <v>101</v>
      </c>
      <c r="D65" s="15" t="n">
        <v>3044.23</v>
      </c>
    </row>
    <row r="66" customFormat="false" ht="15" hidden="false" customHeight="false" outlineLevel="0" collapsed="false">
      <c r="A66" s="3" t="n">
        <v>1</v>
      </c>
      <c r="B66" s="3" t="s">
        <v>256</v>
      </c>
      <c r="C66" s="3" t="s">
        <v>102</v>
      </c>
      <c r="D66" s="15" t="n">
        <v>136.5</v>
      </c>
    </row>
    <row r="67" customFormat="false" ht="15" hidden="false" customHeight="false" outlineLevel="0" collapsed="false">
      <c r="A67" s="3" t="n">
        <v>1</v>
      </c>
      <c r="B67" s="3" t="s">
        <v>257</v>
      </c>
      <c r="C67" s="3" t="s">
        <v>101</v>
      </c>
      <c r="D67" s="15" t="n">
        <v>4245.26</v>
      </c>
    </row>
    <row r="68" customFormat="false" ht="15" hidden="false" customHeight="false" outlineLevel="0" collapsed="false">
      <c r="A68" s="3" t="n">
        <v>1</v>
      </c>
      <c r="B68" s="3" t="s">
        <v>257</v>
      </c>
      <c r="C68" s="3" t="s">
        <v>102</v>
      </c>
      <c r="D68" s="15" t="n">
        <v>194</v>
      </c>
    </row>
    <row r="69" customFormat="false" ht="15" hidden="false" customHeight="false" outlineLevel="0" collapsed="false">
      <c r="A69" s="3" t="n">
        <v>1</v>
      </c>
      <c r="B69" s="3" t="s">
        <v>259</v>
      </c>
      <c r="C69" s="3" t="s">
        <v>101</v>
      </c>
      <c r="D69" s="15" t="n">
        <v>3879.91</v>
      </c>
    </row>
    <row r="70" customFormat="false" ht="15" hidden="false" customHeight="false" outlineLevel="0" collapsed="false">
      <c r="A70" s="3" t="n">
        <v>1</v>
      </c>
      <c r="B70" s="3" t="s">
        <v>259</v>
      </c>
      <c r="C70" s="3" t="s">
        <v>102</v>
      </c>
      <c r="D70" s="15" t="n">
        <v>160.5</v>
      </c>
    </row>
    <row r="71" customFormat="false" ht="15" hidden="false" customHeight="false" outlineLevel="0" collapsed="false">
      <c r="A71" s="3" t="n">
        <v>1</v>
      </c>
      <c r="B71" s="3" t="s">
        <v>260</v>
      </c>
      <c r="C71" s="3" t="s">
        <v>101</v>
      </c>
      <c r="D71" s="15" t="n">
        <v>2156.63</v>
      </c>
    </row>
    <row r="72" customFormat="false" ht="15" hidden="false" customHeight="false" outlineLevel="0" collapsed="false">
      <c r="A72" s="3" t="n">
        <v>1</v>
      </c>
      <c r="B72" s="3" t="s">
        <v>260</v>
      </c>
      <c r="C72" s="3" t="s">
        <v>102</v>
      </c>
      <c r="D72" s="15" t="n">
        <v>15.5</v>
      </c>
    </row>
    <row r="73" customFormat="false" ht="15" hidden="false" customHeight="false" outlineLevel="0" collapsed="false">
      <c r="A73" s="3" t="n">
        <v>1</v>
      </c>
      <c r="B73" s="3" t="s">
        <v>262</v>
      </c>
      <c r="C73" s="3" t="s">
        <v>102</v>
      </c>
      <c r="D73" s="15" t="n">
        <v>10216.42</v>
      </c>
    </row>
    <row r="74" customFormat="false" ht="15" hidden="false" customHeight="false" outlineLevel="0" collapsed="false">
      <c r="A74" s="3" t="n">
        <v>1</v>
      </c>
      <c r="B74" s="3" t="s">
        <v>263</v>
      </c>
      <c r="C74" s="3" t="s">
        <v>102</v>
      </c>
      <c r="D74" s="15" t="n">
        <v>18636.43</v>
      </c>
    </row>
    <row r="75" customFormat="false" ht="15" hidden="false" customHeight="false" outlineLevel="0" collapsed="false">
      <c r="A75" s="3" t="n">
        <v>1</v>
      </c>
      <c r="B75" s="3" t="s">
        <v>264</v>
      </c>
      <c r="C75" s="3" t="s">
        <v>101</v>
      </c>
      <c r="D75" s="15" t="n">
        <v>80215.23</v>
      </c>
    </row>
    <row r="76" customFormat="false" ht="15" hidden="false" customHeight="false" outlineLevel="0" collapsed="false">
      <c r="A76" s="3" t="n">
        <v>1</v>
      </c>
      <c r="B76" s="3" t="s">
        <v>264</v>
      </c>
      <c r="C76" s="3" t="s">
        <v>102</v>
      </c>
      <c r="D76" s="15" t="n">
        <v>7251</v>
      </c>
    </row>
    <row r="77" customFormat="false" ht="15" hidden="false" customHeight="false" outlineLevel="0" collapsed="false">
      <c r="A77" s="3" t="n">
        <v>1</v>
      </c>
      <c r="B77" s="3" t="s">
        <v>265</v>
      </c>
      <c r="C77" s="3" t="s">
        <v>101</v>
      </c>
      <c r="D77" s="15" t="n">
        <v>290882.78</v>
      </c>
    </row>
    <row r="78" customFormat="false" ht="15" hidden="false" customHeight="false" outlineLevel="0" collapsed="false">
      <c r="A78" s="3" t="n">
        <v>1</v>
      </c>
      <c r="B78" s="3" t="s">
        <v>265</v>
      </c>
      <c r="C78" s="3" t="s">
        <v>103</v>
      </c>
      <c r="D78" s="15" t="n">
        <v>-134</v>
      </c>
    </row>
    <row r="79" customFormat="false" ht="15" hidden="false" customHeight="false" outlineLevel="0" collapsed="false">
      <c r="A79" s="3" t="n">
        <v>1</v>
      </c>
      <c r="B79" s="3" t="s">
        <v>265</v>
      </c>
      <c r="C79" s="3" t="s">
        <v>102</v>
      </c>
      <c r="D79" s="15" t="n">
        <v>29541</v>
      </c>
    </row>
    <row r="80" customFormat="false" ht="15" hidden="false" customHeight="false" outlineLevel="0" collapsed="false">
      <c r="A80" s="3" t="n">
        <v>1</v>
      </c>
      <c r="B80" s="3" t="s">
        <v>266</v>
      </c>
      <c r="C80" s="3" t="s">
        <v>101</v>
      </c>
      <c r="D80" s="15" t="n">
        <v>4190.8</v>
      </c>
    </row>
    <row r="81" customFormat="false" ht="15" hidden="false" customHeight="false" outlineLevel="0" collapsed="false">
      <c r="A81" s="3" t="n">
        <v>1</v>
      </c>
      <c r="B81" s="3" t="s">
        <v>266</v>
      </c>
      <c r="C81" s="3" t="s">
        <v>102</v>
      </c>
      <c r="D81" s="15" t="n">
        <v>38.5</v>
      </c>
    </row>
    <row r="82" customFormat="false" ht="15" hidden="false" customHeight="false" outlineLevel="0" collapsed="false">
      <c r="A82" s="3" t="n">
        <v>1</v>
      </c>
      <c r="B82" s="3" t="s">
        <v>267</v>
      </c>
      <c r="C82" s="3" t="s">
        <v>101</v>
      </c>
      <c r="D82" s="15" t="n">
        <v>3006.69</v>
      </c>
    </row>
    <row r="83" customFormat="false" ht="15" hidden="false" customHeight="false" outlineLevel="0" collapsed="false">
      <c r="A83" s="3" t="n">
        <v>1</v>
      </c>
      <c r="B83" s="3" t="s">
        <v>267</v>
      </c>
      <c r="C83" s="3" t="s">
        <v>102</v>
      </c>
      <c r="D83" s="15" t="n">
        <v>285</v>
      </c>
    </row>
    <row r="84" customFormat="false" ht="15" hidden="false" customHeight="false" outlineLevel="0" collapsed="false">
      <c r="A84" s="3" t="n">
        <v>1</v>
      </c>
      <c r="B84" s="3" t="s">
        <v>268</v>
      </c>
      <c r="C84" s="3" t="s">
        <v>101</v>
      </c>
      <c r="D84" s="15" t="n">
        <v>9160.46</v>
      </c>
    </row>
    <row r="85" customFormat="false" ht="15" hidden="false" customHeight="false" outlineLevel="0" collapsed="false">
      <c r="A85" s="3" t="n">
        <v>1</v>
      </c>
      <c r="B85" s="3" t="s">
        <v>268</v>
      </c>
      <c r="C85" s="3" t="s">
        <v>102</v>
      </c>
      <c r="D85" s="15" t="n">
        <v>439.5</v>
      </c>
    </row>
    <row r="86" customFormat="false" ht="15" hidden="false" customHeight="false" outlineLevel="0" collapsed="false">
      <c r="A86" s="3" t="n">
        <v>1</v>
      </c>
      <c r="B86" s="3" t="s">
        <v>270</v>
      </c>
      <c r="C86" s="3" t="s">
        <v>101</v>
      </c>
      <c r="D86" s="15" t="n">
        <v>14133.19</v>
      </c>
    </row>
    <row r="87" customFormat="false" ht="15" hidden="false" customHeight="false" outlineLevel="0" collapsed="false">
      <c r="A87" s="3" t="n">
        <v>1</v>
      </c>
      <c r="B87" s="3" t="s">
        <v>270</v>
      </c>
      <c r="C87" s="3" t="s">
        <v>102</v>
      </c>
      <c r="D87" s="15" t="n">
        <v>493.5</v>
      </c>
    </row>
    <row r="88" customFormat="false" ht="15" hidden="false" customHeight="false" outlineLevel="0" collapsed="false">
      <c r="A88" s="3" t="n">
        <v>1</v>
      </c>
      <c r="B88" s="3" t="s">
        <v>271</v>
      </c>
      <c r="C88" s="3" t="s">
        <v>101</v>
      </c>
      <c r="D88" s="15" t="n">
        <v>1002.23</v>
      </c>
    </row>
    <row r="89" customFormat="false" ht="15" hidden="false" customHeight="false" outlineLevel="0" collapsed="false">
      <c r="A89" s="3" t="n">
        <v>1</v>
      </c>
      <c r="B89" s="3" t="s">
        <v>271</v>
      </c>
      <c r="C89" s="3" t="s">
        <v>102</v>
      </c>
      <c r="D89" s="15" t="n">
        <v>12</v>
      </c>
    </row>
    <row r="90" customFormat="false" ht="15" hidden="false" customHeight="false" outlineLevel="0" collapsed="false">
      <c r="A90" s="3" t="n">
        <v>1</v>
      </c>
      <c r="B90" s="3" t="s">
        <v>272</v>
      </c>
      <c r="C90" s="3" t="s">
        <v>101</v>
      </c>
      <c r="D90" s="15" t="n">
        <v>1281.6</v>
      </c>
    </row>
    <row r="91" customFormat="false" ht="15" hidden="false" customHeight="false" outlineLevel="0" collapsed="false">
      <c r="A91" s="3" t="n">
        <v>1</v>
      </c>
      <c r="B91" s="3" t="s">
        <v>272</v>
      </c>
      <c r="C91" s="3" t="s">
        <v>102</v>
      </c>
      <c r="D91" s="15" t="n">
        <v>180.9</v>
      </c>
    </row>
    <row r="92" customFormat="false" ht="15" hidden="false" customHeight="false" outlineLevel="0" collapsed="false">
      <c r="A92" s="3" t="n">
        <v>1</v>
      </c>
      <c r="B92" s="3" t="s">
        <v>273</v>
      </c>
      <c r="C92" s="3" t="s">
        <v>103</v>
      </c>
      <c r="D92" s="15" t="n">
        <v>-3420.73</v>
      </c>
    </row>
    <row r="93" customFormat="false" ht="15" hidden="false" customHeight="false" outlineLevel="0" collapsed="false">
      <c r="A93" s="3" t="n">
        <v>1</v>
      </c>
      <c r="B93" s="3" t="s">
        <v>273</v>
      </c>
      <c r="C93" s="3" t="s">
        <v>100</v>
      </c>
      <c r="D93" s="15" t="n">
        <v>35202.19</v>
      </c>
    </row>
    <row r="94" customFormat="false" ht="15" hidden="false" customHeight="false" outlineLevel="0" collapsed="false">
      <c r="A94" s="3" t="n">
        <v>1</v>
      </c>
      <c r="B94" s="3" t="s">
        <v>273</v>
      </c>
      <c r="C94" s="3" t="s">
        <v>99</v>
      </c>
      <c r="D94" s="15" t="n">
        <v>1782.8</v>
      </c>
    </row>
    <row r="95" customFormat="false" ht="15" hidden="false" customHeight="false" outlineLevel="0" collapsed="false">
      <c r="A95" s="3" t="n">
        <v>1</v>
      </c>
      <c r="B95" s="3" t="s">
        <v>273</v>
      </c>
      <c r="C95" s="3" t="s">
        <v>98</v>
      </c>
      <c r="D95" s="15" t="n">
        <v>60789.47</v>
      </c>
    </row>
    <row r="96" customFormat="false" ht="15" hidden="false" customHeight="false" outlineLevel="0" collapsed="false">
      <c r="A96" s="3" t="n">
        <v>1</v>
      </c>
      <c r="B96" s="3" t="s">
        <v>273</v>
      </c>
      <c r="C96" s="3" t="s">
        <v>82</v>
      </c>
      <c r="D96" s="15" t="n">
        <v>28789.98</v>
      </c>
    </row>
    <row r="97" customFormat="false" ht="15" hidden="false" customHeight="false" outlineLevel="0" collapsed="false">
      <c r="A97" s="3" t="n">
        <v>1</v>
      </c>
      <c r="B97" s="3" t="s">
        <v>274</v>
      </c>
      <c r="C97" s="3" t="s">
        <v>103</v>
      </c>
      <c r="D97" s="15" t="n">
        <v>-119.02</v>
      </c>
    </row>
    <row r="98" customFormat="false" ht="15" hidden="false" customHeight="false" outlineLevel="0" collapsed="false">
      <c r="A98" s="3" t="n">
        <v>1</v>
      </c>
      <c r="B98" s="3" t="s">
        <v>274</v>
      </c>
      <c r="C98" s="3" t="s">
        <v>100</v>
      </c>
      <c r="D98" s="15" t="n">
        <v>638.3</v>
      </c>
    </row>
    <row r="99" customFormat="false" ht="15" hidden="false" customHeight="false" outlineLevel="0" collapsed="false">
      <c r="A99" s="3" t="n">
        <v>1</v>
      </c>
      <c r="B99" s="3" t="s">
        <v>274</v>
      </c>
      <c r="C99" s="3" t="s">
        <v>98</v>
      </c>
      <c r="D99" s="15" t="n">
        <v>1138</v>
      </c>
    </row>
    <row r="100" customFormat="false" ht="15" hidden="false" customHeight="false" outlineLevel="0" collapsed="false">
      <c r="A100" s="3" t="n">
        <v>1</v>
      </c>
      <c r="B100" s="3" t="s">
        <v>274</v>
      </c>
      <c r="C100" s="3" t="s">
        <v>82</v>
      </c>
      <c r="D100" s="15" t="n">
        <v>591.98</v>
      </c>
    </row>
    <row r="101" customFormat="false" ht="15" hidden="false" customHeight="false" outlineLevel="0" collapsed="false">
      <c r="A101" s="3" t="n">
        <v>1</v>
      </c>
      <c r="B101" s="3" t="s">
        <v>275</v>
      </c>
      <c r="C101" s="3" t="s">
        <v>103</v>
      </c>
      <c r="D101" s="15" t="n">
        <v>-884.58</v>
      </c>
    </row>
    <row r="102" customFormat="false" ht="15" hidden="false" customHeight="false" outlineLevel="0" collapsed="false">
      <c r="A102" s="3" t="n">
        <v>1</v>
      </c>
      <c r="B102" s="3" t="s">
        <v>275</v>
      </c>
      <c r="C102" s="3" t="s">
        <v>100</v>
      </c>
      <c r="D102" s="15" t="n">
        <v>1348.16</v>
      </c>
    </row>
    <row r="103" customFormat="false" ht="15" hidden="false" customHeight="false" outlineLevel="0" collapsed="false">
      <c r="A103" s="3" t="n">
        <v>1</v>
      </c>
      <c r="B103" s="3" t="s">
        <v>275</v>
      </c>
      <c r="C103" s="3" t="s">
        <v>99</v>
      </c>
      <c r="D103" s="15" t="n">
        <v>42.5</v>
      </c>
    </row>
    <row r="104" customFormat="false" ht="15" hidden="false" customHeight="false" outlineLevel="0" collapsed="false">
      <c r="A104" s="3" t="n">
        <v>1</v>
      </c>
      <c r="B104" s="3" t="s">
        <v>275</v>
      </c>
      <c r="C104" s="3" t="s">
        <v>98</v>
      </c>
      <c r="D104" s="15" t="n">
        <v>2695.66</v>
      </c>
    </row>
    <row r="105" customFormat="false" ht="15" hidden="false" customHeight="false" outlineLevel="0" collapsed="false">
      <c r="A105" s="3" t="n">
        <v>1</v>
      </c>
      <c r="B105" s="3" t="s">
        <v>275</v>
      </c>
      <c r="C105" s="3" t="s">
        <v>82</v>
      </c>
      <c r="D105" s="15" t="n">
        <v>1191.83</v>
      </c>
    </row>
    <row r="106" customFormat="false" ht="15" hidden="false" customHeight="false" outlineLevel="0" collapsed="false">
      <c r="A106" s="3" t="n">
        <v>1</v>
      </c>
      <c r="B106" s="3" t="s">
        <v>276</v>
      </c>
      <c r="C106" s="3" t="s">
        <v>103</v>
      </c>
      <c r="D106" s="15" t="n">
        <v>-349.23</v>
      </c>
    </row>
    <row r="107" customFormat="false" ht="15" hidden="false" customHeight="false" outlineLevel="0" collapsed="false">
      <c r="A107" s="3" t="n">
        <v>1</v>
      </c>
      <c r="B107" s="3" t="s">
        <v>276</v>
      </c>
      <c r="C107" s="3" t="s">
        <v>100</v>
      </c>
      <c r="D107" s="15" t="n">
        <v>9609.34</v>
      </c>
    </row>
    <row r="108" customFormat="false" ht="15" hidden="false" customHeight="false" outlineLevel="0" collapsed="false">
      <c r="A108" s="3" t="n">
        <v>1</v>
      </c>
      <c r="B108" s="3" t="s">
        <v>276</v>
      </c>
      <c r="C108" s="3" t="s">
        <v>98</v>
      </c>
      <c r="D108" s="15" t="n">
        <v>17098.49</v>
      </c>
    </row>
    <row r="109" customFormat="false" ht="15" hidden="false" customHeight="false" outlineLevel="0" collapsed="false">
      <c r="A109" s="3" t="n">
        <v>1</v>
      </c>
      <c r="B109" s="3" t="s">
        <v>276</v>
      </c>
      <c r="C109" s="3" t="s">
        <v>82</v>
      </c>
      <c r="D109" s="15" t="n">
        <v>9188.04</v>
      </c>
    </row>
    <row r="110" customFormat="false" ht="15" hidden="false" customHeight="false" outlineLevel="0" collapsed="false">
      <c r="A110" s="3" t="n">
        <v>1</v>
      </c>
      <c r="B110" s="3" t="s">
        <v>277</v>
      </c>
      <c r="C110" s="3" t="s">
        <v>103</v>
      </c>
      <c r="D110" s="15" t="n">
        <v>-383.75</v>
      </c>
    </row>
    <row r="111" customFormat="false" ht="15" hidden="false" customHeight="false" outlineLevel="0" collapsed="false">
      <c r="A111" s="3" t="n">
        <v>1</v>
      </c>
      <c r="B111" s="3" t="s">
        <v>277</v>
      </c>
      <c r="C111" s="3" t="s">
        <v>100</v>
      </c>
      <c r="D111" s="15" t="n">
        <v>2139.21</v>
      </c>
    </row>
    <row r="112" customFormat="false" ht="15" hidden="false" customHeight="false" outlineLevel="0" collapsed="false">
      <c r="A112" s="3" t="n">
        <v>1</v>
      </c>
      <c r="B112" s="3" t="s">
        <v>277</v>
      </c>
      <c r="C112" s="3" t="s">
        <v>99</v>
      </c>
      <c r="D112" s="15" t="n">
        <v>51.02</v>
      </c>
    </row>
    <row r="113" customFormat="false" ht="15" hidden="false" customHeight="false" outlineLevel="0" collapsed="false">
      <c r="A113" s="3" t="n">
        <v>1</v>
      </c>
      <c r="B113" s="3" t="s">
        <v>277</v>
      </c>
      <c r="C113" s="3" t="s">
        <v>98</v>
      </c>
      <c r="D113" s="15" t="n">
        <v>3755.4</v>
      </c>
    </row>
    <row r="114" customFormat="false" ht="15" hidden="false" customHeight="false" outlineLevel="0" collapsed="false">
      <c r="A114" s="3" t="n">
        <v>1</v>
      </c>
      <c r="B114" s="3" t="s">
        <v>277</v>
      </c>
      <c r="C114" s="3" t="s">
        <v>82</v>
      </c>
      <c r="D114" s="15" t="n">
        <v>1985.48</v>
      </c>
    </row>
    <row r="115" customFormat="false" ht="15" hidden="false" customHeight="false" outlineLevel="0" collapsed="false">
      <c r="A115" s="3" t="n">
        <v>1</v>
      </c>
      <c r="B115" s="3" t="s">
        <v>278</v>
      </c>
      <c r="C115" s="3" t="s">
        <v>103</v>
      </c>
      <c r="D115" s="15" t="n">
        <v>-12531.26</v>
      </c>
    </row>
    <row r="116" customFormat="false" ht="15" hidden="false" customHeight="false" outlineLevel="0" collapsed="false">
      <c r="A116" s="3" t="n">
        <v>1</v>
      </c>
      <c r="B116" s="3" t="s">
        <v>278</v>
      </c>
      <c r="C116" s="3" t="s">
        <v>102</v>
      </c>
      <c r="D116" s="15" t="n">
        <v>5166.01</v>
      </c>
    </row>
    <row r="117" customFormat="false" ht="15" hidden="false" customHeight="false" outlineLevel="0" collapsed="false">
      <c r="A117" s="3" t="n">
        <v>1</v>
      </c>
      <c r="B117" s="3" t="s">
        <v>278</v>
      </c>
      <c r="C117" s="3" t="s">
        <v>100</v>
      </c>
      <c r="D117" s="15" t="n">
        <v>9827.78</v>
      </c>
    </row>
    <row r="118" customFormat="false" ht="15" hidden="false" customHeight="false" outlineLevel="0" collapsed="false">
      <c r="A118" s="3" t="n">
        <v>1</v>
      </c>
      <c r="B118" s="3" t="s">
        <v>278</v>
      </c>
      <c r="C118" s="3" t="s">
        <v>99</v>
      </c>
      <c r="D118" s="15" t="n">
        <v>839.68</v>
      </c>
    </row>
    <row r="119" customFormat="false" ht="15" hidden="false" customHeight="false" outlineLevel="0" collapsed="false">
      <c r="A119" s="3" t="n">
        <v>1</v>
      </c>
      <c r="B119" s="3" t="s">
        <v>278</v>
      </c>
      <c r="C119" s="3" t="s">
        <v>98</v>
      </c>
      <c r="D119" s="15" t="n">
        <v>17847.81</v>
      </c>
    </row>
    <row r="120" customFormat="false" ht="15" hidden="false" customHeight="false" outlineLevel="0" collapsed="false">
      <c r="A120" s="3" t="n">
        <v>1</v>
      </c>
      <c r="B120" s="3" t="s">
        <v>278</v>
      </c>
      <c r="C120" s="3" t="s">
        <v>82</v>
      </c>
      <c r="D120" s="15" t="n">
        <v>7519.48</v>
      </c>
    </row>
    <row r="121" customFormat="false" ht="15" hidden="false" customHeight="false" outlineLevel="0" collapsed="false">
      <c r="A121" s="3" t="n">
        <v>1</v>
      </c>
      <c r="B121" s="3" t="s">
        <v>279</v>
      </c>
      <c r="C121" s="3" t="s">
        <v>103</v>
      </c>
      <c r="D121" s="15" t="n">
        <v>-38.8</v>
      </c>
    </row>
    <row r="122" customFormat="false" ht="15" hidden="false" customHeight="false" outlineLevel="0" collapsed="false">
      <c r="A122" s="3" t="n">
        <v>1</v>
      </c>
      <c r="B122" s="3" t="s">
        <v>279</v>
      </c>
      <c r="C122" s="3" t="s">
        <v>100</v>
      </c>
      <c r="D122" s="15" t="n">
        <v>7686.48</v>
      </c>
    </row>
    <row r="123" customFormat="false" ht="15" hidden="false" customHeight="false" outlineLevel="0" collapsed="false">
      <c r="A123" s="3" t="n">
        <v>1</v>
      </c>
      <c r="B123" s="3" t="s">
        <v>279</v>
      </c>
      <c r="C123" s="3" t="s">
        <v>98</v>
      </c>
      <c r="D123" s="15" t="n">
        <v>13677.04</v>
      </c>
    </row>
    <row r="124" customFormat="false" ht="15" hidden="false" customHeight="false" outlineLevel="0" collapsed="false">
      <c r="A124" s="3" t="n">
        <v>1</v>
      </c>
      <c r="B124" s="3" t="s">
        <v>279</v>
      </c>
      <c r="C124" s="3" t="s">
        <v>82</v>
      </c>
      <c r="D124" s="15" t="n">
        <v>7396.62</v>
      </c>
    </row>
    <row r="125" customFormat="false" ht="15" hidden="false" customHeight="false" outlineLevel="0" collapsed="false">
      <c r="A125" s="3" t="n">
        <v>1</v>
      </c>
      <c r="B125" s="3" t="s">
        <v>280</v>
      </c>
      <c r="C125" s="3" t="s">
        <v>103</v>
      </c>
      <c r="D125" s="15" t="n">
        <v>-2444.28</v>
      </c>
    </row>
    <row r="126" customFormat="false" ht="15" hidden="false" customHeight="false" outlineLevel="0" collapsed="false">
      <c r="A126" s="3" t="n">
        <v>1</v>
      </c>
      <c r="B126" s="3" t="s">
        <v>280</v>
      </c>
      <c r="C126" s="3" t="s">
        <v>102</v>
      </c>
      <c r="D126" s="15" t="n">
        <v>421.14</v>
      </c>
    </row>
    <row r="127" customFormat="false" ht="15" hidden="false" customHeight="false" outlineLevel="0" collapsed="false">
      <c r="A127" s="3" t="n">
        <v>1</v>
      </c>
      <c r="B127" s="3" t="s">
        <v>280</v>
      </c>
      <c r="C127" s="3" t="s">
        <v>100</v>
      </c>
      <c r="D127" s="15" t="n">
        <v>8115.47</v>
      </c>
    </row>
    <row r="128" customFormat="false" ht="15" hidden="false" customHeight="false" outlineLevel="0" collapsed="false">
      <c r="A128" s="3" t="n">
        <v>1</v>
      </c>
      <c r="B128" s="3" t="s">
        <v>280</v>
      </c>
      <c r="C128" s="3" t="s">
        <v>99</v>
      </c>
      <c r="D128" s="15" t="n">
        <v>1642.67</v>
      </c>
    </row>
    <row r="129" customFormat="false" ht="15" hidden="false" customHeight="false" outlineLevel="0" collapsed="false">
      <c r="A129" s="3" t="n">
        <v>1</v>
      </c>
      <c r="B129" s="3" t="s">
        <v>280</v>
      </c>
      <c r="C129" s="3" t="s">
        <v>98</v>
      </c>
      <c r="D129" s="15" t="n">
        <v>13170.91</v>
      </c>
    </row>
    <row r="130" customFormat="false" ht="15" hidden="false" customHeight="false" outlineLevel="0" collapsed="false">
      <c r="A130" s="3" t="n">
        <v>1</v>
      </c>
      <c r="B130" s="3" t="s">
        <v>280</v>
      </c>
      <c r="C130" s="3" t="s">
        <v>82</v>
      </c>
      <c r="D130" s="15" t="n">
        <v>7493.75</v>
      </c>
    </row>
    <row r="131" customFormat="false" ht="15" hidden="false" customHeight="false" outlineLevel="0" collapsed="false">
      <c r="A131" s="3" t="n">
        <v>1</v>
      </c>
      <c r="B131" s="3" t="s">
        <v>281</v>
      </c>
      <c r="C131" s="3" t="s">
        <v>103</v>
      </c>
      <c r="D131" s="15" t="n">
        <v>-1105.27</v>
      </c>
    </row>
    <row r="132" customFormat="false" ht="15" hidden="false" customHeight="false" outlineLevel="0" collapsed="false">
      <c r="A132" s="3" t="n">
        <v>1</v>
      </c>
      <c r="B132" s="3" t="s">
        <v>281</v>
      </c>
      <c r="C132" s="3" t="s">
        <v>100</v>
      </c>
      <c r="D132" s="15" t="n">
        <v>6074.34</v>
      </c>
    </row>
    <row r="133" customFormat="false" ht="15" hidden="false" customHeight="false" outlineLevel="0" collapsed="false">
      <c r="A133" s="3" t="n">
        <v>1</v>
      </c>
      <c r="B133" s="3" t="s">
        <v>281</v>
      </c>
      <c r="C133" s="3" t="s">
        <v>99</v>
      </c>
      <c r="D133" s="15" t="n">
        <v>61.74</v>
      </c>
    </row>
    <row r="134" customFormat="false" ht="15" hidden="false" customHeight="false" outlineLevel="0" collapsed="false">
      <c r="A134" s="3" t="n">
        <v>1</v>
      </c>
      <c r="B134" s="3" t="s">
        <v>281</v>
      </c>
      <c r="C134" s="3" t="s">
        <v>98</v>
      </c>
      <c r="D134" s="15" t="n">
        <v>10754.1</v>
      </c>
    </row>
    <row r="135" customFormat="false" ht="15" hidden="false" customHeight="false" outlineLevel="0" collapsed="false">
      <c r="A135" s="3" t="n">
        <v>1</v>
      </c>
      <c r="B135" s="3" t="s">
        <v>281</v>
      </c>
      <c r="C135" s="3" t="s">
        <v>82</v>
      </c>
      <c r="D135" s="15" t="n">
        <v>5636.21</v>
      </c>
    </row>
    <row r="136" customFormat="false" ht="15" hidden="false" customHeight="false" outlineLevel="0" collapsed="false">
      <c r="A136" s="3" t="n">
        <v>1</v>
      </c>
      <c r="B136" s="3" t="s">
        <v>282</v>
      </c>
      <c r="C136" s="3" t="s">
        <v>103</v>
      </c>
      <c r="D136" s="15" t="n">
        <v>-4881.22</v>
      </c>
    </row>
    <row r="137" customFormat="false" ht="15" hidden="false" customHeight="false" outlineLevel="0" collapsed="false">
      <c r="A137" s="3" t="n">
        <v>1</v>
      </c>
      <c r="B137" s="3" t="s">
        <v>282</v>
      </c>
      <c r="C137" s="3" t="s">
        <v>102</v>
      </c>
      <c r="D137" s="15" t="n">
        <v>798.73</v>
      </c>
    </row>
    <row r="138" customFormat="false" ht="15" hidden="false" customHeight="false" outlineLevel="0" collapsed="false">
      <c r="A138" s="3" t="n">
        <v>1</v>
      </c>
      <c r="B138" s="3" t="s">
        <v>282</v>
      </c>
      <c r="C138" s="3" t="s">
        <v>100</v>
      </c>
      <c r="D138" s="15" t="n">
        <v>15653.63</v>
      </c>
    </row>
    <row r="139" customFormat="false" ht="15" hidden="false" customHeight="false" outlineLevel="0" collapsed="false">
      <c r="A139" s="3" t="n">
        <v>1</v>
      </c>
      <c r="B139" s="3" t="s">
        <v>282</v>
      </c>
      <c r="C139" s="3" t="s">
        <v>99</v>
      </c>
      <c r="D139" s="15" t="n">
        <v>5627.96</v>
      </c>
    </row>
    <row r="140" customFormat="false" ht="15" hidden="false" customHeight="false" outlineLevel="0" collapsed="false">
      <c r="A140" s="3" t="n">
        <v>1</v>
      </c>
      <c r="B140" s="3" t="s">
        <v>282</v>
      </c>
      <c r="C140" s="3" t="s">
        <v>98</v>
      </c>
      <c r="D140" s="15" t="n">
        <v>22946.45</v>
      </c>
    </row>
    <row r="141" customFormat="false" ht="15" hidden="false" customHeight="false" outlineLevel="0" collapsed="false">
      <c r="A141" s="3" t="n">
        <v>1</v>
      </c>
      <c r="B141" s="3" t="s">
        <v>282</v>
      </c>
      <c r="C141" s="3" t="s">
        <v>82</v>
      </c>
      <c r="D141" s="15" t="n">
        <v>14411.22</v>
      </c>
    </row>
    <row r="142" customFormat="false" ht="15" hidden="false" customHeight="false" outlineLevel="0" collapsed="false">
      <c r="A142" s="3" t="n">
        <v>1</v>
      </c>
      <c r="B142" s="3" t="s">
        <v>283</v>
      </c>
      <c r="C142" s="3" t="s">
        <v>103</v>
      </c>
      <c r="D142" s="15" t="n">
        <v>-955.71</v>
      </c>
    </row>
    <row r="143" customFormat="false" ht="15" hidden="false" customHeight="false" outlineLevel="0" collapsed="false">
      <c r="A143" s="3" t="n">
        <v>1</v>
      </c>
      <c r="B143" s="3" t="s">
        <v>283</v>
      </c>
      <c r="C143" s="3" t="s">
        <v>100</v>
      </c>
      <c r="D143" s="15" t="n">
        <v>5323.55</v>
      </c>
    </row>
    <row r="144" customFormat="false" ht="15" hidden="false" customHeight="false" outlineLevel="0" collapsed="false">
      <c r="A144" s="3" t="n">
        <v>1</v>
      </c>
      <c r="B144" s="3" t="s">
        <v>283</v>
      </c>
      <c r="C144" s="3" t="s">
        <v>99</v>
      </c>
      <c r="D144" s="15" t="n">
        <v>85.2</v>
      </c>
    </row>
    <row r="145" customFormat="false" ht="15" hidden="false" customHeight="false" outlineLevel="0" collapsed="false">
      <c r="A145" s="3" t="n">
        <v>1</v>
      </c>
      <c r="B145" s="3" t="s">
        <v>283</v>
      </c>
      <c r="C145" s="3" t="s">
        <v>98</v>
      </c>
      <c r="D145" s="15" t="n">
        <v>9388.5</v>
      </c>
    </row>
    <row r="146" customFormat="false" ht="15" hidden="false" customHeight="false" outlineLevel="0" collapsed="false">
      <c r="A146" s="3" t="n">
        <v>1</v>
      </c>
      <c r="B146" s="3" t="s">
        <v>283</v>
      </c>
      <c r="C146" s="3" t="s">
        <v>82</v>
      </c>
      <c r="D146" s="15" t="n">
        <v>4941.06</v>
      </c>
    </row>
    <row r="147" customFormat="false" ht="15" hidden="false" customHeight="false" outlineLevel="0" collapsed="false">
      <c r="A147" s="3" t="n">
        <v>1</v>
      </c>
      <c r="B147" s="3" t="s">
        <v>284</v>
      </c>
      <c r="C147" s="3" t="s">
        <v>103</v>
      </c>
      <c r="D147" s="15" t="n">
        <v>-2457.44</v>
      </c>
    </row>
    <row r="148" customFormat="false" ht="15" hidden="false" customHeight="false" outlineLevel="0" collapsed="false">
      <c r="A148" s="3" t="n">
        <v>1</v>
      </c>
      <c r="B148" s="3" t="s">
        <v>284</v>
      </c>
      <c r="C148" s="3" t="s">
        <v>100</v>
      </c>
      <c r="D148" s="15" t="n">
        <v>13516.88</v>
      </c>
    </row>
    <row r="149" customFormat="false" ht="15" hidden="false" customHeight="false" outlineLevel="0" collapsed="false">
      <c r="A149" s="3" t="n">
        <v>1</v>
      </c>
      <c r="B149" s="3" t="s">
        <v>284</v>
      </c>
      <c r="C149" s="3" t="s">
        <v>99</v>
      </c>
      <c r="D149" s="15" t="n">
        <v>2916.82</v>
      </c>
    </row>
    <row r="150" customFormat="false" ht="15" hidden="false" customHeight="false" outlineLevel="0" collapsed="false">
      <c r="A150" s="3" t="n">
        <v>1</v>
      </c>
      <c r="B150" s="3" t="s">
        <v>284</v>
      </c>
      <c r="C150" s="3" t="s">
        <v>98</v>
      </c>
      <c r="D150" s="15" t="n">
        <v>21287.93</v>
      </c>
    </row>
    <row r="151" customFormat="false" ht="15" hidden="false" customHeight="false" outlineLevel="0" collapsed="false">
      <c r="A151" s="3" t="n">
        <v>1</v>
      </c>
      <c r="B151" s="3" t="s">
        <v>284</v>
      </c>
      <c r="C151" s="3" t="s">
        <v>82</v>
      </c>
      <c r="D151" s="15" t="n">
        <v>12569.19</v>
      </c>
    </row>
    <row r="152" customFormat="false" ht="15" hidden="false" customHeight="false" outlineLevel="0" collapsed="false">
      <c r="A152" s="3" t="n">
        <v>1</v>
      </c>
      <c r="B152" s="3" t="s">
        <v>285</v>
      </c>
      <c r="C152" s="3" t="s">
        <v>103</v>
      </c>
      <c r="D152" s="15" t="n">
        <v>-1084.58</v>
      </c>
    </row>
    <row r="153" customFormat="false" ht="15" hidden="false" customHeight="false" outlineLevel="0" collapsed="false">
      <c r="A153" s="3" t="n">
        <v>1</v>
      </c>
      <c r="B153" s="3" t="s">
        <v>285</v>
      </c>
      <c r="C153" s="3" t="s">
        <v>102</v>
      </c>
      <c r="D153" s="15" t="n">
        <v>702.84</v>
      </c>
    </row>
    <row r="154" customFormat="false" ht="15" hidden="false" customHeight="false" outlineLevel="0" collapsed="false">
      <c r="A154" s="3" t="n">
        <v>1</v>
      </c>
      <c r="B154" s="3" t="s">
        <v>285</v>
      </c>
      <c r="C154" s="3" t="s">
        <v>100</v>
      </c>
      <c r="D154" s="15" t="n">
        <v>1264.56</v>
      </c>
    </row>
    <row r="155" customFormat="false" ht="15" hidden="false" customHeight="false" outlineLevel="0" collapsed="false">
      <c r="A155" s="3" t="n">
        <v>1</v>
      </c>
      <c r="B155" s="3" t="s">
        <v>285</v>
      </c>
      <c r="C155" s="3" t="s">
        <v>99</v>
      </c>
      <c r="D155" s="15" t="n">
        <v>149.59</v>
      </c>
    </row>
    <row r="156" customFormat="false" ht="15" hidden="false" customHeight="false" outlineLevel="0" collapsed="false">
      <c r="A156" s="3" t="n">
        <v>1</v>
      </c>
      <c r="B156" s="3" t="s">
        <v>285</v>
      </c>
      <c r="C156" s="3" t="s">
        <v>98</v>
      </c>
      <c r="D156" s="15" t="n">
        <v>2534.46</v>
      </c>
    </row>
    <row r="157" customFormat="false" ht="15" hidden="false" customHeight="false" outlineLevel="0" collapsed="false">
      <c r="A157" s="3" t="n">
        <v>1</v>
      </c>
      <c r="B157" s="3" t="s">
        <v>285</v>
      </c>
      <c r="C157" s="3" t="s">
        <v>82</v>
      </c>
      <c r="D157" s="15" t="n">
        <v>1228.34</v>
      </c>
    </row>
    <row r="158" customFormat="false" ht="15" hidden="false" customHeight="false" outlineLevel="0" collapsed="false">
      <c r="A158" s="3" t="n">
        <v>1</v>
      </c>
      <c r="B158" s="3" t="s">
        <v>286</v>
      </c>
      <c r="C158" s="3" t="s">
        <v>103</v>
      </c>
      <c r="D158" s="15" t="n">
        <v>-628.31</v>
      </c>
    </row>
    <row r="159" customFormat="false" ht="15" hidden="false" customHeight="false" outlineLevel="0" collapsed="false">
      <c r="A159" s="3" t="n">
        <v>1</v>
      </c>
      <c r="B159" s="3" t="s">
        <v>286</v>
      </c>
      <c r="C159" s="3" t="s">
        <v>100</v>
      </c>
      <c r="D159" s="15" t="n">
        <v>15601.66</v>
      </c>
    </row>
    <row r="160" customFormat="false" ht="15" hidden="false" customHeight="false" outlineLevel="0" collapsed="false">
      <c r="A160" s="3" t="n">
        <v>1</v>
      </c>
      <c r="B160" s="3" t="s">
        <v>286</v>
      </c>
      <c r="C160" s="3" t="s">
        <v>98</v>
      </c>
      <c r="D160" s="15" t="n">
        <v>27760.99</v>
      </c>
    </row>
    <row r="161" customFormat="false" ht="15" hidden="false" customHeight="false" outlineLevel="0" collapsed="false">
      <c r="A161" s="3" t="n">
        <v>1</v>
      </c>
      <c r="B161" s="3" t="s">
        <v>286</v>
      </c>
      <c r="C161" s="3" t="s">
        <v>82</v>
      </c>
      <c r="D161" s="15" t="n">
        <v>12905.41</v>
      </c>
    </row>
    <row r="162" customFormat="false" ht="15" hidden="false" customHeight="false" outlineLevel="0" collapsed="false">
      <c r="A162" s="3" t="n">
        <v>1</v>
      </c>
      <c r="B162" s="3" t="s">
        <v>287</v>
      </c>
      <c r="C162" s="3" t="s">
        <v>103</v>
      </c>
      <c r="D162" s="15" t="n">
        <v>-741.75</v>
      </c>
    </row>
    <row r="163" customFormat="false" ht="15" hidden="false" customHeight="false" outlineLevel="0" collapsed="false">
      <c r="A163" s="3" t="n">
        <v>1</v>
      </c>
      <c r="B163" s="3" t="s">
        <v>287</v>
      </c>
      <c r="C163" s="3" t="s">
        <v>100</v>
      </c>
      <c r="D163" s="15" t="n">
        <v>3914.98</v>
      </c>
    </row>
    <row r="164" customFormat="false" ht="15" hidden="false" customHeight="false" outlineLevel="0" collapsed="false">
      <c r="A164" s="3" t="n">
        <v>1</v>
      </c>
      <c r="B164" s="3" t="s">
        <v>287</v>
      </c>
      <c r="C164" s="3" t="s">
        <v>99</v>
      </c>
      <c r="D164" s="15" t="n">
        <v>1023.72</v>
      </c>
    </row>
    <row r="165" customFormat="false" ht="15" hidden="false" customHeight="false" outlineLevel="0" collapsed="false">
      <c r="A165" s="3" t="n">
        <v>1</v>
      </c>
      <c r="B165" s="3" t="s">
        <v>287</v>
      </c>
      <c r="C165" s="3" t="s">
        <v>98</v>
      </c>
      <c r="D165" s="15" t="n">
        <v>5997.7</v>
      </c>
    </row>
    <row r="166" customFormat="false" ht="15" hidden="false" customHeight="false" outlineLevel="0" collapsed="false">
      <c r="A166" s="3" t="n">
        <v>1</v>
      </c>
      <c r="B166" s="3" t="s">
        <v>287</v>
      </c>
      <c r="C166" s="3" t="s">
        <v>82</v>
      </c>
      <c r="D166" s="15" t="n">
        <v>3634.38</v>
      </c>
    </row>
    <row r="167" customFormat="false" ht="15" hidden="false" customHeight="false" outlineLevel="0" collapsed="false">
      <c r="A167" s="3" t="n">
        <v>1</v>
      </c>
      <c r="B167" s="3" t="s">
        <v>288</v>
      </c>
      <c r="C167" s="3" t="s">
        <v>103</v>
      </c>
      <c r="D167" s="15" t="n">
        <v>-314.32</v>
      </c>
    </row>
    <row r="168" customFormat="false" ht="15" hidden="false" customHeight="false" outlineLevel="0" collapsed="false">
      <c r="A168" s="3" t="n">
        <v>1</v>
      </c>
      <c r="B168" s="3" t="s">
        <v>288</v>
      </c>
      <c r="C168" s="3" t="s">
        <v>100</v>
      </c>
      <c r="D168" s="15" t="n">
        <v>1733.5</v>
      </c>
    </row>
    <row r="169" customFormat="false" ht="15" hidden="false" customHeight="false" outlineLevel="0" collapsed="false">
      <c r="A169" s="3" t="n">
        <v>1</v>
      </c>
      <c r="B169" s="3" t="s">
        <v>288</v>
      </c>
      <c r="C169" s="3" t="s">
        <v>99</v>
      </c>
      <c r="D169" s="15" t="n">
        <v>12.56</v>
      </c>
    </row>
    <row r="170" customFormat="false" ht="15" hidden="false" customHeight="false" outlineLevel="0" collapsed="false">
      <c r="A170" s="3" t="n">
        <v>1</v>
      </c>
      <c r="B170" s="3" t="s">
        <v>288</v>
      </c>
      <c r="C170" s="3" t="s">
        <v>98</v>
      </c>
      <c r="D170" s="15" t="n">
        <v>3072.6</v>
      </c>
    </row>
    <row r="171" customFormat="false" ht="15" hidden="false" customHeight="false" outlineLevel="0" collapsed="false">
      <c r="A171" s="3" t="n">
        <v>1</v>
      </c>
      <c r="B171" s="3" t="s">
        <v>288</v>
      </c>
      <c r="C171" s="3" t="s">
        <v>82</v>
      </c>
      <c r="D171" s="15" t="n">
        <v>1608.38</v>
      </c>
    </row>
    <row r="172" customFormat="false" ht="15" hidden="false" customHeight="false" outlineLevel="0" collapsed="false">
      <c r="A172" s="3" t="n">
        <v>1</v>
      </c>
      <c r="B172" s="3" t="s">
        <v>289</v>
      </c>
      <c r="C172" s="3" t="s">
        <v>103</v>
      </c>
      <c r="D172" s="15" t="n">
        <v>-561.17</v>
      </c>
    </row>
    <row r="173" customFormat="false" ht="15" hidden="false" customHeight="false" outlineLevel="0" collapsed="false">
      <c r="A173" s="3" t="n">
        <v>1</v>
      </c>
      <c r="B173" s="3" t="s">
        <v>289</v>
      </c>
      <c r="C173" s="3" t="s">
        <v>102</v>
      </c>
      <c r="D173" s="15" t="n">
        <v>191.43</v>
      </c>
    </row>
    <row r="174" customFormat="false" ht="15" hidden="false" customHeight="false" outlineLevel="0" collapsed="false">
      <c r="A174" s="3" t="n">
        <v>1</v>
      </c>
      <c r="B174" s="3" t="s">
        <v>289</v>
      </c>
      <c r="C174" s="3" t="s">
        <v>100</v>
      </c>
      <c r="D174" s="15" t="n">
        <v>1746.49</v>
      </c>
    </row>
    <row r="175" customFormat="false" ht="15" hidden="false" customHeight="false" outlineLevel="0" collapsed="false">
      <c r="A175" s="3" t="n">
        <v>1</v>
      </c>
      <c r="B175" s="3" t="s">
        <v>289</v>
      </c>
      <c r="C175" s="3" t="s">
        <v>99</v>
      </c>
      <c r="D175" s="15" t="n">
        <v>367.71</v>
      </c>
    </row>
    <row r="176" customFormat="false" ht="15" hidden="false" customHeight="false" outlineLevel="0" collapsed="false">
      <c r="A176" s="3" t="n">
        <v>1</v>
      </c>
      <c r="B176" s="3" t="s">
        <v>289</v>
      </c>
      <c r="C176" s="3" t="s">
        <v>98</v>
      </c>
      <c r="D176" s="15" t="n">
        <v>2588.19</v>
      </c>
    </row>
    <row r="177" customFormat="false" ht="15" hidden="false" customHeight="false" outlineLevel="0" collapsed="false">
      <c r="A177" s="3" t="n">
        <v>1</v>
      </c>
      <c r="B177" s="3" t="s">
        <v>289</v>
      </c>
      <c r="C177" s="3" t="s">
        <v>82</v>
      </c>
      <c r="D177" s="15" t="n">
        <v>1564.36</v>
      </c>
    </row>
    <row r="178" customFormat="false" ht="15" hidden="false" customHeight="false" outlineLevel="0" collapsed="false">
      <c r="A178" s="3" t="n">
        <v>1</v>
      </c>
      <c r="B178" s="3" t="s">
        <v>290</v>
      </c>
      <c r="C178" s="3" t="s">
        <v>103</v>
      </c>
      <c r="D178" s="15" t="n">
        <v>-319.3</v>
      </c>
    </row>
    <row r="179" customFormat="false" ht="15" hidden="false" customHeight="false" outlineLevel="0" collapsed="false">
      <c r="A179" s="3" t="n">
        <v>1</v>
      </c>
      <c r="B179" s="3" t="s">
        <v>290</v>
      </c>
      <c r="C179" s="3" t="s">
        <v>100</v>
      </c>
      <c r="D179" s="15" t="n">
        <v>1766.26</v>
      </c>
    </row>
    <row r="180" customFormat="false" ht="15" hidden="false" customHeight="false" outlineLevel="0" collapsed="false">
      <c r="A180" s="3" t="n">
        <v>1</v>
      </c>
      <c r="B180" s="3" t="s">
        <v>290</v>
      </c>
      <c r="C180" s="3" t="s">
        <v>99</v>
      </c>
      <c r="D180" s="15" t="n">
        <v>75.85</v>
      </c>
    </row>
    <row r="181" customFormat="false" ht="15" hidden="false" customHeight="false" outlineLevel="0" collapsed="false">
      <c r="A181" s="3" t="n">
        <v>1</v>
      </c>
      <c r="B181" s="3" t="s">
        <v>290</v>
      </c>
      <c r="C181" s="3" t="s">
        <v>98</v>
      </c>
      <c r="D181" s="15" t="n">
        <v>3072.6</v>
      </c>
    </row>
    <row r="182" customFormat="false" ht="15" hidden="false" customHeight="false" outlineLevel="0" collapsed="false">
      <c r="A182" s="3" t="n">
        <v>1</v>
      </c>
      <c r="B182" s="3" t="s">
        <v>290</v>
      </c>
      <c r="C182" s="3" t="s">
        <v>82</v>
      </c>
      <c r="D182" s="15" t="n">
        <v>1639.95</v>
      </c>
    </row>
    <row r="183" customFormat="false" ht="15" hidden="false" customHeight="false" outlineLevel="0" collapsed="false">
      <c r="A183" s="3" t="n">
        <v>1</v>
      </c>
      <c r="B183" s="3" t="s">
        <v>291</v>
      </c>
      <c r="C183" s="3" t="s">
        <v>103</v>
      </c>
      <c r="D183" s="15" t="n">
        <v>-69960.64</v>
      </c>
    </row>
    <row r="184" customFormat="false" ht="15" hidden="false" customHeight="false" outlineLevel="0" collapsed="false">
      <c r="A184" s="3" t="n">
        <v>1</v>
      </c>
      <c r="B184" s="3" t="s">
        <v>291</v>
      </c>
      <c r="C184" s="3" t="s">
        <v>102</v>
      </c>
      <c r="D184" s="15" t="n">
        <v>4202.55</v>
      </c>
    </row>
    <row r="185" customFormat="false" ht="15" hidden="false" customHeight="false" outlineLevel="0" collapsed="false">
      <c r="A185" s="3" t="n">
        <v>1</v>
      </c>
      <c r="B185" s="3" t="s">
        <v>291</v>
      </c>
      <c r="C185" s="3" t="s">
        <v>100</v>
      </c>
      <c r="D185" s="15" t="n">
        <v>428674.4</v>
      </c>
    </row>
    <row r="186" customFormat="false" ht="15" hidden="false" customHeight="false" outlineLevel="0" collapsed="false">
      <c r="A186" s="3" t="n">
        <v>1</v>
      </c>
      <c r="B186" s="3" t="s">
        <v>291</v>
      </c>
      <c r="C186" s="3" t="s">
        <v>99</v>
      </c>
      <c r="D186" s="15" t="n">
        <v>224063.59</v>
      </c>
    </row>
    <row r="187" customFormat="false" ht="15" hidden="false" customHeight="false" outlineLevel="0" collapsed="false">
      <c r="A187" s="3" t="n">
        <v>1</v>
      </c>
      <c r="B187" s="3" t="s">
        <v>291</v>
      </c>
      <c r="C187" s="3" t="s">
        <v>98</v>
      </c>
      <c r="D187" s="15" t="n">
        <v>559845.58</v>
      </c>
    </row>
    <row r="188" customFormat="false" ht="15" hidden="false" customHeight="false" outlineLevel="0" collapsed="false">
      <c r="A188" s="3" t="n">
        <v>1</v>
      </c>
      <c r="B188" s="3" t="s">
        <v>291</v>
      </c>
      <c r="C188" s="3" t="s">
        <v>82</v>
      </c>
      <c r="D188" s="15" t="n">
        <v>402542.51</v>
      </c>
    </row>
    <row r="189" customFormat="false" ht="15" hidden="false" customHeight="false" outlineLevel="0" collapsed="false">
      <c r="A189" s="3" t="n">
        <v>1</v>
      </c>
      <c r="B189" s="3" t="s">
        <v>292</v>
      </c>
      <c r="C189" s="3" t="s">
        <v>103</v>
      </c>
      <c r="D189" s="15" t="n">
        <v>-485489.12</v>
      </c>
    </row>
    <row r="190" customFormat="false" ht="15" hidden="false" customHeight="false" outlineLevel="0" collapsed="false">
      <c r="A190" s="3" t="n">
        <v>1</v>
      </c>
      <c r="B190" s="3" t="s">
        <v>292</v>
      </c>
      <c r="C190" s="3" t="s">
        <v>102</v>
      </c>
      <c r="D190" s="15" t="n">
        <v>42826.69</v>
      </c>
    </row>
    <row r="191" customFormat="false" ht="15" hidden="false" customHeight="false" outlineLevel="0" collapsed="false">
      <c r="A191" s="3" t="n">
        <v>1</v>
      </c>
      <c r="B191" s="3" t="s">
        <v>292</v>
      </c>
      <c r="C191" s="3" t="s">
        <v>100</v>
      </c>
      <c r="D191" s="15" t="n">
        <v>669973.97</v>
      </c>
    </row>
    <row r="192" customFormat="false" ht="15" hidden="false" customHeight="false" outlineLevel="0" collapsed="false">
      <c r="A192" s="3" t="n">
        <v>1</v>
      </c>
      <c r="B192" s="3" t="s">
        <v>292</v>
      </c>
      <c r="C192" s="3" t="s">
        <v>99</v>
      </c>
      <c r="D192" s="15" t="n">
        <v>251094.18</v>
      </c>
    </row>
    <row r="193" customFormat="false" ht="15" hidden="false" customHeight="false" outlineLevel="0" collapsed="false">
      <c r="A193" s="3" t="n">
        <v>1</v>
      </c>
      <c r="B193" s="3" t="s">
        <v>292</v>
      </c>
      <c r="C193" s="3" t="s">
        <v>98</v>
      </c>
      <c r="D193" s="15" t="n">
        <v>1043353.51</v>
      </c>
    </row>
    <row r="194" customFormat="false" ht="15" hidden="false" customHeight="false" outlineLevel="0" collapsed="false">
      <c r="A194" s="3" t="n">
        <v>1</v>
      </c>
      <c r="B194" s="3" t="s">
        <v>292</v>
      </c>
      <c r="C194" s="3" t="s">
        <v>82</v>
      </c>
      <c r="D194" s="15" t="n">
        <v>536514.81</v>
      </c>
    </row>
    <row r="195" customFormat="false" ht="15" hidden="false" customHeight="false" outlineLevel="0" collapsed="false">
      <c r="A195" s="3" t="n">
        <v>1</v>
      </c>
      <c r="B195" s="3" t="s">
        <v>293</v>
      </c>
      <c r="C195" s="3" t="s">
        <v>103</v>
      </c>
      <c r="D195" s="15" t="n">
        <v>-841.47</v>
      </c>
    </row>
    <row r="196" customFormat="false" ht="15" hidden="false" customHeight="false" outlineLevel="0" collapsed="false">
      <c r="A196" s="3" t="n">
        <v>1</v>
      </c>
      <c r="B196" s="3" t="s">
        <v>293</v>
      </c>
      <c r="C196" s="3" t="s">
        <v>100</v>
      </c>
      <c r="D196" s="15" t="n">
        <v>5179.36</v>
      </c>
    </row>
    <row r="197" customFormat="false" ht="15" hidden="false" customHeight="false" outlineLevel="0" collapsed="false">
      <c r="A197" s="3" t="n">
        <v>1</v>
      </c>
      <c r="B197" s="3" t="s">
        <v>293</v>
      </c>
      <c r="C197" s="3" t="s">
        <v>99</v>
      </c>
      <c r="D197" s="15" t="n">
        <v>2073.79</v>
      </c>
    </row>
    <row r="198" customFormat="false" ht="15" hidden="false" customHeight="false" outlineLevel="0" collapsed="false">
      <c r="A198" s="3" t="n">
        <v>1</v>
      </c>
      <c r="B198" s="3" t="s">
        <v>293</v>
      </c>
      <c r="C198" s="3" t="s">
        <v>98</v>
      </c>
      <c r="D198" s="15" t="n">
        <v>7186.43</v>
      </c>
    </row>
    <row r="199" customFormat="false" ht="15" hidden="false" customHeight="false" outlineLevel="0" collapsed="false">
      <c r="A199" s="3" t="n">
        <v>1</v>
      </c>
      <c r="B199" s="3" t="s">
        <v>293</v>
      </c>
      <c r="C199" s="3" t="s">
        <v>82</v>
      </c>
      <c r="D199" s="15" t="n">
        <v>4831.54</v>
      </c>
    </row>
    <row r="200" customFormat="false" ht="15" hidden="false" customHeight="false" outlineLevel="0" collapsed="false">
      <c r="A200" s="3" t="n">
        <v>1</v>
      </c>
      <c r="B200" s="3" t="s">
        <v>294</v>
      </c>
      <c r="C200" s="3" t="s">
        <v>103</v>
      </c>
      <c r="D200" s="15" t="n">
        <v>-1680.41</v>
      </c>
    </row>
    <row r="201" customFormat="false" ht="15" hidden="false" customHeight="false" outlineLevel="0" collapsed="false">
      <c r="A201" s="3" t="n">
        <v>1</v>
      </c>
      <c r="B201" s="3" t="s">
        <v>294</v>
      </c>
      <c r="C201" s="3" t="s">
        <v>100</v>
      </c>
      <c r="D201" s="15" t="n">
        <v>9713.39</v>
      </c>
    </row>
    <row r="202" customFormat="false" ht="15" hidden="false" customHeight="false" outlineLevel="0" collapsed="false">
      <c r="A202" s="3" t="n">
        <v>1</v>
      </c>
      <c r="B202" s="3" t="s">
        <v>294</v>
      </c>
      <c r="C202" s="3" t="s">
        <v>99</v>
      </c>
      <c r="D202" s="15" t="n">
        <v>1658.53</v>
      </c>
    </row>
    <row r="203" customFormat="false" ht="15" hidden="false" customHeight="false" outlineLevel="0" collapsed="false">
      <c r="A203" s="3" t="n">
        <v>1</v>
      </c>
      <c r="B203" s="3" t="s">
        <v>294</v>
      </c>
      <c r="C203" s="3" t="s">
        <v>98</v>
      </c>
      <c r="D203" s="15" t="n">
        <v>15761.3</v>
      </c>
    </row>
    <row r="204" customFormat="false" ht="15" hidden="false" customHeight="false" outlineLevel="0" collapsed="false">
      <c r="A204" s="3" t="n">
        <v>1</v>
      </c>
      <c r="B204" s="3" t="s">
        <v>294</v>
      </c>
      <c r="C204" s="3" t="s">
        <v>82</v>
      </c>
      <c r="D204" s="15" t="n">
        <v>9054.22</v>
      </c>
    </row>
    <row r="205" customFormat="false" ht="15" hidden="false" customHeight="false" outlineLevel="0" collapsed="false">
      <c r="A205" s="3" t="n">
        <v>1</v>
      </c>
      <c r="B205" s="3" t="s">
        <v>295</v>
      </c>
      <c r="C205" s="3" t="s">
        <v>103</v>
      </c>
      <c r="D205" s="15" t="n">
        <v>-323.07</v>
      </c>
    </row>
    <row r="206" customFormat="false" ht="15" hidden="false" customHeight="false" outlineLevel="0" collapsed="false">
      <c r="A206" s="3" t="n">
        <v>1</v>
      </c>
      <c r="B206" s="3" t="s">
        <v>295</v>
      </c>
      <c r="C206" s="3" t="s">
        <v>100</v>
      </c>
      <c r="D206" s="15" t="n">
        <v>1730.39</v>
      </c>
    </row>
    <row r="207" customFormat="false" ht="15" hidden="false" customHeight="false" outlineLevel="0" collapsed="false">
      <c r="A207" s="3" t="n">
        <v>1</v>
      </c>
      <c r="B207" s="3" t="s">
        <v>295</v>
      </c>
      <c r="C207" s="3" t="s">
        <v>99</v>
      </c>
      <c r="D207" s="15" t="n">
        <v>15.78</v>
      </c>
    </row>
    <row r="208" customFormat="false" ht="15" hidden="false" customHeight="false" outlineLevel="0" collapsed="false">
      <c r="A208" s="3" t="n">
        <v>1</v>
      </c>
      <c r="B208" s="3" t="s">
        <v>295</v>
      </c>
      <c r="C208" s="3" t="s">
        <v>98</v>
      </c>
      <c r="D208" s="15" t="n">
        <v>3072.6</v>
      </c>
    </row>
    <row r="209" customFormat="false" ht="15" hidden="false" customHeight="false" outlineLevel="0" collapsed="false">
      <c r="A209" s="3" t="n">
        <v>1</v>
      </c>
      <c r="B209" s="3" t="s">
        <v>295</v>
      </c>
      <c r="C209" s="3" t="s">
        <v>82</v>
      </c>
      <c r="D209" s="15" t="n">
        <v>1605.4</v>
      </c>
    </row>
    <row r="210" customFormat="false" ht="15" hidden="false" customHeight="false" outlineLevel="0" collapsed="false">
      <c r="A210" s="3" t="n">
        <v>1</v>
      </c>
      <c r="B210" s="3" t="s">
        <v>296</v>
      </c>
      <c r="C210" s="3" t="s">
        <v>103</v>
      </c>
      <c r="D210" s="15" t="n">
        <v>-1087.89</v>
      </c>
    </row>
    <row r="211" customFormat="false" ht="15" hidden="false" customHeight="false" outlineLevel="0" collapsed="false">
      <c r="A211" s="3" t="n">
        <v>1</v>
      </c>
      <c r="B211" s="3" t="s">
        <v>296</v>
      </c>
      <c r="C211" s="3" t="s">
        <v>102</v>
      </c>
      <c r="D211" s="15" t="n">
        <v>141.38</v>
      </c>
    </row>
    <row r="212" customFormat="false" ht="15" hidden="false" customHeight="false" outlineLevel="0" collapsed="false">
      <c r="A212" s="3" t="n">
        <v>1</v>
      </c>
      <c r="B212" s="3" t="s">
        <v>296</v>
      </c>
      <c r="C212" s="3" t="s">
        <v>100</v>
      </c>
      <c r="D212" s="15" t="n">
        <v>2907.49</v>
      </c>
    </row>
    <row r="213" customFormat="false" ht="15" hidden="false" customHeight="false" outlineLevel="0" collapsed="false">
      <c r="A213" s="3" t="n">
        <v>1</v>
      </c>
      <c r="B213" s="3" t="s">
        <v>296</v>
      </c>
      <c r="C213" s="3" t="s">
        <v>99</v>
      </c>
      <c r="D213" s="15" t="n">
        <v>622.8</v>
      </c>
    </row>
    <row r="214" customFormat="false" ht="15" hidden="false" customHeight="false" outlineLevel="0" collapsed="false">
      <c r="A214" s="3" t="n">
        <v>1</v>
      </c>
      <c r="B214" s="3" t="s">
        <v>296</v>
      </c>
      <c r="C214" s="3" t="s">
        <v>98</v>
      </c>
      <c r="D214" s="15" t="n">
        <v>4529.79</v>
      </c>
    </row>
    <row r="215" customFormat="false" ht="15" hidden="false" customHeight="false" outlineLevel="0" collapsed="false">
      <c r="A215" s="3" t="n">
        <v>1</v>
      </c>
      <c r="B215" s="3" t="s">
        <v>296</v>
      </c>
      <c r="C215" s="3" t="s">
        <v>82</v>
      </c>
      <c r="D215" s="15" t="n">
        <v>2599.76</v>
      </c>
    </row>
    <row r="216" customFormat="false" ht="15" hidden="false" customHeight="false" outlineLevel="0" collapsed="false">
      <c r="A216" s="3" t="n">
        <v>1</v>
      </c>
      <c r="B216" s="3" t="s">
        <v>297</v>
      </c>
      <c r="C216" s="3" t="s">
        <v>103</v>
      </c>
      <c r="D216" s="15" t="n">
        <v>-469.45</v>
      </c>
    </row>
    <row r="217" customFormat="false" ht="15" hidden="false" customHeight="false" outlineLevel="0" collapsed="false">
      <c r="A217" s="3" t="n">
        <v>1</v>
      </c>
      <c r="B217" s="3" t="s">
        <v>297</v>
      </c>
      <c r="C217" s="3" t="s">
        <v>100</v>
      </c>
      <c r="D217" s="15" t="n">
        <v>2541.98</v>
      </c>
    </row>
    <row r="218" customFormat="false" ht="15" hidden="false" customHeight="false" outlineLevel="0" collapsed="false">
      <c r="A218" s="3" t="n">
        <v>1</v>
      </c>
      <c r="B218" s="3" t="s">
        <v>297</v>
      </c>
      <c r="C218" s="3" t="s">
        <v>99</v>
      </c>
      <c r="D218" s="15" t="n">
        <v>103.74</v>
      </c>
    </row>
    <row r="219" customFormat="false" ht="15" hidden="false" customHeight="false" outlineLevel="0" collapsed="false">
      <c r="A219" s="3" t="n">
        <v>1</v>
      </c>
      <c r="B219" s="3" t="s">
        <v>297</v>
      </c>
      <c r="C219" s="3" t="s">
        <v>98</v>
      </c>
      <c r="D219" s="15" t="n">
        <v>4438.2</v>
      </c>
    </row>
    <row r="220" customFormat="false" ht="15" hidden="false" customHeight="false" outlineLevel="0" collapsed="false">
      <c r="A220" s="3" t="n">
        <v>1</v>
      </c>
      <c r="B220" s="3" t="s">
        <v>297</v>
      </c>
      <c r="C220" s="3" t="s">
        <v>82</v>
      </c>
      <c r="D220" s="15" t="n">
        <v>2360.36</v>
      </c>
    </row>
    <row r="221" customFormat="false" ht="15" hidden="false" customHeight="false" outlineLevel="0" collapsed="false">
      <c r="A221" s="3" t="n">
        <v>1</v>
      </c>
      <c r="B221" s="3" t="s">
        <v>298</v>
      </c>
      <c r="C221" s="3" t="s">
        <v>103</v>
      </c>
      <c r="D221" s="15" t="n">
        <v>-752.4</v>
      </c>
    </row>
    <row r="222" customFormat="false" ht="15" hidden="false" customHeight="false" outlineLevel="0" collapsed="false">
      <c r="A222" s="3" t="n">
        <v>1</v>
      </c>
      <c r="B222" s="3" t="s">
        <v>298</v>
      </c>
      <c r="C222" s="3" t="s">
        <v>102</v>
      </c>
      <c r="D222" s="15" t="n">
        <v>289.39</v>
      </c>
    </row>
    <row r="223" customFormat="false" ht="15" hidden="false" customHeight="false" outlineLevel="0" collapsed="false">
      <c r="A223" s="3" t="n">
        <v>1</v>
      </c>
      <c r="B223" s="3" t="s">
        <v>298</v>
      </c>
      <c r="C223" s="3" t="s">
        <v>100</v>
      </c>
      <c r="D223" s="15" t="n">
        <v>2806.78</v>
      </c>
    </row>
    <row r="224" customFormat="false" ht="15" hidden="false" customHeight="false" outlineLevel="0" collapsed="false">
      <c r="A224" s="3" t="n">
        <v>1</v>
      </c>
      <c r="B224" s="3" t="s">
        <v>298</v>
      </c>
      <c r="C224" s="3" t="s">
        <v>99</v>
      </c>
      <c r="D224" s="15" t="n">
        <v>458.67</v>
      </c>
    </row>
    <row r="225" customFormat="false" ht="15" hidden="false" customHeight="false" outlineLevel="0" collapsed="false">
      <c r="A225" s="3" t="n">
        <v>1</v>
      </c>
      <c r="B225" s="3" t="s">
        <v>298</v>
      </c>
      <c r="C225" s="3" t="s">
        <v>98</v>
      </c>
      <c r="D225" s="15" t="n">
        <v>4538.8</v>
      </c>
    </row>
    <row r="226" customFormat="false" ht="15" hidden="false" customHeight="false" outlineLevel="0" collapsed="false">
      <c r="A226" s="3" t="n">
        <v>1</v>
      </c>
      <c r="B226" s="3" t="s">
        <v>298</v>
      </c>
      <c r="C226" s="3" t="s">
        <v>82</v>
      </c>
      <c r="D226" s="15" t="n">
        <v>2632.96</v>
      </c>
    </row>
    <row r="227" customFormat="false" ht="15" hidden="false" customHeight="false" outlineLevel="0" collapsed="false">
      <c r="A227" s="3" t="n">
        <v>1</v>
      </c>
      <c r="B227" s="3" t="s">
        <v>299</v>
      </c>
      <c r="C227" s="3" t="s">
        <v>103</v>
      </c>
      <c r="D227" s="15" t="n">
        <v>-661.11</v>
      </c>
    </row>
    <row r="228" customFormat="false" ht="15" hidden="false" customHeight="false" outlineLevel="0" collapsed="false">
      <c r="A228" s="3" t="n">
        <v>1</v>
      </c>
      <c r="B228" s="3" t="s">
        <v>299</v>
      </c>
      <c r="C228" s="3" t="s">
        <v>100</v>
      </c>
      <c r="D228" s="15" t="n">
        <v>4089.94</v>
      </c>
    </row>
    <row r="229" customFormat="false" ht="15" hidden="false" customHeight="false" outlineLevel="0" collapsed="false">
      <c r="A229" s="3" t="n">
        <v>1</v>
      </c>
      <c r="B229" s="3" t="s">
        <v>299</v>
      </c>
      <c r="C229" s="3" t="s">
        <v>99</v>
      </c>
      <c r="D229" s="15" t="n">
        <v>796.39</v>
      </c>
    </row>
    <row r="230" customFormat="false" ht="15" hidden="false" customHeight="false" outlineLevel="0" collapsed="false">
      <c r="A230" s="3" t="n">
        <v>1</v>
      </c>
      <c r="B230" s="3" t="s">
        <v>299</v>
      </c>
      <c r="C230" s="3" t="s">
        <v>98</v>
      </c>
      <c r="D230" s="15" t="n">
        <v>6486.6</v>
      </c>
    </row>
    <row r="231" customFormat="false" ht="15" hidden="false" customHeight="false" outlineLevel="0" collapsed="false">
      <c r="A231" s="3" t="n">
        <v>1</v>
      </c>
      <c r="B231" s="3" t="s">
        <v>299</v>
      </c>
      <c r="C231" s="3" t="s">
        <v>82</v>
      </c>
      <c r="D231" s="15" t="n">
        <v>3811.13</v>
      </c>
    </row>
    <row r="232" customFormat="false" ht="15" hidden="false" customHeight="false" outlineLevel="0" collapsed="false">
      <c r="A232" s="3" t="n">
        <v>1</v>
      </c>
      <c r="B232" s="3" t="s">
        <v>300</v>
      </c>
      <c r="C232" s="3" t="s">
        <v>103</v>
      </c>
      <c r="D232" s="15" t="n">
        <v>-710.72</v>
      </c>
    </row>
    <row r="233" customFormat="false" ht="15" hidden="false" customHeight="false" outlineLevel="0" collapsed="false">
      <c r="A233" s="3" t="n">
        <v>1</v>
      </c>
      <c r="B233" s="3" t="s">
        <v>300</v>
      </c>
      <c r="C233" s="3" t="s">
        <v>100</v>
      </c>
      <c r="D233" s="15" t="n">
        <v>3108.04</v>
      </c>
    </row>
    <row r="234" customFormat="false" ht="15" hidden="false" customHeight="false" outlineLevel="0" collapsed="false">
      <c r="A234" s="3" t="n">
        <v>1</v>
      </c>
      <c r="B234" s="3" t="s">
        <v>300</v>
      </c>
      <c r="C234" s="3" t="s">
        <v>99</v>
      </c>
      <c r="D234" s="15" t="n">
        <v>848.82</v>
      </c>
    </row>
    <row r="235" customFormat="false" ht="15" hidden="false" customHeight="false" outlineLevel="0" collapsed="false">
      <c r="A235" s="3" t="n">
        <v>1</v>
      </c>
      <c r="B235" s="3" t="s">
        <v>300</v>
      </c>
      <c r="C235" s="3" t="s">
        <v>98</v>
      </c>
      <c r="D235" s="15" t="n">
        <v>4807.46</v>
      </c>
    </row>
    <row r="236" customFormat="false" ht="15" hidden="false" customHeight="false" outlineLevel="0" collapsed="false">
      <c r="A236" s="3" t="n">
        <v>1</v>
      </c>
      <c r="B236" s="3" t="s">
        <v>300</v>
      </c>
      <c r="C236" s="3" t="s">
        <v>82</v>
      </c>
      <c r="D236" s="15" t="n">
        <v>2878.4</v>
      </c>
    </row>
    <row r="237" customFormat="false" ht="15" hidden="false" customHeight="false" outlineLevel="0" collapsed="false">
      <c r="A237" s="3" t="n">
        <v>1</v>
      </c>
      <c r="B237" s="3" t="s">
        <v>301</v>
      </c>
      <c r="C237" s="3" t="s">
        <v>103</v>
      </c>
      <c r="D237" s="15" t="n">
        <v>-882.91</v>
      </c>
    </row>
    <row r="238" customFormat="false" ht="15" hidden="false" customHeight="false" outlineLevel="0" collapsed="false">
      <c r="A238" s="3" t="n">
        <v>1</v>
      </c>
      <c r="B238" s="3" t="s">
        <v>301</v>
      </c>
      <c r="C238" s="3" t="s">
        <v>102</v>
      </c>
      <c r="D238" s="15" t="n">
        <v>448.27</v>
      </c>
    </row>
    <row r="239" customFormat="false" ht="15" hidden="false" customHeight="false" outlineLevel="0" collapsed="false">
      <c r="A239" s="3" t="n">
        <v>1</v>
      </c>
      <c r="B239" s="3" t="s">
        <v>301</v>
      </c>
      <c r="C239" s="3" t="s">
        <v>100</v>
      </c>
      <c r="D239" s="15" t="n">
        <v>796.31</v>
      </c>
    </row>
    <row r="240" customFormat="false" ht="15" hidden="false" customHeight="false" outlineLevel="0" collapsed="false">
      <c r="A240" s="3" t="n">
        <v>1</v>
      </c>
      <c r="B240" s="3" t="s">
        <v>301</v>
      </c>
      <c r="C240" s="3" t="s">
        <v>99</v>
      </c>
      <c r="D240" s="15" t="n">
        <v>158.06</v>
      </c>
    </row>
    <row r="241" customFormat="false" ht="15" hidden="false" customHeight="false" outlineLevel="0" collapsed="false">
      <c r="A241" s="3" t="n">
        <v>1</v>
      </c>
      <c r="B241" s="3" t="s">
        <v>301</v>
      </c>
      <c r="C241" s="3" t="s">
        <v>98</v>
      </c>
      <c r="D241" s="15" t="n">
        <v>1621</v>
      </c>
    </row>
    <row r="242" customFormat="false" ht="15" hidden="false" customHeight="false" outlineLevel="0" collapsed="false">
      <c r="A242" s="3" t="n">
        <v>1</v>
      </c>
      <c r="B242" s="3" t="s">
        <v>301</v>
      </c>
      <c r="C242" s="3" t="s">
        <v>82</v>
      </c>
      <c r="D242" s="15" t="n">
        <v>751.04</v>
      </c>
    </row>
    <row r="243" customFormat="false" ht="15" hidden="false" customHeight="false" outlineLevel="0" collapsed="false">
      <c r="A243" s="3" t="n">
        <v>1</v>
      </c>
      <c r="B243" s="3" t="s">
        <v>302</v>
      </c>
      <c r="C243" s="3" t="s">
        <v>103</v>
      </c>
      <c r="D243" s="15" t="n">
        <v>-1349.45</v>
      </c>
    </row>
    <row r="244" customFormat="false" ht="15" hidden="false" customHeight="false" outlineLevel="0" collapsed="false">
      <c r="A244" s="3" t="n">
        <v>1</v>
      </c>
      <c r="B244" s="3" t="s">
        <v>302</v>
      </c>
      <c r="C244" s="3" t="s">
        <v>100</v>
      </c>
      <c r="D244" s="15" t="n">
        <v>12115.85</v>
      </c>
    </row>
    <row r="245" customFormat="false" ht="15" hidden="false" customHeight="false" outlineLevel="0" collapsed="false">
      <c r="A245" s="3" t="n">
        <v>1</v>
      </c>
      <c r="B245" s="3" t="s">
        <v>302</v>
      </c>
      <c r="C245" s="3" t="s">
        <v>99</v>
      </c>
      <c r="D245" s="15" t="n">
        <v>6007.1</v>
      </c>
    </row>
    <row r="246" customFormat="false" ht="15" hidden="false" customHeight="false" outlineLevel="0" collapsed="false">
      <c r="A246" s="3" t="n">
        <v>1</v>
      </c>
      <c r="B246" s="3" t="s">
        <v>302</v>
      </c>
      <c r="C246" s="3" t="s">
        <v>98</v>
      </c>
      <c r="D246" s="15" t="n">
        <v>15688</v>
      </c>
    </row>
    <row r="247" customFormat="false" ht="15" hidden="false" customHeight="false" outlineLevel="0" collapsed="false">
      <c r="A247" s="3" t="n">
        <v>1</v>
      </c>
      <c r="B247" s="3" t="s">
        <v>302</v>
      </c>
      <c r="C247" s="3" t="s">
        <v>82</v>
      </c>
      <c r="D247" s="15" t="n">
        <v>11433.4</v>
      </c>
    </row>
    <row r="248" customFormat="false" ht="15" hidden="false" customHeight="false" outlineLevel="0" collapsed="false">
      <c r="A248" s="3" t="n">
        <v>1</v>
      </c>
      <c r="B248" s="3" t="s">
        <v>303</v>
      </c>
      <c r="C248" s="3" t="s">
        <v>103</v>
      </c>
      <c r="D248" s="15" t="n">
        <v>-566.74</v>
      </c>
    </row>
    <row r="249" customFormat="false" ht="15" hidden="false" customHeight="false" outlineLevel="0" collapsed="false">
      <c r="A249" s="3" t="n">
        <v>1</v>
      </c>
      <c r="B249" s="3" t="s">
        <v>303</v>
      </c>
      <c r="C249" s="3" t="s">
        <v>100</v>
      </c>
      <c r="D249" s="15" t="n">
        <v>7069.02</v>
      </c>
    </row>
    <row r="250" customFormat="false" ht="15" hidden="false" customHeight="false" outlineLevel="0" collapsed="false">
      <c r="A250" s="3" t="n">
        <v>1</v>
      </c>
      <c r="B250" s="3" t="s">
        <v>303</v>
      </c>
      <c r="C250" s="3" t="s">
        <v>99</v>
      </c>
      <c r="D250" s="15" t="n">
        <v>4129.32</v>
      </c>
    </row>
    <row r="251" customFormat="false" ht="15" hidden="false" customHeight="false" outlineLevel="0" collapsed="false">
      <c r="A251" s="3" t="n">
        <v>1</v>
      </c>
      <c r="B251" s="3" t="s">
        <v>303</v>
      </c>
      <c r="C251" s="3" t="s">
        <v>98</v>
      </c>
      <c r="D251" s="15" t="n">
        <v>8449</v>
      </c>
    </row>
    <row r="252" customFormat="false" ht="15" hidden="false" customHeight="false" outlineLevel="0" collapsed="false">
      <c r="A252" s="3" t="n">
        <v>1</v>
      </c>
      <c r="B252" s="3" t="s">
        <v>303</v>
      </c>
      <c r="C252" s="3" t="s">
        <v>82</v>
      </c>
      <c r="D252" s="15" t="n">
        <v>6698.41</v>
      </c>
    </row>
    <row r="253" customFormat="false" ht="15" hidden="false" customHeight="false" outlineLevel="0" collapsed="false">
      <c r="A253" s="3" t="n">
        <v>1</v>
      </c>
      <c r="B253" s="3" t="s">
        <v>304</v>
      </c>
      <c r="C253" s="3" t="s">
        <v>103</v>
      </c>
      <c r="D253" s="15" t="n">
        <v>-620.71</v>
      </c>
    </row>
    <row r="254" customFormat="false" ht="15" hidden="false" customHeight="false" outlineLevel="0" collapsed="false">
      <c r="A254" s="3" t="n">
        <v>1</v>
      </c>
      <c r="B254" s="3" t="s">
        <v>304</v>
      </c>
      <c r="C254" s="3" t="s">
        <v>100</v>
      </c>
      <c r="D254" s="15" t="n">
        <v>3742.6</v>
      </c>
    </row>
    <row r="255" customFormat="false" ht="15" hidden="false" customHeight="false" outlineLevel="0" collapsed="false">
      <c r="A255" s="3" t="n">
        <v>1</v>
      </c>
      <c r="B255" s="3" t="s">
        <v>304</v>
      </c>
      <c r="C255" s="3" t="s">
        <v>99</v>
      </c>
      <c r="D255" s="15" t="n">
        <v>571.13</v>
      </c>
    </row>
    <row r="256" customFormat="false" ht="15" hidden="false" customHeight="false" outlineLevel="0" collapsed="false">
      <c r="A256" s="3" t="n">
        <v>1</v>
      </c>
      <c r="B256" s="3" t="s">
        <v>304</v>
      </c>
      <c r="C256" s="3" t="s">
        <v>98</v>
      </c>
      <c r="D256" s="15" t="n">
        <v>6088.3</v>
      </c>
    </row>
    <row r="257" customFormat="false" ht="15" hidden="false" customHeight="false" outlineLevel="0" collapsed="false">
      <c r="A257" s="3" t="n">
        <v>1</v>
      </c>
      <c r="B257" s="3" t="s">
        <v>304</v>
      </c>
      <c r="C257" s="3" t="s">
        <v>82</v>
      </c>
      <c r="D257" s="15" t="n">
        <v>3483.55</v>
      </c>
    </row>
    <row r="258" customFormat="false" ht="15" hidden="false" customHeight="false" outlineLevel="0" collapsed="false">
      <c r="A258" s="3" t="n">
        <v>1</v>
      </c>
      <c r="B258" s="3" t="s">
        <v>305</v>
      </c>
      <c r="C258" s="3" t="s">
        <v>103</v>
      </c>
      <c r="D258" s="15" t="n">
        <v>-3707.83</v>
      </c>
    </row>
    <row r="259" customFormat="false" ht="15" hidden="false" customHeight="false" outlineLevel="0" collapsed="false">
      <c r="A259" s="3" t="n">
        <v>1</v>
      </c>
      <c r="B259" s="3" t="s">
        <v>305</v>
      </c>
      <c r="C259" s="3" t="s">
        <v>102</v>
      </c>
      <c r="D259" s="15" t="n">
        <v>368.16</v>
      </c>
    </row>
    <row r="260" customFormat="false" ht="15" hidden="false" customHeight="false" outlineLevel="0" collapsed="false">
      <c r="A260" s="3" t="n">
        <v>1</v>
      </c>
      <c r="B260" s="3" t="s">
        <v>305</v>
      </c>
      <c r="C260" s="3" t="s">
        <v>100</v>
      </c>
      <c r="D260" s="15" t="n">
        <v>14426.17</v>
      </c>
    </row>
    <row r="261" customFormat="false" ht="15" hidden="false" customHeight="false" outlineLevel="0" collapsed="false">
      <c r="A261" s="3" t="n">
        <v>1</v>
      </c>
      <c r="B261" s="3" t="s">
        <v>305</v>
      </c>
      <c r="C261" s="3" t="s">
        <v>99</v>
      </c>
      <c r="D261" s="15" t="n">
        <v>5646.92</v>
      </c>
    </row>
    <row r="262" customFormat="false" ht="15" hidden="false" customHeight="false" outlineLevel="0" collapsed="false">
      <c r="A262" s="3" t="n">
        <v>1</v>
      </c>
      <c r="B262" s="3" t="s">
        <v>305</v>
      </c>
      <c r="C262" s="3" t="s">
        <v>98</v>
      </c>
      <c r="D262" s="15" t="n">
        <v>20627.19</v>
      </c>
    </row>
    <row r="263" customFormat="false" ht="15" hidden="false" customHeight="false" outlineLevel="0" collapsed="false">
      <c r="A263" s="3" t="n">
        <v>1</v>
      </c>
      <c r="B263" s="3" t="s">
        <v>305</v>
      </c>
      <c r="C263" s="3" t="s">
        <v>82</v>
      </c>
      <c r="D263" s="15" t="n">
        <v>13339.47</v>
      </c>
    </row>
    <row r="264" customFormat="false" ht="15" hidden="false" customHeight="false" outlineLevel="0" collapsed="false">
      <c r="A264" s="3" t="n">
        <v>1</v>
      </c>
      <c r="B264" s="3" t="s">
        <v>306</v>
      </c>
      <c r="C264" s="3" t="s">
        <v>103</v>
      </c>
      <c r="D264" s="15" t="n">
        <v>-271.6</v>
      </c>
    </row>
    <row r="265" customFormat="false" ht="15" hidden="false" customHeight="false" outlineLevel="0" collapsed="false">
      <c r="A265" s="3" t="n">
        <v>1</v>
      </c>
      <c r="B265" s="3" t="s">
        <v>306</v>
      </c>
      <c r="C265" s="3" t="s">
        <v>100</v>
      </c>
      <c r="D265" s="15" t="n">
        <v>8663.54</v>
      </c>
    </row>
    <row r="266" customFormat="false" ht="15" hidden="false" customHeight="false" outlineLevel="0" collapsed="false">
      <c r="A266" s="3" t="n">
        <v>1</v>
      </c>
      <c r="B266" s="3" t="s">
        <v>306</v>
      </c>
      <c r="C266" s="3" t="s">
        <v>98</v>
      </c>
      <c r="D266" s="15" t="n">
        <v>15415.58</v>
      </c>
    </row>
    <row r="267" customFormat="false" ht="15" hidden="false" customHeight="false" outlineLevel="0" collapsed="false">
      <c r="A267" s="3" t="n">
        <v>1</v>
      </c>
      <c r="B267" s="3" t="s">
        <v>306</v>
      </c>
      <c r="C267" s="3" t="s">
        <v>82</v>
      </c>
      <c r="D267" s="15" t="n">
        <v>8292.17</v>
      </c>
    </row>
    <row r="268" customFormat="false" ht="15" hidden="false" customHeight="false" outlineLevel="0" collapsed="false">
      <c r="A268" s="3" t="n">
        <v>1</v>
      </c>
      <c r="B268" s="3" t="s">
        <v>307</v>
      </c>
      <c r="C268" s="3" t="s">
        <v>103</v>
      </c>
      <c r="D268" s="15" t="n">
        <v>-1679.59</v>
      </c>
    </row>
    <row r="269" customFormat="false" ht="15" hidden="false" customHeight="false" outlineLevel="0" collapsed="false">
      <c r="A269" s="3" t="n">
        <v>1</v>
      </c>
      <c r="B269" s="3" t="s">
        <v>307</v>
      </c>
      <c r="C269" s="3" t="s">
        <v>102</v>
      </c>
      <c r="D269" s="15" t="n">
        <v>544.86</v>
      </c>
    </row>
    <row r="270" customFormat="false" ht="15" hidden="false" customHeight="false" outlineLevel="0" collapsed="false">
      <c r="A270" s="3" t="n">
        <v>1</v>
      </c>
      <c r="B270" s="3" t="s">
        <v>307</v>
      </c>
      <c r="C270" s="3" t="s">
        <v>100</v>
      </c>
      <c r="D270" s="15" t="n">
        <v>10770.59</v>
      </c>
    </row>
    <row r="271" customFormat="false" ht="15" hidden="false" customHeight="false" outlineLevel="0" collapsed="false">
      <c r="A271" s="3" t="n">
        <v>1</v>
      </c>
      <c r="B271" s="3" t="s">
        <v>307</v>
      </c>
      <c r="C271" s="3" t="s">
        <v>99</v>
      </c>
      <c r="D271" s="15" t="n">
        <v>1081.28</v>
      </c>
    </row>
    <row r="272" customFormat="false" ht="15" hidden="false" customHeight="false" outlineLevel="0" collapsed="false">
      <c r="A272" s="3" t="n">
        <v>1</v>
      </c>
      <c r="B272" s="3" t="s">
        <v>307</v>
      </c>
      <c r="C272" s="3" t="s">
        <v>98</v>
      </c>
      <c r="D272" s="15" t="n">
        <v>18174.46</v>
      </c>
    </row>
    <row r="273" customFormat="false" ht="15" hidden="false" customHeight="false" outlineLevel="0" collapsed="false">
      <c r="A273" s="3" t="n">
        <v>1</v>
      </c>
      <c r="B273" s="3" t="s">
        <v>307</v>
      </c>
      <c r="C273" s="3" t="s">
        <v>82</v>
      </c>
      <c r="D273" s="15" t="n">
        <v>10170.6</v>
      </c>
    </row>
    <row r="274" customFormat="false" ht="15" hidden="false" customHeight="false" outlineLevel="0" collapsed="false">
      <c r="A274" s="3" t="n">
        <v>1</v>
      </c>
      <c r="B274" s="3" t="s">
        <v>308</v>
      </c>
      <c r="C274" s="3" t="s">
        <v>103</v>
      </c>
      <c r="D274" s="15" t="n">
        <v>-2486.73</v>
      </c>
    </row>
    <row r="275" customFormat="false" ht="15" hidden="false" customHeight="false" outlineLevel="0" collapsed="false">
      <c r="A275" s="3" t="n">
        <v>1</v>
      </c>
      <c r="B275" s="3" t="s">
        <v>308</v>
      </c>
      <c r="C275" s="3" t="s">
        <v>102</v>
      </c>
      <c r="D275" s="15" t="n">
        <v>113.2</v>
      </c>
    </row>
    <row r="276" customFormat="false" ht="15" hidden="false" customHeight="false" outlineLevel="0" collapsed="false">
      <c r="A276" s="3" t="n">
        <v>1</v>
      </c>
      <c r="B276" s="3" t="s">
        <v>308</v>
      </c>
      <c r="C276" s="3" t="s">
        <v>100</v>
      </c>
      <c r="D276" s="15" t="n">
        <v>13597.36</v>
      </c>
    </row>
    <row r="277" customFormat="false" ht="15" hidden="false" customHeight="false" outlineLevel="0" collapsed="false">
      <c r="A277" s="3" t="n">
        <v>1</v>
      </c>
      <c r="B277" s="3" t="s">
        <v>308</v>
      </c>
      <c r="C277" s="3" t="s">
        <v>99</v>
      </c>
      <c r="D277" s="15" t="n">
        <v>3587.19</v>
      </c>
    </row>
    <row r="278" customFormat="false" ht="15" hidden="false" customHeight="false" outlineLevel="0" collapsed="false">
      <c r="A278" s="3" t="n">
        <v>1</v>
      </c>
      <c r="B278" s="3" t="s">
        <v>308</v>
      </c>
      <c r="C278" s="3" t="s">
        <v>98</v>
      </c>
      <c r="D278" s="15" t="n">
        <v>20947.83</v>
      </c>
    </row>
    <row r="279" customFormat="false" ht="15" hidden="false" customHeight="false" outlineLevel="0" collapsed="false">
      <c r="A279" s="3" t="n">
        <v>1</v>
      </c>
      <c r="B279" s="3" t="s">
        <v>308</v>
      </c>
      <c r="C279" s="3" t="s">
        <v>82</v>
      </c>
      <c r="D279" s="15" t="n">
        <v>12699.79</v>
      </c>
    </row>
    <row r="280" customFormat="false" ht="15" hidden="false" customHeight="false" outlineLevel="0" collapsed="false">
      <c r="A280" s="3" t="n">
        <v>1</v>
      </c>
      <c r="B280" s="3" t="s">
        <v>309</v>
      </c>
      <c r="C280" s="3" t="s">
        <v>103</v>
      </c>
      <c r="D280" s="15" t="n">
        <v>-807.44</v>
      </c>
    </row>
    <row r="281" customFormat="false" ht="15" hidden="false" customHeight="false" outlineLevel="0" collapsed="false">
      <c r="A281" s="3" t="n">
        <v>1</v>
      </c>
      <c r="B281" s="3" t="s">
        <v>309</v>
      </c>
      <c r="C281" s="3" t="s">
        <v>100</v>
      </c>
      <c r="D281" s="15" t="n">
        <v>2978.61</v>
      </c>
    </row>
    <row r="282" customFormat="false" ht="15" hidden="false" customHeight="false" outlineLevel="0" collapsed="false">
      <c r="A282" s="3" t="n">
        <v>1</v>
      </c>
      <c r="B282" s="3" t="s">
        <v>309</v>
      </c>
      <c r="C282" s="3" t="s">
        <v>99</v>
      </c>
      <c r="D282" s="15" t="n">
        <v>592.93</v>
      </c>
    </row>
    <row r="283" customFormat="false" ht="15" hidden="false" customHeight="false" outlineLevel="0" collapsed="false">
      <c r="A283" s="3" t="n">
        <v>1</v>
      </c>
      <c r="B283" s="3" t="s">
        <v>309</v>
      </c>
      <c r="C283" s="3" t="s">
        <v>98</v>
      </c>
      <c r="D283" s="15" t="n">
        <v>5007.2</v>
      </c>
    </row>
    <row r="284" customFormat="false" ht="15" hidden="false" customHeight="false" outlineLevel="0" collapsed="false">
      <c r="A284" s="3" t="n">
        <v>1</v>
      </c>
      <c r="B284" s="3" t="s">
        <v>309</v>
      </c>
      <c r="C284" s="3" t="s">
        <v>82</v>
      </c>
      <c r="D284" s="15" t="n">
        <v>2769.87</v>
      </c>
    </row>
    <row r="285" customFormat="false" ht="15" hidden="false" customHeight="false" outlineLevel="0" collapsed="false">
      <c r="A285" s="3" t="n">
        <v>1</v>
      </c>
      <c r="B285" s="3" t="s">
        <v>310</v>
      </c>
      <c r="C285" s="3" t="s">
        <v>103</v>
      </c>
      <c r="D285" s="15" t="n">
        <v>-67.89</v>
      </c>
    </row>
    <row r="286" customFormat="false" ht="15" hidden="false" customHeight="false" outlineLevel="0" collapsed="false">
      <c r="A286" s="3" t="n">
        <v>1</v>
      </c>
      <c r="B286" s="3" t="s">
        <v>310</v>
      </c>
      <c r="C286" s="3" t="s">
        <v>100</v>
      </c>
      <c r="D286" s="15" t="n">
        <v>4220.63</v>
      </c>
    </row>
    <row r="287" customFormat="false" ht="15" hidden="false" customHeight="false" outlineLevel="0" collapsed="false">
      <c r="A287" s="3" t="n">
        <v>1</v>
      </c>
      <c r="B287" s="3" t="s">
        <v>310</v>
      </c>
      <c r="C287" s="3" t="s">
        <v>98</v>
      </c>
      <c r="D287" s="15" t="n">
        <v>7510.02</v>
      </c>
    </row>
    <row r="288" customFormat="false" ht="15" hidden="false" customHeight="false" outlineLevel="0" collapsed="false">
      <c r="A288" s="3" t="n">
        <v>1</v>
      </c>
      <c r="B288" s="3" t="s">
        <v>310</v>
      </c>
      <c r="C288" s="3" t="s">
        <v>82</v>
      </c>
      <c r="D288" s="15" t="n">
        <v>4052.35</v>
      </c>
    </row>
    <row r="289" customFormat="false" ht="15" hidden="false" customHeight="false" outlineLevel="0" collapsed="false">
      <c r="A289" s="3" t="n">
        <v>1</v>
      </c>
      <c r="B289" s="3" t="s">
        <v>311</v>
      </c>
      <c r="C289" s="3" t="s">
        <v>103</v>
      </c>
      <c r="D289" s="15" t="n">
        <v>-116.4</v>
      </c>
    </row>
    <row r="290" customFormat="false" ht="15" hidden="false" customHeight="false" outlineLevel="0" collapsed="false">
      <c r="A290" s="3" t="n">
        <v>1</v>
      </c>
      <c r="B290" s="3" t="s">
        <v>311</v>
      </c>
      <c r="C290" s="3" t="s">
        <v>100</v>
      </c>
      <c r="D290" s="15" t="n">
        <v>3137.52</v>
      </c>
    </row>
    <row r="291" customFormat="false" ht="15" hidden="false" customHeight="false" outlineLevel="0" collapsed="false">
      <c r="A291" s="3" t="n">
        <v>1</v>
      </c>
      <c r="B291" s="3" t="s">
        <v>311</v>
      </c>
      <c r="C291" s="3" t="s">
        <v>98</v>
      </c>
      <c r="D291" s="15" t="n">
        <v>5582.79</v>
      </c>
    </row>
    <row r="292" customFormat="false" ht="15" hidden="false" customHeight="false" outlineLevel="0" collapsed="false">
      <c r="A292" s="3" t="n">
        <v>1</v>
      </c>
      <c r="B292" s="3" t="s">
        <v>311</v>
      </c>
      <c r="C292" s="3" t="s">
        <v>82</v>
      </c>
      <c r="D292" s="15" t="n">
        <v>2999.49</v>
      </c>
    </row>
    <row r="293" customFormat="false" ht="15" hidden="false" customHeight="false" outlineLevel="0" collapsed="false">
      <c r="A293" s="3" t="n">
        <v>2</v>
      </c>
      <c r="B293" s="3" t="s">
        <v>312</v>
      </c>
      <c r="C293" s="3" t="s">
        <v>101</v>
      </c>
      <c r="D293" s="15" t="n">
        <v>4839.73</v>
      </c>
    </row>
    <row r="294" customFormat="false" ht="15" hidden="false" customHeight="false" outlineLevel="0" collapsed="false">
      <c r="A294" s="3" t="n">
        <v>2</v>
      </c>
      <c r="B294" s="3" t="s">
        <v>312</v>
      </c>
      <c r="C294" s="3" t="s">
        <v>102</v>
      </c>
      <c r="D294" s="15" t="n">
        <v>112</v>
      </c>
    </row>
    <row r="295" customFormat="false" ht="15" hidden="false" customHeight="false" outlineLevel="0" collapsed="false">
      <c r="A295" s="3" t="n">
        <v>2</v>
      </c>
      <c r="B295" s="3" t="s">
        <v>313</v>
      </c>
      <c r="C295" s="3" t="s">
        <v>103</v>
      </c>
      <c r="D295" s="15" t="n">
        <v>-153026.04</v>
      </c>
    </row>
    <row r="296" customFormat="false" ht="15" hidden="false" customHeight="false" outlineLevel="0" collapsed="false">
      <c r="A296" s="3" t="n">
        <v>2</v>
      </c>
      <c r="B296" s="3" t="s">
        <v>313</v>
      </c>
      <c r="C296" s="3" t="s">
        <v>102</v>
      </c>
      <c r="D296" s="15" t="n">
        <v>4552.59</v>
      </c>
    </row>
    <row r="297" customFormat="false" ht="15" hidden="false" customHeight="false" outlineLevel="0" collapsed="false">
      <c r="A297" s="3" t="n">
        <v>2</v>
      </c>
      <c r="B297" s="3" t="s">
        <v>313</v>
      </c>
      <c r="C297" s="3" t="s">
        <v>100</v>
      </c>
      <c r="D297" s="15" t="n">
        <v>433226.62</v>
      </c>
    </row>
    <row r="298" customFormat="false" ht="15" hidden="false" customHeight="false" outlineLevel="0" collapsed="false">
      <c r="A298" s="3" t="n">
        <v>2</v>
      </c>
      <c r="B298" s="3" t="s">
        <v>313</v>
      </c>
      <c r="C298" s="3" t="s">
        <v>99</v>
      </c>
      <c r="D298" s="15" t="n">
        <v>205220.79</v>
      </c>
    </row>
    <row r="299" customFormat="false" ht="15" hidden="false" customHeight="false" outlineLevel="0" collapsed="false">
      <c r="A299" s="3" t="n">
        <v>2</v>
      </c>
      <c r="B299" s="3" t="s">
        <v>313</v>
      </c>
      <c r="C299" s="3" t="s">
        <v>98</v>
      </c>
      <c r="D299" s="15" t="n">
        <v>560888.07</v>
      </c>
    </row>
    <row r="300" customFormat="false" ht="15" hidden="false" customHeight="false" outlineLevel="0" collapsed="false">
      <c r="A300" s="3" t="n">
        <v>2</v>
      </c>
      <c r="B300" s="3" t="s">
        <v>313</v>
      </c>
      <c r="C300" s="3" t="s">
        <v>82</v>
      </c>
      <c r="D300" s="15" t="n">
        <v>370727</v>
      </c>
    </row>
    <row r="301" customFormat="false" ht="15" hidden="false" customHeight="false" outlineLevel="0" collapsed="false">
      <c r="A301" s="3" t="n">
        <v>2</v>
      </c>
      <c r="B301" s="3" t="s">
        <v>314</v>
      </c>
      <c r="C301" s="3" t="s">
        <v>103</v>
      </c>
      <c r="D301" s="15" t="n">
        <v>-242711.95</v>
      </c>
    </row>
    <row r="302" customFormat="false" ht="15" hidden="false" customHeight="false" outlineLevel="0" collapsed="false">
      <c r="A302" s="3" t="n">
        <v>2</v>
      </c>
      <c r="B302" s="3" t="s">
        <v>314</v>
      </c>
      <c r="C302" s="3" t="s">
        <v>102</v>
      </c>
      <c r="D302" s="15" t="n">
        <v>21782.16</v>
      </c>
    </row>
    <row r="303" customFormat="false" ht="15" hidden="false" customHeight="false" outlineLevel="0" collapsed="false">
      <c r="A303" s="3" t="n">
        <v>2</v>
      </c>
      <c r="B303" s="3" t="s">
        <v>314</v>
      </c>
      <c r="C303" s="3" t="s">
        <v>100</v>
      </c>
      <c r="D303" s="15" t="n">
        <v>630516</v>
      </c>
    </row>
    <row r="304" customFormat="false" ht="15" hidden="false" customHeight="false" outlineLevel="0" collapsed="false">
      <c r="A304" s="3" t="n">
        <v>2</v>
      </c>
      <c r="B304" s="3" t="s">
        <v>314</v>
      </c>
      <c r="C304" s="3" t="s">
        <v>99</v>
      </c>
      <c r="D304" s="15" t="n">
        <v>219903.64</v>
      </c>
    </row>
    <row r="305" customFormat="false" ht="15" hidden="false" customHeight="false" outlineLevel="0" collapsed="false">
      <c r="A305" s="3" t="n">
        <v>2</v>
      </c>
      <c r="B305" s="3" t="s">
        <v>314</v>
      </c>
      <c r="C305" s="3" t="s">
        <v>98</v>
      </c>
      <c r="D305" s="15" t="n">
        <v>953121.52</v>
      </c>
    </row>
    <row r="306" customFormat="false" ht="15" hidden="false" customHeight="false" outlineLevel="0" collapsed="false">
      <c r="A306" s="3" t="n">
        <v>2</v>
      </c>
      <c r="B306" s="3" t="s">
        <v>314</v>
      </c>
      <c r="C306" s="3" t="s">
        <v>82</v>
      </c>
      <c r="D306" s="15" t="n">
        <v>558989.27</v>
      </c>
    </row>
    <row r="307" customFormat="false" ht="15" hidden="false" customHeight="false" outlineLevel="0" collapsed="false">
      <c r="A307" s="3" t="n">
        <v>2</v>
      </c>
      <c r="B307" s="3" t="s">
        <v>315</v>
      </c>
      <c r="C307" s="3" t="s">
        <v>103</v>
      </c>
      <c r="D307" s="15" t="n">
        <v>-556.39</v>
      </c>
    </row>
    <row r="308" customFormat="false" ht="15" hidden="false" customHeight="false" outlineLevel="0" collapsed="false">
      <c r="A308" s="3" t="n">
        <v>2</v>
      </c>
      <c r="B308" s="3" t="s">
        <v>315</v>
      </c>
      <c r="C308" s="3" t="s">
        <v>100</v>
      </c>
      <c r="D308" s="15" t="n">
        <v>7111.35</v>
      </c>
    </row>
    <row r="309" customFormat="false" ht="15" hidden="false" customHeight="false" outlineLevel="0" collapsed="false">
      <c r="A309" s="3" t="n">
        <v>2</v>
      </c>
      <c r="B309" s="3" t="s">
        <v>315</v>
      </c>
      <c r="C309" s="3" t="s">
        <v>99</v>
      </c>
      <c r="D309" s="15" t="n">
        <v>4186.67</v>
      </c>
    </row>
    <row r="310" customFormat="false" ht="15" hidden="false" customHeight="false" outlineLevel="0" collapsed="false">
      <c r="A310" s="3" t="n">
        <v>2</v>
      </c>
      <c r="B310" s="3" t="s">
        <v>315</v>
      </c>
      <c r="C310" s="3" t="s">
        <v>98</v>
      </c>
      <c r="D310" s="15" t="n">
        <v>8449</v>
      </c>
    </row>
    <row r="311" customFormat="false" ht="15" hidden="false" customHeight="false" outlineLevel="0" collapsed="false">
      <c r="A311" s="3" t="n">
        <v>2</v>
      </c>
      <c r="B311" s="3" t="s">
        <v>315</v>
      </c>
      <c r="C311" s="3" t="s">
        <v>82</v>
      </c>
      <c r="D311" s="15" t="n">
        <v>6734.99</v>
      </c>
    </row>
    <row r="312" customFormat="false" ht="15" hidden="false" customHeight="false" outlineLevel="0" collapsed="false">
      <c r="A312" s="3" t="n">
        <v>2</v>
      </c>
      <c r="B312" s="3" t="s">
        <v>316</v>
      </c>
      <c r="C312" s="3" t="s">
        <v>103</v>
      </c>
      <c r="D312" s="15" t="n">
        <v>-8291.06</v>
      </c>
    </row>
    <row r="313" customFormat="false" ht="15" hidden="false" customHeight="false" outlineLevel="0" collapsed="false">
      <c r="A313" s="3" t="n">
        <v>2</v>
      </c>
      <c r="B313" s="3" t="s">
        <v>316</v>
      </c>
      <c r="C313" s="3" t="s">
        <v>102</v>
      </c>
      <c r="D313" s="15" t="n">
        <v>120</v>
      </c>
    </row>
    <row r="314" customFormat="false" ht="15" hidden="false" customHeight="false" outlineLevel="0" collapsed="false">
      <c r="A314" s="3" t="n">
        <v>2</v>
      </c>
      <c r="B314" s="3" t="s">
        <v>316</v>
      </c>
      <c r="C314" s="3" t="s">
        <v>100</v>
      </c>
      <c r="D314" s="15" t="n">
        <v>74015.1</v>
      </c>
    </row>
    <row r="315" customFormat="false" ht="15" hidden="false" customHeight="false" outlineLevel="0" collapsed="false">
      <c r="A315" s="3" t="n">
        <v>2</v>
      </c>
      <c r="B315" s="3" t="s">
        <v>316</v>
      </c>
      <c r="C315" s="3" t="s">
        <v>99</v>
      </c>
      <c r="D315" s="15" t="n">
        <v>10968.99</v>
      </c>
    </row>
    <row r="316" customFormat="false" ht="15" hidden="false" customHeight="false" outlineLevel="0" collapsed="false">
      <c r="A316" s="3" t="n">
        <v>2</v>
      </c>
      <c r="B316" s="3" t="s">
        <v>316</v>
      </c>
      <c r="C316" s="3" t="s">
        <v>98</v>
      </c>
      <c r="D316" s="15" t="n">
        <v>120067.88</v>
      </c>
    </row>
    <row r="317" customFormat="false" ht="15" hidden="false" customHeight="false" outlineLevel="0" collapsed="false">
      <c r="A317" s="3" t="n">
        <v>2</v>
      </c>
      <c r="B317" s="3" t="s">
        <v>316</v>
      </c>
      <c r="C317" s="3" t="s">
        <v>82</v>
      </c>
      <c r="D317" s="15" t="n">
        <v>60212.44</v>
      </c>
    </row>
    <row r="318" customFormat="false" ht="15" hidden="false" customHeight="false" outlineLevel="0" collapsed="false">
      <c r="A318" s="3" t="n">
        <v>2</v>
      </c>
      <c r="B318" s="3" t="s">
        <v>317</v>
      </c>
      <c r="C318" s="3" t="s">
        <v>103</v>
      </c>
      <c r="D318" s="15" t="n">
        <v>-2950.77</v>
      </c>
    </row>
    <row r="319" customFormat="false" ht="15" hidden="false" customHeight="false" outlineLevel="0" collapsed="false">
      <c r="A319" s="3" t="n">
        <v>2</v>
      </c>
      <c r="B319" s="3" t="s">
        <v>317</v>
      </c>
      <c r="C319" s="3" t="s">
        <v>102</v>
      </c>
      <c r="D319" s="15" t="n">
        <v>130.73</v>
      </c>
    </row>
    <row r="320" customFormat="false" ht="15" hidden="false" customHeight="false" outlineLevel="0" collapsed="false">
      <c r="A320" s="3" t="n">
        <v>2</v>
      </c>
      <c r="B320" s="3" t="s">
        <v>317</v>
      </c>
      <c r="C320" s="3" t="s">
        <v>100</v>
      </c>
      <c r="D320" s="15" t="n">
        <v>31089.98</v>
      </c>
    </row>
    <row r="321" customFormat="false" ht="15" hidden="false" customHeight="false" outlineLevel="0" collapsed="false">
      <c r="A321" s="3" t="n">
        <v>2</v>
      </c>
      <c r="B321" s="3" t="s">
        <v>317</v>
      </c>
      <c r="C321" s="3" t="s">
        <v>99</v>
      </c>
      <c r="D321" s="15" t="n">
        <v>14863.28</v>
      </c>
    </row>
    <row r="322" customFormat="false" ht="15" hidden="false" customHeight="false" outlineLevel="0" collapsed="false">
      <c r="A322" s="3" t="n">
        <v>2</v>
      </c>
      <c r="B322" s="3" t="s">
        <v>317</v>
      </c>
      <c r="C322" s="3" t="s">
        <v>98</v>
      </c>
      <c r="D322" s="15" t="n">
        <v>40379.71</v>
      </c>
    </row>
    <row r="323" customFormat="false" ht="15" hidden="false" customHeight="false" outlineLevel="0" collapsed="false">
      <c r="A323" s="3" t="n">
        <v>2</v>
      </c>
      <c r="B323" s="3" t="s">
        <v>317</v>
      </c>
      <c r="C323" s="3" t="s">
        <v>82</v>
      </c>
      <c r="D323" s="15" t="n">
        <v>29368.9</v>
      </c>
    </row>
    <row r="324" customFormat="false" ht="15" hidden="false" customHeight="false" outlineLevel="0" collapsed="false">
      <c r="A324" s="3" t="n">
        <v>2</v>
      </c>
      <c r="B324" s="3" t="s">
        <v>318</v>
      </c>
      <c r="C324" s="3" t="s">
        <v>103</v>
      </c>
      <c r="D324" s="15" t="n">
        <v>-196.97</v>
      </c>
    </row>
    <row r="325" customFormat="false" ht="15" hidden="false" customHeight="false" outlineLevel="0" collapsed="false">
      <c r="A325" s="3" t="n">
        <v>2</v>
      </c>
      <c r="B325" s="3" t="s">
        <v>318</v>
      </c>
      <c r="C325" s="3" t="s">
        <v>100</v>
      </c>
      <c r="D325" s="15" t="n">
        <v>894.12</v>
      </c>
    </row>
    <row r="326" customFormat="false" ht="15" hidden="false" customHeight="false" outlineLevel="0" collapsed="false">
      <c r="A326" s="3" t="n">
        <v>2</v>
      </c>
      <c r="B326" s="3" t="s">
        <v>318</v>
      </c>
      <c r="C326" s="3" t="s">
        <v>99</v>
      </c>
      <c r="D326" s="15" t="n">
        <v>2.76</v>
      </c>
    </row>
    <row r="327" customFormat="false" ht="15" hidden="false" customHeight="false" outlineLevel="0" collapsed="false">
      <c r="A327" s="3" t="n">
        <v>2</v>
      </c>
      <c r="B327" s="3" t="s">
        <v>318</v>
      </c>
      <c r="C327" s="3" t="s">
        <v>98</v>
      </c>
      <c r="D327" s="15" t="n">
        <v>1621</v>
      </c>
    </row>
    <row r="328" customFormat="false" ht="15" hidden="false" customHeight="false" outlineLevel="0" collapsed="false">
      <c r="A328" s="3" t="n">
        <v>2</v>
      </c>
      <c r="B328" s="3" t="s">
        <v>318</v>
      </c>
      <c r="C328" s="3" t="s">
        <v>82</v>
      </c>
      <c r="D328" s="15" t="n">
        <v>828.8</v>
      </c>
    </row>
    <row r="329" customFormat="false" ht="15" hidden="false" customHeight="false" outlineLevel="0" collapsed="false">
      <c r="A329" s="3" t="n">
        <v>2</v>
      </c>
      <c r="B329" s="3" t="s">
        <v>319</v>
      </c>
      <c r="C329" s="3" t="s">
        <v>103</v>
      </c>
      <c r="D329" s="15" t="n">
        <v>-252.67</v>
      </c>
    </row>
    <row r="330" customFormat="false" ht="15" hidden="false" customHeight="false" outlineLevel="0" collapsed="false">
      <c r="A330" s="3" t="n">
        <v>2</v>
      </c>
      <c r="B330" s="3" t="s">
        <v>319</v>
      </c>
      <c r="C330" s="3" t="s">
        <v>100</v>
      </c>
      <c r="D330" s="15" t="n">
        <v>2185.55</v>
      </c>
    </row>
    <row r="331" customFormat="false" ht="15" hidden="false" customHeight="false" outlineLevel="0" collapsed="false">
      <c r="A331" s="3" t="n">
        <v>2</v>
      </c>
      <c r="B331" s="3" t="s">
        <v>319</v>
      </c>
      <c r="C331" s="3" t="s">
        <v>99</v>
      </c>
      <c r="D331" s="15" t="n">
        <v>252.96</v>
      </c>
    </row>
    <row r="332" customFormat="false" ht="15" hidden="false" customHeight="false" outlineLevel="0" collapsed="false">
      <c r="A332" s="3" t="n">
        <v>2</v>
      </c>
      <c r="B332" s="3" t="s">
        <v>319</v>
      </c>
      <c r="C332" s="3" t="s">
        <v>98</v>
      </c>
      <c r="D332" s="15" t="n">
        <v>3641.6</v>
      </c>
    </row>
    <row r="333" customFormat="false" ht="15" hidden="false" customHeight="false" outlineLevel="0" collapsed="false">
      <c r="A333" s="3" t="n">
        <v>2</v>
      </c>
      <c r="B333" s="3" t="s">
        <v>319</v>
      </c>
      <c r="C333" s="3" t="s">
        <v>82</v>
      </c>
      <c r="D333" s="15" t="n">
        <v>2056.07</v>
      </c>
    </row>
    <row r="334" customFormat="false" ht="15" hidden="false" customHeight="false" outlineLevel="0" collapsed="false">
      <c r="A334" s="3" t="n">
        <v>2</v>
      </c>
      <c r="B334" s="3" t="s">
        <v>320</v>
      </c>
      <c r="C334" s="3" t="s">
        <v>103</v>
      </c>
      <c r="D334" s="15" t="n">
        <v>-878.31</v>
      </c>
    </row>
    <row r="335" customFormat="false" ht="15" hidden="false" customHeight="false" outlineLevel="0" collapsed="false">
      <c r="A335" s="3" t="n">
        <v>2</v>
      </c>
      <c r="B335" s="3" t="s">
        <v>320</v>
      </c>
      <c r="C335" s="3" t="s">
        <v>102</v>
      </c>
      <c r="D335" s="15" t="n">
        <v>480</v>
      </c>
    </row>
    <row r="336" customFormat="false" ht="15" hidden="false" customHeight="false" outlineLevel="0" collapsed="false">
      <c r="A336" s="3" t="n">
        <v>2</v>
      </c>
      <c r="B336" s="3" t="s">
        <v>320</v>
      </c>
      <c r="C336" s="3" t="s">
        <v>100</v>
      </c>
      <c r="D336" s="15" t="n">
        <v>12431.81</v>
      </c>
    </row>
    <row r="337" customFormat="false" ht="15" hidden="false" customHeight="false" outlineLevel="0" collapsed="false">
      <c r="A337" s="3" t="n">
        <v>2</v>
      </c>
      <c r="B337" s="3" t="s">
        <v>320</v>
      </c>
      <c r="C337" s="3" t="s">
        <v>98</v>
      </c>
      <c r="D337" s="15" t="n">
        <v>22302.66</v>
      </c>
    </row>
    <row r="338" customFormat="false" ht="15" hidden="false" customHeight="false" outlineLevel="0" collapsed="false">
      <c r="A338" s="3" t="n">
        <v>2</v>
      </c>
      <c r="B338" s="3" t="s">
        <v>320</v>
      </c>
      <c r="C338" s="3" t="s">
        <v>82</v>
      </c>
      <c r="D338" s="15" t="n">
        <v>11454.21</v>
      </c>
    </row>
    <row r="339" customFormat="false" ht="15" hidden="false" customHeight="false" outlineLevel="0" collapsed="false">
      <c r="A339" s="3" t="n">
        <v>2</v>
      </c>
      <c r="B339" s="3" t="s">
        <v>322</v>
      </c>
      <c r="C339" s="3" t="s">
        <v>103</v>
      </c>
      <c r="D339" s="15" t="n">
        <v>-1198.46</v>
      </c>
    </row>
    <row r="340" customFormat="false" ht="15" hidden="false" customHeight="false" outlineLevel="0" collapsed="false">
      <c r="A340" s="3" t="n">
        <v>2</v>
      </c>
      <c r="B340" s="3" t="s">
        <v>322</v>
      </c>
      <c r="C340" s="3" t="s">
        <v>100</v>
      </c>
      <c r="D340" s="15" t="n">
        <v>6901.2</v>
      </c>
    </row>
    <row r="341" customFormat="false" ht="15" hidden="false" customHeight="false" outlineLevel="0" collapsed="false">
      <c r="A341" s="3" t="n">
        <v>2</v>
      </c>
      <c r="B341" s="3" t="s">
        <v>322</v>
      </c>
      <c r="C341" s="3" t="s">
        <v>99</v>
      </c>
      <c r="D341" s="15" t="n">
        <v>342.15</v>
      </c>
    </row>
    <row r="342" customFormat="false" ht="15" hidden="false" customHeight="false" outlineLevel="0" collapsed="false">
      <c r="A342" s="3" t="n">
        <v>2</v>
      </c>
      <c r="B342" s="3" t="s">
        <v>322</v>
      </c>
      <c r="C342" s="3" t="s">
        <v>98</v>
      </c>
      <c r="D342" s="15" t="n">
        <v>11949</v>
      </c>
    </row>
    <row r="343" customFormat="false" ht="15" hidden="false" customHeight="false" outlineLevel="0" collapsed="false">
      <c r="A343" s="3" t="n">
        <v>2</v>
      </c>
      <c r="B343" s="3" t="s">
        <v>322</v>
      </c>
      <c r="C343" s="3" t="s">
        <v>82</v>
      </c>
      <c r="D343" s="15" t="n">
        <v>6412.59</v>
      </c>
    </row>
    <row r="344" customFormat="false" ht="15" hidden="false" customHeight="false" outlineLevel="0" collapsed="false">
      <c r="A344" s="3" t="n">
        <v>2</v>
      </c>
      <c r="B344" s="3" t="s">
        <v>323</v>
      </c>
      <c r="C344" s="3" t="s">
        <v>103</v>
      </c>
      <c r="D344" s="15" t="n">
        <v>-3964.65</v>
      </c>
    </row>
    <row r="345" customFormat="false" ht="15" hidden="false" customHeight="false" outlineLevel="0" collapsed="false">
      <c r="A345" s="3" t="n">
        <v>2</v>
      </c>
      <c r="B345" s="3" t="s">
        <v>323</v>
      </c>
      <c r="C345" s="3" t="s">
        <v>100</v>
      </c>
      <c r="D345" s="15" t="n">
        <v>21688.79</v>
      </c>
    </row>
    <row r="346" customFormat="false" ht="15" hidden="false" customHeight="false" outlineLevel="0" collapsed="false">
      <c r="A346" s="3" t="n">
        <v>2</v>
      </c>
      <c r="B346" s="3" t="s">
        <v>323</v>
      </c>
      <c r="C346" s="3" t="s">
        <v>99</v>
      </c>
      <c r="D346" s="15" t="n">
        <v>10747.84</v>
      </c>
    </row>
    <row r="347" customFormat="false" ht="15" hidden="false" customHeight="false" outlineLevel="0" collapsed="false">
      <c r="A347" s="3" t="n">
        <v>2</v>
      </c>
      <c r="B347" s="3" t="s">
        <v>323</v>
      </c>
      <c r="C347" s="3" t="s">
        <v>98</v>
      </c>
      <c r="D347" s="15" t="n">
        <v>28475.56</v>
      </c>
    </row>
    <row r="348" customFormat="false" ht="15" hidden="false" customHeight="false" outlineLevel="0" collapsed="false">
      <c r="A348" s="3" t="n">
        <v>2</v>
      </c>
      <c r="B348" s="3" t="s">
        <v>323</v>
      </c>
      <c r="C348" s="3" t="s">
        <v>82</v>
      </c>
      <c r="D348" s="15" t="n">
        <v>20231.21</v>
      </c>
    </row>
    <row r="349" customFormat="false" ht="15" hidden="false" customHeight="false" outlineLevel="0" collapsed="false">
      <c r="A349" s="3" t="n">
        <v>2</v>
      </c>
      <c r="B349" s="3" t="s">
        <v>324</v>
      </c>
      <c r="C349" s="3" t="s">
        <v>103</v>
      </c>
      <c r="D349" s="15" t="n">
        <v>-1006.33</v>
      </c>
    </row>
    <row r="350" customFormat="false" ht="15" hidden="false" customHeight="false" outlineLevel="0" collapsed="false">
      <c r="A350" s="3" t="n">
        <v>2</v>
      </c>
      <c r="B350" s="3" t="s">
        <v>324</v>
      </c>
      <c r="C350" s="3" t="s">
        <v>100</v>
      </c>
      <c r="D350" s="15" t="n">
        <v>6551.66</v>
      </c>
    </row>
    <row r="351" customFormat="false" ht="15" hidden="false" customHeight="false" outlineLevel="0" collapsed="false">
      <c r="A351" s="3" t="n">
        <v>2</v>
      </c>
      <c r="B351" s="3" t="s">
        <v>324</v>
      </c>
      <c r="C351" s="3" t="s">
        <v>99</v>
      </c>
      <c r="D351" s="15" t="n">
        <v>1403.04</v>
      </c>
    </row>
    <row r="352" customFormat="false" ht="15" hidden="false" customHeight="false" outlineLevel="0" collapsed="false">
      <c r="A352" s="3" t="n">
        <v>2</v>
      </c>
      <c r="B352" s="3" t="s">
        <v>324</v>
      </c>
      <c r="C352" s="3" t="s">
        <v>98</v>
      </c>
      <c r="D352" s="15" t="n">
        <v>10242</v>
      </c>
    </row>
    <row r="353" customFormat="false" ht="15" hidden="false" customHeight="false" outlineLevel="0" collapsed="false">
      <c r="A353" s="3" t="n">
        <v>2</v>
      </c>
      <c r="B353" s="3" t="s">
        <v>324</v>
      </c>
      <c r="C353" s="3" t="s">
        <v>82</v>
      </c>
      <c r="D353" s="15" t="n">
        <v>6108.94</v>
      </c>
    </row>
    <row r="354" customFormat="false" ht="15" hidden="false" customHeight="false" outlineLevel="0" collapsed="false">
      <c r="A354" s="3" t="n">
        <v>2</v>
      </c>
      <c r="B354" s="3" t="s">
        <v>325</v>
      </c>
      <c r="C354" s="3" t="s">
        <v>103</v>
      </c>
      <c r="D354" s="15" t="n">
        <v>-5043.32</v>
      </c>
    </row>
    <row r="355" customFormat="false" ht="15" hidden="false" customHeight="false" outlineLevel="0" collapsed="false">
      <c r="A355" s="3" t="n">
        <v>2</v>
      </c>
      <c r="B355" s="3" t="s">
        <v>325</v>
      </c>
      <c r="C355" s="3" t="s">
        <v>100</v>
      </c>
      <c r="D355" s="15" t="n">
        <v>17337.6</v>
      </c>
    </row>
    <row r="356" customFormat="false" ht="15" hidden="false" customHeight="false" outlineLevel="0" collapsed="false">
      <c r="A356" s="3" t="n">
        <v>2</v>
      </c>
      <c r="B356" s="3" t="s">
        <v>325</v>
      </c>
      <c r="C356" s="3" t="s">
        <v>99</v>
      </c>
      <c r="D356" s="15" t="n">
        <v>9233.98</v>
      </c>
    </row>
    <row r="357" customFormat="false" ht="15" hidden="false" customHeight="false" outlineLevel="0" collapsed="false">
      <c r="A357" s="3" t="n">
        <v>2</v>
      </c>
      <c r="B357" s="3" t="s">
        <v>325</v>
      </c>
      <c r="C357" s="3" t="s">
        <v>98</v>
      </c>
      <c r="D357" s="15" t="n">
        <v>21451.23</v>
      </c>
    </row>
    <row r="358" customFormat="false" ht="15" hidden="false" customHeight="false" outlineLevel="0" collapsed="false">
      <c r="A358" s="3" t="n">
        <v>2</v>
      </c>
      <c r="B358" s="3" t="s">
        <v>325</v>
      </c>
      <c r="C358" s="3" t="s">
        <v>82</v>
      </c>
      <c r="D358" s="15" t="n">
        <v>15252.14</v>
      </c>
    </row>
    <row r="359" customFormat="false" ht="15" hidden="false" customHeight="false" outlineLevel="0" collapsed="false">
      <c r="A359" s="3" t="n">
        <v>2</v>
      </c>
      <c r="B359" s="3" t="s">
        <v>326</v>
      </c>
      <c r="C359" s="3" t="s">
        <v>103</v>
      </c>
      <c r="D359" s="15" t="n">
        <v>-753.48</v>
      </c>
    </row>
    <row r="360" customFormat="false" ht="15" hidden="false" customHeight="false" outlineLevel="0" collapsed="false">
      <c r="A360" s="3" t="n">
        <v>2</v>
      </c>
      <c r="B360" s="3" t="s">
        <v>326</v>
      </c>
      <c r="C360" s="3" t="s">
        <v>100</v>
      </c>
      <c r="D360" s="15" t="n">
        <v>4390.42</v>
      </c>
    </row>
    <row r="361" customFormat="false" ht="15" hidden="false" customHeight="false" outlineLevel="0" collapsed="false">
      <c r="A361" s="3" t="n">
        <v>2</v>
      </c>
      <c r="B361" s="3" t="s">
        <v>326</v>
      </c>
      <c r="C361" s="3" t="s">
        <v>99</v>
      </c>
      <c r="D361" s="15" t="n">
        <v>1058.18</v>
      </c>
    </row>
    <row r="362" customFormat="false" ht="15" hidden="false" customHeight="false" outlineLevel="0" collapsed="false">
      <c r="A362" s="3" t="n">
        <v>2</v>
      </c>
      <c r="B362" s="3" t="s">
        <v>326</v>
      </c>
      <c r="C362" s="3" t="s">
        <v>98</v>
      </c>
      <c r="D362" s="15" t="n">
        <v>6828</v>
      </c>
    </row>
    <row r="363" customFormat="false" ht="15" hidden="false" customHeight="false" outlineLevel="0" collapsed="false">
      <c r="A363" s="3" t="n">
        <v>2</v>
      </c>
      <c r="B363" s="3" t="s">
        <v>326</v>
      </c>
      <c r="C363" s="3" t="s">
        <v>82</v>
      </c>
      <c r="D363" s="15" t="n">
        <v>4094.44</v>
      </c>
    </row>
    <row r="364" customFormat="false" ht="15" hidden="false" customHeight="false" outlineLevel="0" collapsed="false">
      <c r="A364" s="3" t="n">
        <v>2</v>
      </c>
      <c r="B364" s="3" t="s">
        <v>327</v>
      </c>
      <c r="C364" s="3" t="s">
        <v>103</v>
      </c>
      <c r="D364" s="15" t="n">
        <v>-8010.2</v>
      </c>
    </row>
    <row r="365" customFormat="false" ht="15" hidden="false" customHeight="false" outlineLevel="0" collapsed="false">
      <c r="A365" s="3" t="n">
        <v>2</v>
      </c>
      <c r="B365" s="3" t="s">
        <v>327</v>
      </c>
      <c r="C365" s="3" t="s">
        <v>102</v>
      </c>
      <c r="D365" s="15" t="n">
        <v>1193.1</v>
      </c>
    </row>
    <row r="366" customFormat="false" ht="15" hidden="false" customHeight="false" outlineLevel="0" collapsed="false">
      <c r="A366" s="3" t="n">
        <v>2</v>
      </c>
      <c r="B366" s="3" t="s">
        <v>327</v>
      </c>
      <c r="C366" s="3" t="s">
        <v>100</v>
      </c>
      <c r="D366" s="15" t="n">
        <v>20764.45</v>
      </c>
    </row>
    <row r="367" customFormat="false" ht="15" hidden="false" customHeight="false" outlineLevel="0" collapsed="false">
      <c r="A367" s="3" t="n">
        <v>2</v>
      </c>
      <c r="B367" s="3" t="s">
        <v>327</v>
      </c>
      <c r="C367" s="3" t="s">
        <v>99</v>
      </c>
      <c r="D367" s="15" t="n">
        <v>11317.5</v>
      </c>
    </row>
    <row r="368" customFormat="false" ht="15" hidden="false" customHeight="false" outlineLevel="0" collapsed="false">
      <c r="A368" s="3" t="n">
        <v>2</v>
      </c>
      <c r="B368" s="3" t="s">
        <v>327</v>
      </c>
      <c r="C368" s="3" t="s">
        <v>98</v>
      </c>
      <c r="D368" s="15" t="n">
        <v>25881.93</v>
      </c>
    </row>
    <row r="369" customFormat="false" ht="15" hidden="false" customHeight="false" outlineLevel="0" collapsed="false">
      <c r="A369" s="3" t="n">
        <v>2</v>
      </c>
      <c r="B369" s="3" t="s">
        <v>327</v>
      </c>
      <c r="C369" s="3" t="s">
        <v>82</v>
      </c>
      <c r="D369" s="15" t="n">
        <v>18194.15</v>
      </c>
    </row>
    <row r="370" customFormat="false" ht="15" hidden="false" customHeight="false" outlineLevel="0" collapsed="false">
      <c r="A370" s="3" t="n">
        <v>2</v>
      </c>
      <c r="B370" s="3" t="s">
        <v>328</v>
      </c>
      <c r="C370" s="3" t="s">
        <v>103</v>
      </c>
      <c r="D370" s="15" t="n">
        <v>-1044.26</v>
      </c>
    </row>
    <row r="371" customFormat="false" ht="15" hidden="false" customHeight="false" outlineLevel="0" collapsed="false">
      <c r="A371" s="3" t="n">
        <v>2</v>
      </c>
      <c r="B371" s="3" t="s">
        <v>328</v>
      </c>
      <c r="C371" s="3" t="s">
        <v>102</v>
      </c>
      <c r="D371" s="15" t="n">
        <v>1680</v>
      </c>
    </row>
    <row r="372" customFormat="false" ht="15" hidden="false" customHeight="false" outlineLevel="0" collapsed="false">
      <c r="A372" s="3" t="n">
        <v>2</v>
      </c>
      <c r="B372" s="3" t="s">
        <v>328</v>
      </c>
      <c r="C372" s="3" t="s">
        <v>100</v>
      </c>
      <c r="D372" s="15" t="n">
        <v>35049.42</v>
      </c>
    </row>
    <row r="373" customFormat="false" ht="15" hidden="false" customHeight="false" outlineLevel="0" collapsed="false">
      <c r="A373" s="3" t="n">
        <v>2</v>
      </c>
      <c r="B373" s="3" t="s">
        <v>328</v>
      </c>
      <c r="C373" s="3" t="s">
        <v>98</v>
      </c>
      <c r="D373" s="15" t="n">
        <v>62276.78</v>
      </c>
    </row>
    <row r="374" customFormat="false" ht="15" hidden="false" customHeight="false" outlineLevel="0" collapsed="false">
      <c r="A374" s="3" t="n">
        <v>2</v>
      </c>
      <c r="B374" s="3" t="s">
        <v>328</v>
      </c>
      <c r="C374" s="3" t="s">
        <v>82</v>
      </c>
      <c r="D374" s="15" t="n">
        <v>34109.32</v>
      </c>
    </row>
    <row r="375" customFormat="false" ht="15" hidden="false" customHeight="false" outlineLevel="0" collapsed="false">
      <c r="A375" s="3" t="n">
        <v>2</v>
      </c>
      <c r="B375" s="3" t="s">
        <v>329</v>
      </c>
      <c r="C375" s="3" t="s">
        <v>103</v>
      </c>
      <c r="D375" s="15" t="n">
        <v>-2489.3</v>
      </c>
    </row>
    <row r="376" customFormat="false" ht="15" hidden="false" customHeight="false" outlineLevel="0" collapsed="false">
      <c r="A376" s="3" t="n">
        <v>2</v>
      </c>
      <c r="B376" s="3" t="s">
        <v>329</v>
      </c>
      <c r="C376" s="3" t="s">
        <v>102</v>
      </c>
      <c r="D376" s="15" t="n">
        <v>2086</v>
      </c>
    </row>
    <row r="377" customFormat="false" ht="15" hidden="false" customHeight="false" outlineLevel="0" collapsed="false">
      <c r="A377" s="3" t="n">
        <v>2</v>
      </c>
      <c r="B377" s="3" t="s">
        <v>329</v>
      </c>
      <c r="C377" s="3" t="s">
        <v>100</v>
      </c>
      <c r="D377" s="15" t="n">
        <v>52179.16</v>
      </c>
    </row>
    <row r="378" customFormat="false" ht="15" hidden="false" customHeight="false" outlineLevel="0" collapsed="false">
      <c r="A378" s="3" t="n">
        <v>2</v>
      </c>
      <c r="B378" s="3" t="s">
        <v>329</v>
      </c>
      <c r="C378" s="3" t="s">
        <v>98</v>
      </c>
      <c r="D378" s="15" t="n">
        <v>93072.86</v>
      </c>
    </row>
    <row r="379" customFormat="false" ht="15" hidden="false" customHeight="false" outlineLevel="0" collapsed="false">
      <c r="A379" s="3" t="n">
        <v>2</v>
      </c>
      <c r="B379" s="3" t="s">
        <v>329</v>
      </c>
      <c r="C379" s="3" t="s">
        <v>82</v>
      </c>
      <c r="D379" s="15" t="n">
        <v>43743.310744</v>
      </c>
    </row>
    <row r="380" customFormat="false" ht="15" hidden="false" customHeight="false" outlineLevel="0" collapsed="false">
      <c r="A380" s="3" t="n">
        <v>2</v>
      </c>
      <c r="B380" s="3" t="s">
        <v>330</v>
      </c>
      <c r="C380" s="3" t="s">
        <v>103</v>
      </c>
      <c r="D380" s="15" t="n">
        <v>-384.58</v>
      </c>
    </row>
    <row r="381" customFormat="false" ht="15" hidden="false" customHeight="false" outlineLevel="0" collapsed="false">
      <c r="A381" s="3" t="n">
        <v>2</v>
      </c>
      <c r="B381" s="3" t="s">
        <v>330</v>
      </c>
      <c r="C381" s="3" t="s">
        <v>102</v>
      </c>
      <c r="D381" s="15" t="n">
        <v>23</v>
      </c>
    </row>
    <row r="382" customFormat="false" ht="15" hidden="false" customHeight="false" outlineLevel="0" collapsed="false">
      <c r="A382" s="3" t="n">
        <v>2</v>
      </c>
      <c r="B382" s="3" t="s">
        <v>330</v>
      </c>
      <c r="C382" s="3" t="s">
        <v>100</v>
      </c>
      <c r="D382" s="15" t="n">
        <v>2171.75</v>
      </c>
    </row>
    <row r="383" customFormat="false" ht="15" hidden="false" customHeight="false" outlineLevel="0" collapsed="false">
      <c r="A383" s="3" t="n">
        <v>2</v>
      </c>
      <c r="B383" s="3" t="s">
        <v>330</v>
      </c>
      <c r="C383" s="3" t="s">
        <v>99</v>
      </c>
      <c r="D383" s="15" t="n">
        <v>348.29</v>
      </c>
    </row>
    <row r="384" customFormat="false" ht="15" hidden="false" customHeight="false" outlineLevel="0" collapsed="false">
      <c r="A384" s="3" t="n">
        <v>2</v>
      </c>
      <c r="B384" s="3" t="s">
        <v>330</v>
      </c>
      <c r="C384" s="3" t="s">
        <v>98</v>
      </c>
      <c r="D384" s="15" t="n">
        <v>3512.16</v>
      </c>
    </row>
    <row r="385" customFormat="false" ht="15" hidden="false" customHeight="false" outlineLevel="0" collapsed="false">
      <c r="A385" s="3" t="n">
        <v>2</v>
      </c>
      <c r="B385" s="3" t="s">
        <v>330</v>
      </c>
      <c r="C385" s="3" t="s">
        <v>82</v>
      </c>
      <c r="D385" s="15" t="n">
        <v>1756.073872</v>
      </c>
    </row>
    <row r="386" customFormat="false" ht="15" hidden="false" customHeight="false" outlineLevel="0" collapsed="false">
      <c r="A386" s="3" t="n">
        <v>2</v>
      </c>
      <c r="B386" s="3" t="s">
        <v>331</v>
      </c>
      <c r="C386" s="3" t="s">
        <v>103</v>
      </c>
      <c r="D386" s="15" t="n">
        <v>-2110.76</v>
      </c>
    </row>
    <row r="387" customFormat="false" ht="15" hidden="false" customHeight="false" outlineLevel="0" collapsed="false">
      <c r="A387" s="3" t="n">
        <v>2</v>
      </c>
      <c r="B387" s="3" t="s">
        <v>331</v>
      </c>
      <c r="C387" s="3" t="s">
        <v>102</v>
      </c>
      <c r="D387" s="15" t="n">
        <v>179</v>
      </c>
    </row>
    <row r="388" customFormat="false" ht="15" hidden="false" customHeight="false" outlineLevel="0" collapsed="false">
      <c r="A388" s="3" t="n">
        <v>2</v>
      </c>
      <c r="B388" s="3" t="s">
        <v>331</v>
      </c>
      <c r="C388" s="3" t="s">
        <v>100</v>
      </c>
      <c r="D388" s="15" t="n">
        <v>7165.95</v>
      </c>
    </row>
    <row r="389" customFormat="false" ht="15" hidden="false" customHeight="false" outlineLevel="0" collapsed="false">
      <c r="A389" s="3" t="n">
        <v>2</v>
      </c>
      <c r="B389" s="3" t="s">
        <v>331</v>
      </c>
      <c r="C389" s="3" t="s">
        <v>99</v>
      </c>
      <c r="D389" s="15" t="n">
        <v>3800.88</v>
      </c>
    </row>
    <row r="390" customFormat="false" ht="15" hidden="false" customHeight="false" outlineLevel="0" collapsed="false">
      <c r="A390" s="3" t="n">
        <v>2</v>
      </c>
      <c r="B390" s="3" t="s">
        <v>331</v>
      </c>
      <c r="C390" s="3" t="s">
        <v>98</v>
      </c>
      <c r="D390" s="15" t="n">
        <v>8483.21</v>
      </c>
    </row>
    <row r="391" customFormat="false" ht="15" hidden="false" customHeight="false" outlineLevel="0" collapsed="false">
      <c r="A391" s="3" t="n">
        <v>2</v>
      </c>
      <c r="B391" s="3" t="s">
        <v>331</v>
      </c>
      <c r="C391" s="3" t="s">
        <v>82</v>
      </c>
      <c r="D391" s="15" t="n">
        <v>6360.02</v>
      </c>
    </row>
    <row r="392" customFormat="false" ht="15" hidden="false" customHeight="false" outlineLevel="0" collapsed="false">
      <c r="A392" s="3" t="n">
        <v>2</v>
      </c>
      <c r="B392" s="3" t="s">
        <v>332</v>
      </c>
      <c r="C392" s="3" t="s">
        <v>103</v>
      </c>
      <c r="D392" s="15" t="n">
        <v>-701.91</v>
      </c>
    </row>
    <row r="393" customFormat="false" ht="15" hidden="false" customHeight="false" outlineLevel="0" collapsed="false">
      <c r="A393" s="3" t="n">
        <v>2</v>
      </c>
      <c r="B393" s="3" t="s">
        <v>332</v>
      </c>
      <c r="C393" s="3" t="s">
        <v>100</v>
      </c>
      <c r="D393" s="15" t="n">
        <v>2201.71</v>
      </c>
    </row>
    <row r="394" customFormat="false" ht="15" hidden="false" customHeight="false" outlineLevel="0" collapsed="false">
      <c r="A394" s="3" t="n">
        <v>2</v>
      </c>
      <c r="B394" s="3" t="s">
        <v>332</v>
      </c>
      <c r="C394" s="3" t="s">
        <v>99</v>
      </c>
      <c r="D394" s="15" t="n">
        <v>533.81</v>
      </c>
    </row>
    <row r="395" customFormat="false" ht="15" hidden="false" customHeight="false" outlineLevel="0" collapsed="false">
      <c r="A395" s="3" t="n">
        <v>2</v>
      </c>
      <c r="B395" s="3" t="s">
        <v>332</v>
      </c>
      <c r="C395" s="3" t="s">
        <v>98</v>
      </c>
      <c r="D395" s="15" t="n">
        <v>3357.1</v>
      </c>
    </row>
    <row r="396" customFormat="false" ht="15" hidden="false" customHeight="false" outlineLevel="0" collapsed="false">
      <c r="A396" s="3" t="n">
        <v>2</v>
      </c>
      <c r="B396" s="3" t="s">
        <v>332</v>
      </c>
      <c r="C396" s="3" t="s">
        <v>82</v>
      </c>
      <c r="D396" s="15" t="n">
        <v>1968.47</v>
      </c>
    </row>
    <row r="397" customFormat="false" ht="15" hidden="false" customHeight="false" outlineLevel="0" collapsed="false">
      <c r="A397" s="3" t="n">
        <v>2</v>
      </c>
      <c r="B397" s="3" t="s">
        <v>333</v>
      </c>
      <c r="C397" s="3" t="s">
        <v>103</v>
      </c>
      <c r="D397" s="15" t="n">
        <v>-582.15</v>
      </c>
    </row>
    <row r="398" customFormat="false" ht="15" hidden="false" customHeight="false" outlineLevel="0" collapsed="false">
      <c r="A398" s="3" t="n">
        <v>2</v>
      </c>
      <c r="B398" s="3" t="s">
        <v>333</v>
      </c>
      <c r="C398" s="3" t="s">
        <v>100</v>
      </c>
      <c r="D398" s="15" t="n">
        <v>1952.55</v>
      </c>
    </row>
    <row r="399" customFormat="false" ht="15" hidden="false" customHeight="false" outlineLevel="0" collapsed="false">
      <c r="A399" s="3" t="n">
        <v>2</v>
      </c>
      <c r="B399" s="3" t="s">
        <v>333</v>
      </c>
      <c r="C399" s="3" t="s">
        <v>99</v>
      </c>
      <c r="D399" s="15" t="n">
        <v>227.15</v>
      </c>
    </row>
    <row r="400" customFormat="false" ht="15" hidden="false" customHeight="false" outlineLevel="0" collapsed="false">
      <c r="A400" s="3" t="n">
        <v>2</v>
      </c>
      <c r="B400" s="3" t="s">
        <v>333</v>
      </c>
      <c r="C400" s="3" t="s">
        <v>98</v>
      </c>
      <c r="D400" s="15" t="n">
        <v>3414</v>
      </c>
    </row>
    <row r="401" customFormat="false" ht="15" hidden="false" customHeight="false" outlineLevel="0" collapsed="false">
      <c r="A401" s="3" t="n">
        <v>2</v>
      </c>
      <c r="B401" s="3" t="s">
        <v>333</v>
      </c>
      <c r="C401" s="3" t="s">
        <v>82</v>
      </c>
      <c r="D401" s="15" t="n">
        <v>1798.76</v>
      </c>
    </row>
    <row r="402" customFormat="false" ht="15" hidden="false" customHeight="false" outlineLevel="0" collapsed="false">
      <c r="A402" s="3" t="n">
        <v>2</v>
      </c>
      <c r="B402" s="3" t="s">
        <v>334</v>
      </c>
      <c r="C402" s="3" t="s">
        <v>103</v>
      </c>
      <c r="D402" s="15" t="n">
        <v>-564.46</v>
      </c>
    </row>
    <row r="403" customFormat="false" ht="15" hidden="false" customHeight="false" outlineLevel="0" collapsed="false">
      <c r="A403" s="3" t="n">
        <v>2</v>
      </c>
      <c r="B403" s="3" t="s">
        <v>334</v>
      </c>
      <c r="C403" s="3" t="s">
        <v>100</v>
      </c>
      <c r="D403" s="15" t="n">
        <v>606.56</v>
      </c>
    </row>
    <row r="404" customFormat="false" ht="15" hidden="false" customHeight="false" outlineLevel="0" collapsed="false">
      <c r="A404" s="3" t="n">
        <v>2</v>
      </c>
      <c r="B404" s="3" t="s">
        <v>334</v>
      </c>
      <c r="C404" s="3" t="s">
        <v>99</v>
      </c>
      <c r="D404" s="15" t="n">
        <v>31.39</v>
      </c>
    </row>
    <row r="405" customFormat="false" ht="15" hidden="false" customHeight="false" outlineLevel="0" collapsed="false">
      <c r="A405" s="3" t="n">
        <v>2</v>
      </c>
      <c r="B405" s="3" t="s">
        <v>334</v>
      </c>
      <c r="C405" s="3" t="s">
        <v>98</v>
      </c>
      <c r="D405" s="15" t="n">
        <v>972.6</v>
      </c>
    </row>
    <row r="406" customFormat="false" ht="15" hidden="false" customHeight="false" outlineLevel="0" collapsed="false">
      <c r="A406" s="3" t="n">
        <v>2</v>
      </c>
      <c r="B406" s="3" t="s">
        <v>334</v>
      </c>
      <c r="C406" s="3" t="s">
        <v>82</v>
      </c>
      <c r="D406" s="15" t="n">
        <v>444.24</v>
      </c>
    </row>
    <row r="407" customFormat="false" ht="15" hidden="false" customHeight="false" outlineLevel="0" collapsed="false">
      <c r="A407" s="3" t="n">
        <v>2</v>
      </c>
      <c r="B407" s="3" t="s">
        <v>335</v>
      </c>
      <c r="C407" s="3" t="s">
        <v>103</v>
      </c>
      <c r="D407" s="15" t="n">
        <v>-1139.84</v>
      </c>
    </row>
    <row r="408" customFormat="false" ht="15" hidden="false" customHeight="false" outlineLevel="0" collapsed="false">
      <c r="A408" s="3" t="n">
        <v>2</v>
      </c>
      <c r="B408" s="3" t="s">
        <v>335</v>
      </c>
      <c r="C408" s="3" t="s">
        <v>100</v>
      </c>
      <c r="D408" s="15" t="n">
        <v>7585.86</v>
      </c>
    </row>
    <row r="409" customFormat="false" ht="15" hidden="false" customHeight="false" outlineLevel="0" collapsed="false">
      <c r="A409" s="3" t="n">
        <v>2</v>
      </c>
      <c r="B409" s="3" t="s">
        <v>335</v>
      </c>
      <c r="C409" s="3" t="s">
        <v>99</v>
      </c>
      <c r="D409" s="15" t="n">
        <v>3336.62</v>
      </c>
    </row>
    <row r="410" customFormat="false" ht="15" hidden="false" customHeight="false" outlineLevel="0" collapsed="false">
      <c r="A410" s="3" t="n">
        <v>2</v>
      </c>
      <c r="B410" s="3" t="s">
        <v>335</v>
      </c>
      <c r="C410" s="3" t="s">
        <v>98</v>
      </c>
      <c r="D410" s="15" t="n">
        <v>10242</v>
      </c>
    </row>
    <row r="411" customFormat="false" ht="15" hidden="false" customHeight="false" outlineLevel="0" collapsed="false">
      <c r="A411" s="3" t="n">
        <v>2</v>
      </c>
      <c r="B411" s="3" t="s">
        <v>335</v>
      </c>
      <c r="C411" s="3" t="s">
        <v>82</v>
      </c>
      <c r="D411" s="15" t="n">
        <v>7096.91</v>
      </c>
    </row>
    <row r="412" customFormat="false" ht="15" hidden="false" customHeight="false" outlineLevel="0" collapsed="false">
      <c r="A412" s="3" t="n">
        <v>2</v>
      </c>
      <c r="B412" s="3" t="s">
        <v>336</v>
      </c>
      <c r="C412" s="3" t="s">
        <v>103</v>
      </c>
      <c r="D412" s="15" t="n">
        <v>-687.18</v>
      </c>
    </row>
    <row r="413" customFormat="false" ht="15" hidden="false" customHeight="false" outlineLevel="0" collapsed="false">
      <c r="A413" s="3" t="n">
        <v>2</v>
      </c>
      <c r="B413" s="3" t="s">
        <v>336</v>
      </c>
      <c r="C413" s="3" t="s">
        <v>100</v>
      </c>
      <c r="D413" s="15" t="n">
        <v>5604.23</v>
      </c>
    </row>
    <row r="414" customFormat="false" ht="15" hidden="false" customHeight="false" outlineLevel="0" collapsed="false">
      <c r="A414" s="3" t="n">
        <v>2</v>
      </c>
      <c r="B414" s="3" t="s">
        <v>336</v>
      </c>
      <c r="C414" s="3" t="s">
        <v>99</v>
      </c>
      <c r="D414" s="15" t="n">
        <v>3513.26</v>
      </c>
    </row>
    <row r="415" customFormat="false" ht="15" hidden="false" customHeight="false" outlineLevel="0" collapsed="false">
      <c r="A415" s="3" t="n">
        <v>2</v>
      </c>
      <c r="B415" s="3" t="s">
        <v>336</v>
      </c>
      <c r="C415" s="3" t="s">
        <v>98</v>
      </c>
      <c r="D415" s="15" t="n">
        <v>6484</v>
      </c>
    </row>
    <row r="416" customFormat="false" ht="15" hidden="false" customHeight="false" outlineLevel="0" collapsed="false">
      <c r="A416" s="3" t="n">
        <v>2</v>
      </c>
      <c r="B416" s="3" t="s">
        <v>336</v>
      </c>
      <c r="C416" s="3" t="s">
        <v>82</v>
      </c>
      <c r="D416" s="15" t="n">
        <v>5266.67</v>
      </c>
    </row>
    <row r="417" customFormat="false" ht="15" hidden="false" customHeight="false" outlineLevel="0" collapsed="false">
      <c r="A417" s="3" t="n">
        <v>2</v>
      </c>
      <c r="B417" s="3" t="s">
        <v>337</v>
      </c>
      <c r="C417" s="3" t="s">
        <v>103</v>
      </c>
      <c r="D417" s="15" t="n">
        <v>-351.02</v>
      </c>
    </row>
    <row r="418" customFormat="false" ht="15" hidden="false" customHeight="false" outlineLevel="0" collapsed="false">
      <c r="A418" s="3" t="n">
        <v>2</v>
      </c>
      <c r="B418" s="3" t="s">
        <v>337</v>
      </c>
      <c r="C418" s="3" t="s">
        <v>100</v>
      </c>
      <c r="D418" s="15" t="n">
        <v>1958.66</v>
      </c>
    </row>
    <row r="419" customFormat="false" ht="15" hidden="false" customHeight="false" outlineLevel="0" collapsed="false">
      <c r="A419" s="3" t="n">
        <v>2</v>
      </c>
      <c r="B419" s="3" t="s">
        <v>337</v>
      </c>
      <c r="C419" s="3" t="s">
        <v>99</v>
      </c>
      <c r="D419" s="15" t="n">
        <v>83.06</v>
      </c>
    </row>
    <row r="420" customFormat="false" ht="15" hidden="false" customHeight="false" outlineLevel="0" collapsed="false">
      <c r="A420" s="3" t="n">
        <v>2</v>
      </c>
      <c r="B420" s="3" t="s">
        <v>337</v>
      </c>
      <c r="C420" s="3" t="s">
        <v>98</v>
      </c>
      <c r="D420" s="15" t="n">
        <v>3414</v>
      </c>
    </row>
    <row r="421" customFormat="false" ht="15" hidden="false" customHeight="false" outlineLevel="0" collapsed="false">
      <c r="A421" s="3" t="n">
        <v>2</v>
      </c>
      <c r="B421" s="3" t="s">
        <v>337</v>
      </c>
      <c r="C421" s="3" t="s">
        <v>82</v>
      </c>
      <c r="D421" s="15" t="n">
        <v>1819.55</v>
      </c>
    </row>
    <row r="422" customFormat="false" ht="15" hidden="false" customHeight="false" outlineLevel="0" collapsed="false">
      <c r="A422" s="3" t="n">
        <v>2</v>
      </c>
      <c r="B422" s="3" t="s">
        <v>338</v>
      </c>
      <c r="C422" s="3" t="s">
        <v>103</v>
      </c>
      <c r="D422" s="15" t="n">
        <v>-325.97</v>
      </c>
    </row>
    <row r="423" customFormat="false" ht="15" hidden="false" customHeight="false" outlineLevel="0" collapsed="false">
      <c r="A423" s="3" t="n">
        <v>2</v>
      </c>
      <c r="B423" s="3" t="s">
        <v>338</v>
      </c>
      <c r="C423" s="3" t="s">
        <v>100</v>
      </c>
      <c r="D423" s="15" t="n">
        <v>2202.89</v>
      </c>
    </row>
    <row r="424" customFormat="false" ht="15" hidden="false" customHeight="false" outlineLevel="0" collapsed="false">
      <c r="A424" s="3" t="n">
        <v>2</v>
      </c>
      <c r="B424" s="3" t="s">
        <v>338</v>
      </c>
      <c r="C424" s="3" t="s">
        <v>99</v>
      </c>
      <c r="D424" s="15" t="n">
        <v>674.28</v>
      </c>
    </row>
    <row r="425" customFormat="false" ht="15" hidden="false" customHeight="false" outlineLevel="0" collapsed="false">
      <c r="A425" s="3" t="n">
        <v>2</v>
      </c>
      <c r="B425" s="3" t="s">
        <v>338</v>
      </c>
      <c r="C425" s="3" t="s">
        <v>98</v>
      </c>
      <c r="D425" s="15" t="n">
        <v>3242</v>
      </c>
    </row>
    <row r="426" customFormat="false" ht="15" hidden="false" customHeight="false" outlineLevel="0" collapsed="false">
      <c r="A426" s="3" t="n">
        <v>2</v>
      </c>
      <c r="B426" s="3" t="s">
        <v>338</v>
      </c>
      <c r="C426" s="3" t="s">
        <v>82</v>
      </c>
      <c r="D426" s="15" t="n">
        <v>2056.63</v>
      </c>
    </row>
    <row r="427" customFormat="false" ht="15" hidden="false" customHeight="false" outlineLevel="0" collapsed="false">
      <c r="A427" s="3" t="n">
        <v>2</v>
      </c>
      <c r="B427" s="3" t="s">
        <v>339</v>
      </c>
      <c r="C427" s="3" t="s">
        <v>103</v>
      </c>
      <c r="D427" s="15" t="n">
        <v>-346.04</v>
      </c>
    </row>
    <row r="428" customFormat="false" ht="15" hidden="false" customHeight="false" outlineLevel="0" collapsed="false">
      <c r="A428" s="3" t="n">
        <v>2</v>
      </c>
      <c r="B428" s="3" t="s">
        <v>339</v>
      </c>
      <c r="C428" s="3" t="s">
        <v>100</v>
      </c>
      <c r="D428" s="15" t="n">
        <v>2418.6</v>
      </c>
    </row>
    <row r="429" customFormat="false" ht="15" hidden="false" customHeight="false" outlineLevel="0" collapsed="false">
      <c r="A429" s="3" t="n">
        <v>2</v>
      </c>
      <c r="B429" s="3" t="s">
        <v>339</v>
      </c>
      <c r="C429" s="3" t="s">
        <v>99</v>
      </c>
      <c r="D429" s="15" t="n">
        <v>895.32</v>
      </c>
    </row>
    <row r="430" customFormat="false" ht="15" hidden="false" customHeight="false" outlineLevel="0" collapsed="false">
      <c r="A430" s="3" t="n">
        <v>2</v>
      </c>
      <c r="B430" s="3" t="s">
        <v>339</v>
      </c>
      <c r="C430" s="3" t="s">
        <v>98</v>
      </c>
      <c r="D430" s="15" t="n">
        <v>3414</v>
      </c>
    </row>
    <row r="431" customFormat="false" ht="15" hidden="false" customHeight="false" outlineLevel="0" collapsed="false">
      <c r="A431" s="3" t="n">
        <v>2</v>
      </c>
      <c r="B431" s="3" t="s">
        <v>339</v>
      </c>
      <c r="C431" s="3" t="s">
        <v>82</v>
      </c>
      <c r="D431" s="15" t="n">
        <v>2262.21</v>
      </c>
    </row>
    <row r="432" customFormat="false" ht="15" hidden="false" customHeight="false" outlineLevel="0" collapsed="false">
      <c r="A432" s="3" t="n">
        <v>2</v>
      </c>
      <c r="B432" s="3" t="s">
        <v>340</v>
      </c>
      <c r="C432" s="3" t="s">
        <v>103</v>
      </c>
      <c r="D432" s="15" t="n">
        <v>-737.75</v>
      </c>
    </row>
    <row r="433" customFormat="false" ht="15" hidden="false" customHeight="false" outlineLevel="0" collapsed="false">
      <c r="A433" s="3" t="n">
        <v>2</v>
      </c>
      <c r="B433" s="3" t="s">
        <v>340</v>
      </c>
      <c r="C433" s="3" t="s">
        <v>102</v>
      </c>
      <c r="D433" s="15" t="n">
        <v>175.29</v>
      </c>
    </row>
    <row r="434" customFormat="false" ht="15" hidden="false" customHeight="false" outlineLevel="0" collapsed="false">
      <c r="A434" s="3" t="n">
        <v>2</v>
      </c>
      <c r="B434" s="3" t="s">
        <v>340</v>
      </c>
      <c r="C434" s="3" t="s">
        <v>100</v>
      </c>
      <c r="D434" s="15" t="n">
        <v>5100.34</v>
      </c>
    </row>
    <row r="435" customFormat="false" ht="15" hidden="false" customHeight="false" outlineLevel="0" collapsed="false">
      <c r="A435" s="3" t="n">
        <v>2</v>
      </c>
      <c r="B435" s="3" t="s">
        <v>340</v>
      </c>
      <c r="C435" s="3" t="s">
        <v>99</v>
      </c>
      <c r="D435" s="15" t="n">
        <v>1598.5</v>
      </c>
    </row>
    <row r="436" customFormat="false" ht="15" hidden="false" customHeight="false" outlineLevel="0" collapsed="false">
      <c r="A436" s="3" t="n">
        <v>2</v>
      </c>
      <c r="B436" s="3" t="s">
        <v>340</v>
      </c>
      <c r="C436" s="3" t="s">
        <v>98</v>
      </c>
      <c r="D436" s="15" t="n">
        <v>7294.5</v>
      </c>
    </row>
    <row r="437" customFormat="false" ht="15" hidden="false" customHeight="false" outlineLevel="0" collapsed="false">
      <c r="A437" s="3" t="n">
        <v>2</v>
      </c>
      <c r="B437" s="3" t="s">
        <v>340</v>
      </c>
      <c r="C437" s="3" t="s">
        <v>82</v>
      </c>
      <c r="D437" s="15" t="n">
        <v>4765.22</v>
      </c>
    </row>
    <row r="438" customFormat="false" ht="15" hidden="false" customHeight="false" outlineLevel="0" collapsed="false">
      <c r="A438" s="3" t="n">
        <v>2</v>
      </c>
      <c r="B438" s="3" t="s">
        <v>341</v>
      </c>
      <c r="C438" s="3" t="s">
        <v>103</v>
      </c>
      <c r="D438" s="15" t="n">
        <v>-792.64</v>
      </c>
    </row>
    <row r="439" customFormat="false" ht="15" hidden="false" customHeight="false" outlineLevel="0" collapsed="false">
      <c r="A439" s="3" t="n">
        <v>2</v>
      </c>
      <c r="B439" s="3" t="s">
        <v>341</v>
      </c>
      <c r="C439" s="3" t="s">
        <v>100</v>
      </c>
      <c r="D439" s="15" t="n">
        <v>4342.14</v>
      </c>
    </row>
    <row r="440" customFormat="false" ht="15" hidden="false" customHeight="false" outlineLevel="0" collapsed="false">
      <c r="A440" s="3" t="n">
        <v>2</v>
      </c>
      <c r="B440" s="3" t="s">
        <v>341</v>
      </c>
      <c r="C440" s="3" t="s">
        <v>99</v>
      </c>
      <c r="D440" s="15" t="n">
        <v>1011.55</v>
      </c>
    </row>
    <row r="441" customFormat="false" ht="15" hidden="false" customHeight="false" outlineLevel="0" collapsed="false">
      <c r="A441" s="3" t="n">
        <v>2</v>
      </c>
      <c r="B441" s="3" t="s">
        <v>341</v>
      </c>
      <c r="C441" s="3" t="s">
        <v>98</v>
      </c>
      <c r="D441" s="15" t="n">
        <v>6875.67</v>
      </c>
    </row>
    <row r="442" customFormat="false" ht="15" hidden="false" customHeight="false" outlineLevel="0" collapsed="false">
      <c r="A442" s="3" t="n">
        <v>2</v>
      </c>
      <c r="B442" s="3" t="s">
        <v>341</v>
      </c>
      <c r="C442" s="3" t="s">
        <v>82</v>
      </c>
      <c r="D442" s="15" t="n">
        <v>4064.5</v>
      </c>
    </row>
    <row r="443" customFormat="false" ht="15" hidden="false" customHeight="false" outlineLevel="0" collapsed="false">
      <c r="A443" s="3" t="n">
        <v>2</v>
      </c>
      <c r="B443" s="3" t="s">
        <v>342</v>
      </c>
      <c r="C443" s="3" t="s">
        <v>103</v>
      </c>
      <c r="D443" s="15" t="n">
        <v>-3957.47</v>
      </c>
    </row>
    <row r="444" customFormat="false" ht="15" hidden="false" customHeight="false" outlineLevel="0" collapsed="false">
      <c r="A444" s="3" t="n">
        <v>2</v>
      </c>
      <c r="B444" s="3" t="s">
        <v>342</v>
      </c>
      <c r="C444" s="3" t="s">
        <v>102</v>
      </c>
      <c r="D444" s="15" t="n">
        <v>164.57</v>
      </c>
    </row>
    <row r="445" customFormat="false" ht="15" hidden="false" customHeight="false" outlineLevel="0" collapsed="false">
      <c r="A445" s="3" t="n">
        <v>2</v>
      </c>
      <c r="B445" s="3" t="s">
        <v>342</v>
      </c>
      <c r="C445" s="3" t="s">
        <v>100</v>
      </c>
      <c r="D445" s="15" t="n">
        <v>6904.01</v>
      </c>
    </row>
    <row r="446" customFormat="false" ht="15" hidden="false" customHeight="false" outlineLevel="0" collapsed="false">
      <c r="A446" s="3" t="n">
        <v>2</v>
      </c>
      <c r="B446" s="3" t="s">
        <v>342</v>
      </c>
      <c r="C446" s="3" t="s">
        <v>99</v>
      </c>
      <c r="D446" s="15" t="n">
        <v>2309.07</v>
      </c>
    </row>
    <row r="447" customFormat="false" ht="15" hidden="false" customHeight="false" outlineLevel="0" collapsed="false">
      <c r="A447" s="3" t="n">
        <v>2</v>
      </c>
      <c r="B447" s="3" t="s">
        <v>342</v>
      </c>
      <c r="C447" s="3" t="s">
        <v>98</v>
      </c>
      <c r="D447" s="15" t="n">
        <v>9888.08</v>
      </c>
    </row>
    <row r="448" customFormat="false" ht="15" hidden="false" customHeight="false" outlineLevel="0" collapsed="false">
      <c r="A448" s="3" t="n">
        <v>2</v>
      </c>
      <c r="B448" s="3" t="s">
        <v>342</v>
      </c>
      <c r="C448" s="3" t="s">
        <v>82</v>
      </c>
      <c r="D448" s="15" t="n">
        <v>5465.73</v>
      </c>
    </row>
    <row r="449" customFormat="false" ht="15" hidden="false" customHeight="false" outlineLevel="0" collapsed="false">
      <c r="A449" s="3" t="n">
        <v>2</v>
      </c>
      <c r="B449" s="3" t="s">
        <v>343</v>
      </c>
      <c r="C449" s="3" t="s">
        <v>103</v>
      </c>
      <c r="D449" s="15" t="n">
        <v>-872.09</v>
      </c>
    </row>
    <row r="450" customFormat="false" ht="15" hidden="false" customHeight="false" outlineLevel="0" collapsed="false">
      <c r="A450" s="3" t="n">
        <v>2</v>
      </c>
      <c r="B450" s="3" t="s">
        <v>343</v>
      </c>
      <c r="C450" s="3" t="s">
        <v>100</v>
      </c>
      <c r="D450" s="15" t="n">
        <v>4725.08</v>
      </c>
    </row>
    <row r="451" customFormat="false" ht="15" hidden="false" customHeight="false" outlineLevel="0" collapsed="false">
      <c r="A451" s="3" t="n">
        <v>2</v>
      </c>
      <c r="B451" s="3" t="s">
        <v>343</v>
      </c>
      <c r="C451" s="3" t="s">
        <v>99</v>
      </c>
      <c r="D451" s="15" t="n">
        <v>1858.6</v>
      </c>
    </row>
    <row r="452" customFormat="false" ht="15" hidden="false" customHeight="false" outlineLevel="0" collapsed="false">
      <c r="A452" s="3" t="n">
        <v>2</v>
      </c>
      <c r="B452" s="3" t="s">
        <v>343</v>
      </c>
      <c r="C452" s="3" t="s">
        <v>98</v>
      </c>
      <c r="D452" s="15" t="n">
        <v>6372.8</v>
      </c>
    </row>
    <row r="453" customFormat="false" ht="15" hidden="false" customHeight="false" outlineLevel="0" collapsed="false">
      <c r="A453" s="3" t="n">
        <v>2</v>
      </c>
      <c r="B453" s="3" t="s">
        <v>343</v>
      </c>
      <c r="C453" s="3" t="s">
        <v>82</v>
      </c>
      <c r="D453" s="15" t="n">
        <v>4318.75</v>
      </c>
    </row>
    <row r="454" customFormat="false" ht="15" hidden="false" customHeight="false" outlineLevel="0" collapsed="false">
      <c r="A454" s="3" t="n">
        <v>2</v>
      </c>
      <c r="B454" s="3" t="s">
        <v>345</v>
      </c>
      <c r="C454" s="3" t="s">
        <v>101</v>
      </c>
      <c r="D454" s="15" t="n">
        <v>40</v>
      </c>
    </row>
    <row r="455" customFormat="false" ht="15" hidden="false" customHeight="false" outlineLevel="0" collapsed="false">
      <c r="A455" s="3" t="n">
        <v>2</v>
      </c>
      <c r="B455" s="3" t="s">
        <v>345</v>
      </c>
      <c r="C455" s="3" t="s">
        <v>103</v>
      </c>
      <c r="D455" s="15" t="n">
        <v>-948.43</v>
      </c>
    </row>
    <row r="456" customFormat="false" ht="15" hidden="false" customHeight="false" outlineLevel="0" collapsed="false">
      <c r="A456" s="3" t="n">
        <v>2</v>
      </c>
      <c r="B456" s="3" t="s">
        <v>345</v>
      </c>
      <c r="C456" s="3" t="s">
        <v>100</v>
      </c>
      <c r="D456" s="15" t="n">
        <v>6486.82</v>
      </c>
    </row>
    <row r="457" customFormat="false" ht="15" hidden="false" customHeight="false" outlineLevel="0" collapsed="false">
      <c r="A457" s="3" t="n">
        <v>2</v>
      </c>
      <c r="B457" s="3" t="s">
        <v>345</v>
      </c>
      <c r="C457" s="3" t="s">
        <v>99</v>
      </c>
      <c r="D457" s="15" t="n">
        <v>2247.98</v>
      </c>
    </row>
    <row r="458" customFormat="false" ht="15" hidden="false" customHeight="false" outlineLevel="0" collapsed="false">
      <c r="A458" s="3" t="n">
        <v>2</v>
      </c>
      <c r="B458" s="3" t="s">
        <v>345</v>
      </c>
      <c r="C458" s="3" t="s">
        <v>98</v>
      </c>
      <c r="D458" s="15" t="n">
        <v>9293.72</v>
      </c>
    </row>
    <row r="459" customFormat="false" ht="15" hidden="false" customHeight="false" outlineLevel="0" collapsed="false">
      <c r="A459" s="3" t="n">
        <v>2</v>
      </c>
      <c r="B459" s="3" t="s">
        <v>345</v>
      </c>
      <c r="C459" s="3" t="s">
        <v>82</v>
      </c>
      <c r="D459" s="15" t="n">
        <v>6074.103484</v>
      </c>
    </row>
    <row r="460" customFormat="false" ht="15" hidden="false" customHeight="false" outlineLevel="0" collapsed="false">
      <c r="A460" s="3" t="n">
        <v>2</v>
      </c>
      <c r="B460" s="3" t="s">
        <v>346</v>
      </c>
      <c r="C460" s="3" t="s">
        <v>103</v>
      </c>
      <c r="D460" s="15" t="n">
        <v>-377.44</v>
      </c>
    </row>
    <row r="461" customFormat="false" ht="15" hidden="false" customHeight="false" outlineLevel="0" collapsed="false">
      <c r="A461" s="3" t="n">
        <v>2</v>
      </c>
      <c r="B461" s="3" t="s">
        <v>346</v>
      </c>
      <c r="C461" s="3" t="s">
        <v>100</v>
      </c>
      <c r="D461" s="15" t="n">
        <v>1921.4</v>
      </c>
    </row>
    <row r="462" customFormat="false" ht="15" hidden="false" customHeight="false" outlineLevel="0" collapsed="false">
      <c r="A462" s="3" t="n">
        <v>2</v>
      </c>
      <c r="B462" s="3" t="s">
        <v>346</v>
      </c>
      <c r="C462" s="3" t="s">
        <v>98</v>
      </c>
      <c r="D462" s="15" t="n">
        <v>3414</v>
      </c>
    </row>
    <row r="463" customFormat="false" ht="15" hidden="false" customHeight="false" outlineLevel="0" collapsed="false">
      <c r="A463" s="3" t="n">
        <v>2</v>
      </c>
      <c r="B463" s="3" t="s">
        <v>346</v>
      </c>
      <c r="C463" s="3" t="s">
        <v>82</v>
      </c>
      <c r="D463" s="15" t="n">
        <v>1775.22</v>
      </c>
    </row>
    <row r="464" customFormat="false" ht="15" hidden="false" customHeight="false" outlineLevel="0" collapsed="false">
      <c r="A464" s="3" t="n">
        <v>2</v>
      </c>
      <c r="B464" s="3" t="s">
        <v>347</v>
      </c>
      <c r="C464" s="3" t="s">
        <v>103</v>
      </c>
      <c r="D464" s="15" t="n">
        <v>-504.86</v>
      </c>
    </row>
    <row r="465" customFormat="false" ht="15" hidden="false" customHeight="false" outlineLevel="0" collapsed="false">
      <c r="A465" s="3" t="n">
        <v>2</v>
      </c>
      <c r="B465" s="3" t="s">
        <v>347</v>
      </c>
      <c r="C465" s="3" t="s">
        <v>102</v>
      </c>
      <c r="D465" s="15" t="n">
        <v>600</v>
      </c>
    </row>
    <row r="466" customFormat="false" ht="15" hidden="false" customHeight="false" outlineLevel="0" collapsed="false">
      <c r="A466" s="3" t="n">
        <v>2</v>
      </c>
      <c r="B466" s="3" t="s">
        <v>347</v>
      </c>
      <c r="C466" s="3" t="s">
        <v>100</v>
      </c>
      <c r="D466" s="15" t="n">
        <v>15588.52</v>
      </c>
    </row>
    <row r="467" customFormat="false" ht="15" hidden="false" customHeight="false" outlineLevel="0" collapsed="false">
      <c r="A467" s="3" t="n">
        <v>2</v>
      </c>
      <c r="B467" s="3" t="s">
        <v>347</v>
      </c>
      <c r="C467" s="3" t="s">
        <v>98</v>
      </c>
      <c r="D467" s="15" t="n">
        <v>27698.13</v>
      </c>
    </row>
    <row r="468" customFormat="false" ht="15" hidden="false" customHeight="false" outlineLevel="0" collapsed="false">
      <c r="A468" s="3" t="n">
        <v>2</v>
      </c>
      <c r="B468" s="3" t="s">
        <v>347</v>
      </c>
      <c r="C468" s="3" t="s">
        <v>82</v>
      </c>
      <c r="D468" s="15" t="n">
        <v>15111.48</v>
      </c>
    </row>
    <row r="469" customFormat="false" ht="15" hidden="false" customHeight="false" outlineLevel="0" collapsed="false">
      <c r="A469" s="3" t="n">
        <v>2</v>
      </c>
      <c r="B469" s="3" t="s">
        <v>348</v>
      </c>
      <c r="C469" s="3" t="s">
        <v>103</v>
      </c>
      <c r="D469" s="15" t="n">
        <v>-1983.39</v>
      </c>
    </row>
    <row r="470" customFormat="false" ht="15" hidden="false" customHeight="false" outlineLevel="0" collapsed="false">
      <c r="A470" s="3" t="n">
        <v>2</v>
      </c>
      <c r="B470" s="3" t="s">
        <v>348</v>
      </c>
      <c r="C470" s="3" t="s">
        <v>102</v>
      </c>
      <c r="D470" s="15" t="n">
        <v>665.34</v>
      </c>
    </row>
    <row r="471" customFormat="false" ht="15" hidden="false" customHeight="false" outlineLevel="0" collapsed="false">
      <c r="A471" s="3" t="n">
        <v>2</v>
      </c>
      <c r="B471" s="3" t="s">
        <v>348</v>
      </c>
      <c r="C471" s="3" t="s">
        <v>100</v>
      </c>
      <c r="D471" s="15" t="n">
        <v>5156.05</v>
      </c>
    </row>
    <row r="472" customFormat="false" ht="15" hidden="false" customHeight="false" outlineLevel="0" collapsed="false">
      <c r="A472" s="3" t="n">
        <v>2</v>
      </c>
      <c r="B472" s="3" t="s">
        <v>348</v>
      </c>
      <c r="C472" s="3" t="s">
        <v>99</v>
      </c>
      <c r="D472" s="15" t="n">
        <v>570.82</v>
      </c>
    </row>
    <row r="473" customFormat="false" ht="15" hidden="false" customHeight="false" outlineLevel="0" collapsed="false">
      <c r="A473" s="3" t="n">
        <v>2</v>
      </c>
      <c r="B473" s="3" t="s">
        <v>348</v>
      </c>
      <c r="C473" s="3" t="s">
        <v>98</v>
      </c>
      <c r="D473" s="15" t="n">
        <v>8705.7</v>
      </c>
    </row>
    <row r="474" customFormat="false" ht="15" hidden="false" customHeight="false" outlineLevel="0" collapsed="false">
      <c r="A474" s="3" t="n">
        <v>2</v>
      </c>
      <c r="B474" s="3" t="s">
        <v>348</v>
      </c>
      <c r="C474" s="3" t="s">
        <v>82</v>
      </c>
      <c r="D474" s="15" t="n">
        <v>4725.72</v>
      </c>
    </row>
    <row r="475" customFormat="false" ht="15" hidden="false" customHeight="false" outlineLevel="0" collapsed="false">
      <c r="A475" s="3" t="n">
        <v>2</v>
      </c>
      <c r="B475" s="3" t="s">
        <v>349</v>
      </c>
      <c r="C475" s="3" t="s">
        <v>103</v>
      </c>
      <c r="D475" s="15" t="n">
        <v>-12010.09</v>
      </c>
    </row>
    <row r="476" customFormat="false" ht="15" hidden="false" customHeight="false" outlineLevel="0" collapsed="false">
      <c r="A476" s="3" t="n">
        <v>2</v>
      </c>
      <c r="B476" s="3" t="s">
        <v>349</v>
      </c>
      <c r="C476" s="3" t="s">
        <v>102</v>
      </c>
      <c r="D476" s="15" t="n">
        <v>4305.27</v>
      </c>
    </row>
    <row r="477" customFormat="false" ht="15" hidden="false" customHeight="false" outlineLevel="0" collapsed="false">
      <c r="A477" s="3" t="n">
        <v>2</v>
      </c>
      <c r="B477" s="3" t="s">
        <v>349</v>
      </c>
      <c r="C477" s="3" t="s">
        <v>100</v>
      </c>
      <c r="D477" s="15" t="n">
        <v>15748.64</v>
      </c>
    </row>
    <row r="478" customFormat="false" ht="15" hidden="false" customHeight="false" outlineLevel="0" collapsed="false">
      <c r="A478" s="3" t="n">
        <v>2</v>
      </c>
      <c r="B478" s="3" t="s">
        <v>349</v>
      </c>
      <c r="C478" s="3" t="s">
        <v>99</v>
      </c>
      <c r="D478" s="15" t="n">
        <v>3167.28</v>
      </c>
    </row>
    <row r="479" customFormat="false" ht="15" hidden="false" customHeight="false" outlineLevel="0" collapsed="false">
      <c r="A479" s="3" t="n">
        <v>2</v>
      </c>
      <c r="B479" s="3" t="s">
        <v>349</v>
      </c>
      <c r="C479" s="3" t="s">
        <v>98</v>
      </c>
      <c r="D479" s="15" t="n">
        <v>26422.27</v>
      </c>
    </row>
    <row r="480" customFormat="false" ht="15" hidden="false" customHeight="false" outlineLevel="0" collapsed="false">
      <c r="A480" s="3" t="n">
        <v>2</v>
      </c>
      <c r="B480" s="3" t="s">
        <v>349</v>
      </c>
      <c r="C480" s="3" t="s">
        <v>82</v>
      </c>
      <c r="D480" s="15" t="n">
        <v>13590.48</v>
      </c>
    </row>
    <row r="481" customFormat="false" ht="15" hidden="false" customHeight="false" outlineLevel="0" collapsed="false">
      <c r="A481" s="3" t="n">
        <v>2</v>
      </c>
      <c r="B481" s="3" t="s">
        <v>350</v>
      </c>
      <c r="C481" s="3" t="s">
        <v>103</v>
      </c>
      <c r="D481" s="15" t="n">
        <v>-54.96</v>
      </c>
    </row>
    <row r="482" customFormat="false" ht="15" hidden="false" customHeight="false" outlineLevel="0" collapsed="false">
      <c r="A482" s="3" t="n">
        <v>2</v>
      </c>
      <c r="B482" s="3" t="s">
        <v>350</v>
      </c>
      <c r="C482" s="3" t="s">
        <v>102</v>
      </c>
      <c r="D482" s="15" t="n">
        <v>120</v>
      </c>
    </row>
    <row r="483" customFormat="false" ht="15" hidden="false" customHeight="false" outlineLevel="0" collapsed="false">
      <c r="A483" s="3" t="n">
        <v>2</v>
      </c>
      <c r="B483" s="3" t="s">
        <v>350</v>
      </c>
      <c r="C483" s="3" t="s">
        <v>100</v>
      </c>
      <c r="D483" s="15" t="n">
        <v>3470.9</v>
      </c>
    </row>
    <row r="484" customFormat="false" ht="15" hidden="false" customHeight="false" outlineLevel="0" collapsed="false">
      <c r="A484" s="3" t="n">
        <v>2</v>
      </c>
      <c r="B484" s="3" t="s">
        <v>350</v>
      </c>
      <c r="C484" s="3" t="s">
        <v>98</v>
      </c>
      <c r="D484" s="15" t="n">
        <v>6167.2</v>
      </c>
    </row>
    <row r="485" customFormat="false" ht="15" hidden="false" customHeight="false" outlineLevel="0" collapsed="false">
      <c r="A485" s="3" t="n">
        <v>2</v>
      </c>
      <c r="B485" s="3" t="s">
        <v>350</v>
      </c>
      <c r="C485" s="3" t="s">
        <v>82</v>
      </c>
      <c r="D485" s="15" t="n">
        <v>3371.23</v>
      </c>
    </row>
    <row r="486" customFormat="false" ht="15" hidden="false" customHeight="false" outlineLevel="0" collapsed="false">
      <c r="A486" s="3" t="n">
        <v>2</v>
      </c>
      <c r="B486" s="3" t="s">
        <v>351</v>
      </c>
      <c r="C486" s="3" t="s">
        <v>103</v>
      </c>
      <c r="D486" s="15" t="n">
        <v>-2437.29</v>
      </c>
    </row>
    <row r="487" customFormat="false" ht="15" hidden="false" customHeight="false" outlineLevel="0" collapsed="false">
      <c r="A487" s="3" t="n">
        <v>2</v>
      </c>
      <c r="B487" s="3" t="s">
        <v>351</v>
      </c>
      <c r="C487" s="3" t="s">
        <v>102</v>
      </c>
      <c r="D487" s="15" t="n">
        <v>276.33</v>
      </c>
    </row>
    <row r="488" customFormat="false" ht="15" hidden="false" customHeight="false" outlineLevel="0" collapsed="false">
      <c r="A488" s="3" t="n">
        <v>2</v>
      </c>
      <c r="B488" s="3" t="s">
        <v>351</v>
      </c>
      <c r="C488" s="3" t="s">
        <v>100</v>
      </c>
      <c r="D488" s="15" t="n">
        <v>7885.71</v>
      </c>
    </row>
    <row r="489" customFormat="false" ht="15" hidden="false" customHeight="false" outlineLevel="0" collapsed="false">
      <c r="A489" s="3" t="n">
        <v>2</v>
      </c>
      <c r="B489" s="3" t="s">
        <v>351</v>
      </c>
      <c r="C489" s="3" t="s">
        <v>99</v>
      </c>
      <c r="D489" s="15" t="n">
        <v>3996.43</v>
      </c>
    </row>
    <row r="490" customFormat="false" ht="15" hidden="false" customHeight="false" outlineLevel="0" collapsed="false">
      <c r="A490" s="3" t="n">
        <v>2</v>
      </c>
      <c r="B490" s="3" t="s">
        <v>351</v>
      </c>
      <c r="C490" s="3" t="s">
        <v>98</v>
      </c>
      <c r="D490" s="15" t="n">
        <v>9834.05</v>
      </c>
    </row>
    <row r="491" customFormat="false" ht="15" hidden="false" customHeight="false" outlineLevel="0" collapsed="false">
      <c r="A491" s="3" t="n">
        <v>2</v>
      </c>
      <c r="B491" s="3" t="s">
        <v>351</v>
      </c>
      <c r="C491" s="3" t="s">
        <v>82</v>
      </c>
      <c r="D491" s="15" t="n">
        <v>7044.97</v>
      </c>
    </row>
    <row r="492" customFormat="false" ht="15" hidden="false" customHeight="false" outlineLevel="0" collapsed="false">
      <c r="A492" s="3" t="n">
        <v>2</v>
      </c>
      <c r="B492" s="3" t="s">
        <v>352</v>
      </c>
      <c r="C492" s="3" t="s">
        <v>103</v>
      </c>
      <c r="D492" s="15" t="n">
        <v>-883.76</v>
      </c>
    </row>
    <row r="493" customFormat="false" ht="15" hidden="false" customHeight="false" outlineLevel="0" collapsed="false">
      <c r="A493" s="3" t="n">
        <v>2</v>
      </c>
      <c r="B493" s="3" t="s">
        <v>352</v>
      </c>
      <c r="C493" s="3" t="s">
        <v>102</v>
      </c>
      <c r="D493" s="15" t="n">
        <v>713.73</v>
      </c>
    </row>
    <row r="494" customFormat="false" ht="15" hidden="false" customHeight="false" outlineLevel="0" collapsed="false">
      <c r="A494" s="3" t="n">
        <v>2</v>
      </c>
      <c r="B494" s="3" t="s">
        <v>352</v>
      </c>
      <c r="C494" s="3" t="s">
        <v>100</v>
      </c>
      <c r="D494" s="15" t="n">
        <v>2303.35</v>
      </c>
    </row>
    <row r="495" customFormat="false" ht="15" hidden="false" customHeight="false" outlineLevel="0" collapsed="false">
      <c r="A495" s="3" t="n">
        <v>2</v>
      </c>
      <c r="B495" s="3" t="s">
        <v>352</v>
      </c>
      <c r="C495" s="3" t="s">
        <v>99</v>
      </c>
      <c r="D495" s="15" t="n">
        <v>227.17</v>
      </c>
    </row>
    <row r="496" customFormat="false" ht="15" hidden="false" customHeight="false" outlineLevel="0" collapsed="false">
      <c r="A496" s="3" t="n">
        <v>2</v>
      </c>
      <c r="B496" s="3" t="s">
        <v>352</v>
      </c>
      <c r="C496" s="3" t="s">
        <v>98</v>
      </c>
      <c r="D496" s="15" t="n">
        <v>3983</v>
      </c>
    </row>
    <row r="497" customFormat="false" ht="15" hidden="false" customHeight="false" outlineLevel="0" collapsed="false">
      <c r="A497" s="3" t="n">
        <v>2</v>
      </c>
      <c r="B497" s="3" t="s">
        <v>352</v>
      </c>
      <c r="C497" s="3" t="s">
        <v>82</v>
      </c>
      <c r="D497" s="15" t="n">
        <v>2206.46</v>
      </c>
    </row>
    <row r="498" customFormat="false" ht="15" hidden="false" customHeight="false" outlineLevel="0" collapsed="false">
      <c r="A498" s="3" t="n">
        <v>2</v>
      </c>
      <c r="B498" s="3" t="s">
        <v>353</v>
      </c>
      <c r="C498" s="3" t="s">
        <v>103</v>
      </c>
      <c r="D498" s="15" t="n">
        <v>-690.78</v>
      </c>
    </row>
    <row r="499" customFormat="false" ht="15" hidden="false" customHeight="false" outlineLevel="0" collapsed="false">
      <c r="A499" s="3" t="n">
        <v>2</v>
      </c>
      <c r="B499" s="3" t="s">
        <v>353</v>
      </c>
      <c r="C499" s="3" t="s">
        <v>100</v>
      </c>
      <c r="D499" s="15" t="n">
        <v>2279.15</v>
      </c>
    </row>
    <row r="500" customFormat="false" ht="15" hidden="false" customHeight="false" outlineLevel="0" collapsed="false">
      <c r="A500" s="3" t="n">
        <v>2</v>
      </c>
      <c r="B500" s="3" t="s">
        <v>353</v>
      </c>
      <c r="C500" s="3" t="s">
        <v>99</v>
      </c>
      <c r="D500" s="15" t="n">
        <v>319.1</v>
      </c>
    </row>
    <row r="501" customFormat="false" ht="15" hidden="false" customHeight="false" outlineLevel="0" collapsed="false">
      <c r="A501" s="3" t="n">
        <v>2</v>
      </c>
      <c r="B501" s="3" t="s">
        <v>353</v>
      </c>
      <c r="C501" s="3" t="s">
        <v>98</v>
      </c>
      <c r="D501" s="15" t="n">
        <v>3944.43</v>
      </c>
    </row>
    <row r="502" customFormat="false" ht="15" hidden="false" customHeight="false" outlineLevel="0" collapsed="false">
      <c r="A502" s="3" t="n">
        <v>2</v>
      </c>
      <c r="B502" s="3" t="s">
        <v>353</v>
      </c>
      <c r="C502" s="3" t="s">
        <v>82</v>
      </c>
      <c r="D502" s="15" t="n">
        <v>2100.05</v>
      </c>
    </row>
    <row r="503" customFormat="false" ht="15" hidden="false" customHeight="false" outlineLevel="0" collapsed="false">
      <c r="A503" s="3" t="n">
        <v>2</v>
      </c>
      <c r="B503" s="3" t="s">
        <v>354</v>
      </c>
      <c r="C503" s="3" t="s">
        <v>103</v>
      </c>
      <c r="D503" s="15" t="n">
        <v>-1063.68</v>
      </c>
    </row>
    <row r="504" customFormat="false" ht="15" hidden="false" customHeight="false" outlineLevel="0" collapsed="false">
      <c r="A504" s="3" t="n">
        <v>2</v>
      </c>
      <c r="B504" s="3" t="s">
        <v>354</v>
      </c>
      <c r="C504" s="3" t="s">
        <v>102</v>
      </c>
      <c r="D504" s="15" t="n">
        <v>1680</v>
      </c>
    </row>
    <row r="505" customFormat="false" ht="15" hidden="false" customHeight="false" outlineLevel="0" collapsed="false">
      <c r="A505" s="3" t="n">
        <v>2</v>
      </c>
      <c r="B505" s="3" t="s">
        <v>354</v>
      </c>
      <c r="C505" s="3" t="s">
        <v>100</v>
      </c>
      <c r="D505" s="15" t="n">
        <v>38193.67</v>
      </c>
    </row>
    <row r="506" customFormat="false" ht="15" hidden="false" customHeight="false" outlineLevel="0" collapsed="false">
      <c r="A506" s="3" t="n">
        <v>2</v>
      </c>
      <c r="B506" s="3" t="s">
        <v>354</v>
      </c>
      <c r="C506" s="3" t="s">
        <v>98</v>
      </c>
      <c r="D506" s="15" t="n">
        <v>67863.59</v>
      </c>
    </row>
    <row r="507" customFormat="false" ht="15" hidden="false" customHeight="false" outlineLevel="0" collapsed="false">
      <c r="A507" s="3" t="n">
        <v>2</v>
      </c>
      <c r="B507" s="3" t="s">
        <v>354</v>
      </c>
      <c r="C507" s="3" t="s">
        <v>82</v>
      </c>
      <c r="D507" s="15" t="n">
        <v>37131.57</v>
      </c>
    </row>
    <row r="508" customFormat="false" ht="15" hidden="false" customHeight="false" outlineLevel="0" collapsed="false">
      <c r="A508" s="3" t="n">
        <v>2</v>
      </c>
      <c r="B508" s="3" t="s">
        <v>355</v>
      </c>
      <c r="C508" s="3" t="s">
        <v>103</v>
      </c>
      <c r="D508" s="15" t="n">
        <v>-3751.98</v>
      </c>
    </row>
    <row r="509" customFormat="false" ht="15" hidden="false" customHeight="false" outlineLevel="0" collapsed="false">
      <c r="A509" s="3" t="n">
        <v>2</v>
      </c>
      <c r="B509" s="3" t="s">
        <v>355</v>
      </c>
      <c r="C509" s="3" t="s">
        <v>102</v>
      </c>
      <c r="D509" s="15" t="n">
        <v>118.62</v>
      </c>
    </row>
    <row r="510" customFormat="false" ht="15" hidden="false" customHeight="false" outlineLevel="0" collapsed="false">
      <c r="A510" s="3" t="n">
        <v>2</v>
      </c>
      <c r="B510" s="3" t="s">
        <v>355</v>
      </c>
      <c r="C510" s="3" t="s">
        <v>100</v>
      </c>
      <c r="D510" s="15" t="n">
        <v>22888.34</v>
      </c>
    </row>
    <row r="511" customFormat="false" ht="15" hidden="false" customHeight="false" outlineLevel="0" collapsed="false">
      <c r="A511" s="3" t="n">
        <v>2</v>
      </c>
      <c r="B511" s="3" t="s">
        <v>355</v>
      </c>
      <c r="C511" s="3" t="s">
        <v>99</v>
      </c>
      <c r="D511" s="15" t="n">
        <v>10015.35</v>
      </c>
    </row>
    <row r="512" customFormat="false" ht="15" hidden="false" customHeight="false" outlineLevel="0" collapsed="false">
      <c r="A512" s="3" t="n">
        <v>2</v>
      </c>
      <c r="B512" s="3" t="s">
        <v>355</v>
      </c>
      <c r="C512" s="3" t="s">
        <v>98</v>
      </c>
      <c r="D512" s="15" t="n">
        <v>31285.31</v>
      </c>
    </row>
    <row r="513" customFormat="false" ht="15" hidden="false" customHeight="false" outlineLevel="0" collapsed="false">
      <c r="A513" s="3" t="n">
        <v>2</v>
      </c>
      <c r="B513" s="3" t="s">
        <v>355</v>
      </c>
      <c r="C513" s="3" t="s">
        <v>82</v>
      </c>
      <c r="D513" s="15" t="n">
        <v>21439.95</v>
      </c>
    </row>
    <row r="514" customFormat="false" ht="15" hidden="false" customHeight="false" outlineLevel="0" collapsed="false">
      <c r="A514" s="3" t="n">
        <v>2</v>
      </c>
      <c r="B514" s="3" t="s">
        <v>356</v>
      </c>
      <c r="C514" s="3" t="s">
        <v>103</v>
      </c>
      <c r="D514" s="15" t="n">
        <v>-2152.32</v>
      </c>
    </row>
    <row r="515" customFormat="false" ht="15" hidden="false" customHeight="false" outlineLevel="0" collapsed="false">
      <c r="A515" s="3" t="n">
        <v>2</v>
      </c>
      <c r="B515" s="3" t="s">
        <v>356</v>
      </c>
      <c r="C515" s="3" t="s">
        <v>100</v>
      </c>
      <c r="D515" s="15" t="n">
        <v>14231.29</v>
      </c>
    </row>
    <row r="516" customFormat="false" ht="15" hidden="false" customHeight="false" outlineLevel="0" collapsed="false">
      <c r="A516" s="3" t="n">
        <v>2</v>
      </c>
      <c r="B516" s="3" t="s">
        <v>356</v>
      </c>
      <c r="C516" s="3" t="s">
        <v>99</v>
      </c>
      <c r="D516" s="15" t="n">
        <v>5705.65</v>
      </c>
    </row>
    <row r="517" customFormat="false" ht="15" hidden="false" customHeight="false" outlineLevel="0" collapsed="false">
      <c r="A517" s="3" t="n">
        <v>2</v>
      </c>
      <c r="B517" s="3" t="s">
        <v>356</v>
      </c>
      <c r="C517" s="3" t="s">
        <v>98</v>
      </c>
      <c r="D517" s="15" t="n">
        <v>19915</v>
      </c>
    </row>
    <row r="518" customFormat="false" ht="15" hidden="false" customHeight="false" outlineLevel="0" collapsed="false">
      <c r="A518" s="3" t="n">
        <v>2</v>
      </c>
      <c r="B518" s="3" t="s">
        <v>356</v>
      </c>
      <c r="C518" s="3" t="s">
        <v>82</v>
      </c>
      <c r="D518" s="15" t="n">
        <v>13340.05</v>
      </c>
    </row>
    <row r="519" customFormat="false" ht="15" hidden="false" customHeight="false" outlineLevel="0" collapsed="false">
      <c r="A519" s="3" t="n">
        <v>2</v>
      </c>
      <c r="B519" s="3" t="s">
        <v>357</v>
      </c>
      <c r="C519" s="3" t="s">
        <v>103</v>
      </c>
      <c r="D519" s="15" t="n">
        <v>-500.86</v>
      </c>
    </row>
    <row r="520" customFormat="false" ht="15" hidden="false" customHeight="false" outlineLevel="0" collapsed="false">
      <c r="A520" s="3" t="n">
        <v>2</v>
      </c>
      <c r="B520" s="3" t="s">
        <v>357</v>
      </c>
      <c r="C520" s="3" t="s">
        <v>102</v>
      </c>
      <c r="D520" s="15" t="n">
        <v>300.1</v>
      </c>
    </row>
    <row r="521" customFormat="false" ht="15" hidden="false" customHeight="false" outlineLevel="0" collapsed="false">
      <c r="A521" s="3" t="n">
        <v>2</v>
      </c>
      <c r="B521" s="3" t="s">
        <v>357</v>
      </c>
      <c r="C521" s="3" t="s">
        <v>100</v>
      </c>
      <c r="D521" s="15" t="n">
        <v>3309.73</v>
      </c>
    </row>
    <row r="522" customFormat="false" ht="15" hidden="false" customHeight="false" outlineLevel="0" collapsed="false">
      <c r="A522" s="3" t="n">
        <v>2</v>
      </c>
      <c r="B522" s="3" t="s">
        <v>357</v>
      </c>
      <c r="C522" s="3" t="s">
        <v>99</v>
      </c>
      <c r="D522" s="15" t="n">
        <v>1375.18</v>
      </c>
    </row>
    <row r="523" customFormat="false" ht="15" hidden="false" customHeight="false" outlineLevel="0" collapsed="false">
      <c r="A523" s="3" t="n">
        <v>2</v>
      </c>
      <c r="B523" s="3" t="s">
        <v>357</v>
      </c>
      <c r="C523" s="3" t="s">
        <v>98</v>
      </c>
      <c r="D523" s="15" t="n">
        <v>3983</v>
      </c>
    </row>
    <row r="524" customFormat="false" ht="15" hidden="false" customHeight="false" outlineLevel="0" collapsed="false">
      <c r="A524" s="3" t="n">
        <v>2</v>
      </c>
      <c r="B524" s="3" t="s">
        <v>357</v>
      </c>
      <c r="C524" s="3" t="s">
        <v>82</v>
      </c>
      <c r="D524" s="15" t="n">
        <v>3001.44</v>
      </c>
    </row>
    <row r="525" customFormat="false" ht="15" hidden="false" customHeight="false" outlineLevel="0" collapsed="false">
      <c r="A525" s="3" t="n">
        <v>2</v>
      </c>
      <c r="B525" s="3" t="s">
        <v>358</v>
      </c>
      <c r="C525" s="3" t="s">
        <v>103</v>
      </c>
      <c r="D525" s="15" t="n">
        <v>-1604.04</v>
      </c>
    </row>
    <row r="526" customFormat="false" ht="15" hidden="false" customHeight="false" outlineLevel="0" collapsed="false">
      <c r="A526" s="3" t="n">
        <v>2</v>
      </c>
      <c r="B526" s="3" t="s">
        <v>358</v>
      </c>
      <c r="C526" s="3" t="s">
        <v>102</v>
      </c>
      <c r="D526" s="15" t="n">
        <v>290.98</v>
      </c>
    </row>
    <row r="527" customFormat="false" ht="15" hidden="false" customHeight="false" outlineLevel="0" collapsed="false">
      <c r="A527" s="3" t="n">
        <v>2</v>
      </c>
      <c r="B527" s="3" t="s">
        <v>358</v>
      </c>
      <c r="C527" s="3" t="s">
        <v>100</v>
      </c>
      <c r="D527" s="15" t="n">
        <v>2073.67</v>
      </c>
    </row>
    <row r="528" customFormat="false" ht="15" hidden="false" customHeight="false" outlineLevel="0" collapsed="false">
      <c r="A528" s="3" t="n">
        <v>2</v>
      </c>
      <c r="B528" s="3" t="s">
        <v>358</v>
      </c>
      <c r="C528" s="3" t="s">
        <v>99</v>
      </c>
      <c r="D528" s="15" t="n">
        <v>364.5</v>
      </c>
    </row>
    <row r="529" customFormat="false" ht="15" hidden="false" customHeight="false" outlineLevel="0" collapsed="false">
      <c r="A529" s="3" t="n">
        <v>2</v>
      </c>
      <c r="B529" s="3" t="s">
        <v>358</v>
      </c>
      <c r="C529" s="3" t="s">
        <v>98</v>
      </c>
      <c r="D529" s="15" t="n">
        <v>3620.21</v>
      </c>
    </row>
    <row r="530" customFormat="false" ht="15" hidden="false" customHeight="false" outlineLevel="0" collapsed="false">
      <c r="A530" s="3" t="n">
        <v>2</v>
      </c>
      <c r="B530" s="3" t="s">
        <v>358</v>
      </c>
      <c r="C530" s="3" t="s">
        <v>82</v>
      </c>
      <c r="D530" s="15" t="n">
        <v>1784.72</v>
      </c>
    </row>
    <row r="531" customFormat="false" ht="15" hidden="false" customHeight="false" outlineLevel="0" collapsed="false">
      <c r="A531" s="3" t="n">
        <v>2</v>
      </c>
      <c r="B531" s="3" t="s">
        <v>359</v>
      </c>
      <c r="C531" s="3" t="s">
        <v>103</v>
      </c>
      <c r="D531" s="15" t="n">
        <v>-290.97</v>
      </c>
    </row>
    <row r="532" customFormat="false" ht="15" hidden="false" customHeight="false" outlineLevel="0" collapsed="false">
      <c r="A532" s="3" t="n">
        <v>2</v>
      </c>
      <c r="B532" s="3" t="s">
        <v>359</v>
      </c>
      <c r="C532" s="3" t="s">
        <v>102</v>
      </c>
      <c r="D532" s="15" t="n">
        <v>480</v>
      </c>
    </row>
    <row r="533" customFormat="false" ht="15" hidden="false" customHeight="false" outlineLevel="0" collapsed="false">
      <c r="A533" s="3" t="n">
        <v>2</v>
      </c>
      <c r="B533" s="3" t="s">
        <v>359</v>
      </c>
      <c r="C533" s="3" t="s">
        <v>100</v>
      </c>
      <c r="D533" s="15" t="n">
        <v>11594.82</v>
      </c>
    </row>
    <row r="534" customFormat="false" ht="15" hidden="false" customHeight="false" outlineLevel="0" collapsed="false">
      <c r="A534" s="3" t="n">
        <v>2</v>
      </c>
      <c r="B534" s="3" t="s">
        <v>359</v>
      </c>
      <c r="C534" s="3" t="s">
        <v>98</v>
      </c>
      <c r="D534" s="15" t="n">
        <v>20602</v>
      </c>
    </row>
    <row r="535" customFormat="false" ht="15" hidden="false" customHeight="false" outlineLevel="0" collapsed="false">
      <c r="A535" s="3" t="n">
        <v>2</v>
      </c>
      <c r="B535" s="3" t="s">
        <v>359</v>
      </c>
      <c r="C535" s="3" t="s">
        <v>82</v>
      </c>
      <c r="D535" s="15" t="n">
        <v>11268.24</v>
      </c>
    </row>
    <row r="536" customFormat="false" ht="15" hidden="false" customHeight="false" outlineLevel="0" collapsed="false">
      <c r="A536" s="3" t="n">
        <v>2</v>
      </c>
      <c r="B536" s="3" t="s">
        <v>360</v>
      </c>
      <c r="C536" s="3" t="s">
        <v>100</v>
      </c>
      <c r="D536" s="15" t="n">
        <v>191.89</v>
      </c>
    </row>
    <row r="537" customFormat="false" ht="15" hidden="false" customHeight="false" outlineLevel="0" collapsed="false">
      <c r="A537" s="3" t="n">
        <v>2</v>
      </c>
      <c r="B537" s="3" t="s">
        <v>360</v>
      </c>
      <c r="C537" s="3" t="s">
        <v>98</v>
      </c>
      <c r="D537" s="15" t="n">
        <v>250.33</v>
      </c>
    </row>
    <row r="538" customFormat="false" ht="15" hidden="false" customHeight="false" outlineLevel="0" collapsed="false">
      <c r="A538" s="3" t="n">
        <v>2</v>
      </c>
      <c r="B538" s="3" t="s">
        <v>360</v>
      </c>
      <c r="C538" s="3" t="s">
        <v>82</v>
      </c>
      <c r="D538" s="15" t="n">
        <v>153.27</v>
      </c>
    </row>
    <row r="539" customFormat="false" ht="15" hidden="false" customHeight="false" outlineLevel="0" collapsed="false">
      <c r="A539" s="3" t="n">
        <v>2</v>
      </c>
      <c r="B539" s="3" t="s">
        <v>361</v>
      </c>
      <c r="C539" s="3" t="s">
        <v>103</v>
      </c>
      <c r="D539" s="15" t="n">
        <v>-61.43</v>
      </c>
    </row>
    <row r="540" customFormat="false" ht="15" hidden="false" customHeight="false" outlineLevel="0" collapsed="false">
      <c r="A540" s="3" t="n">
        <v>2</v>
      </c>
      <c r="B540" s="3" t="s">
        <v>361</v>
      </c>
      <c r="C540" s="3" t="s">
        <v>102</v>
      </c>
      <c r="D540" s="15" t="n">
        <v>120</v>
      </c>
    </row>
    <row r="541" customFormat="false" ht="15" hidden="false" customHeight="false" outlineLevel="0" collapsed="false">
      <c r="A541" s="3" t="n">
        <v>2</v>
      </c>
      <c r="B541" s="3" t="s">
        <v>361</v>
      </c>
      <c r="C541" s="3" t="s">
        <v>100</v>
      </c>
      <c r="D541" s="15" t="n">
        <v>2861.73</v>
      </c>
    </row>
    <row r="542" customFormat="false" ht="15" hidden="false" customHeight="false" outlineLevel="0" collapsed="false">
      <c r="A542" s="3" t="n">
        <v>2</v>
      </c>
      <c r="B542" s="3" t="s">
        <v>361</v>
      </c>
      <c r="C542" s="3" t="s">
        <v>98</v>
      </c>
      <c r="D542" s="15" t="n">
        <v>5084.8</v>
      </c>
    </row>
    <row r="543" customFormat="false" ht="15" hidden="false" customHeight="false" outlineLevel="0" collapsed="false">
      <c r="A543" s="3" t="n">
        <v>2</v>
      </c>
      <c r="B543" s="3" t="s">
        <v>361</v>
      </c>
      <c r="C543" s="3" t="s">
        <v>82</v>
      </c>
      <c r="D543" s="15" t="n">
        <v>2783.69</v>
      </c>
    </row>
    <row r="544" customFormat="false" ht="15" hidden="false" customHeight="false" outlineLevel="0" collapsed="false">
      <c r="A544" s="3" t="n">
        <v>2</v>
      </c>
      <c r="B544" s="3" t="s">
        <v>362</v>
      </c>
      <c r="C544" s="3" t="s">
        <v>103</v>
      </c>
      <c r="D544" s="15" t="n">
        <v>-677.2</v>
      </c>
    </row>
    <row r="545" customFormat="false" ht="15" hidden="false" customHeight="false" outlineLevel="0" collapsed="false">
      <c r="A545" s="3" t="n">
        <v>2</v>
      </c>
      <c r="B545" s="3" t="s">
        <v>362</v>
      </c>
      <c r="C545" s="3" t="s">
        <v>102</v>
      </c>
      <c r="D545" s="15" t="n">
        <v>1080</v>
      </c>
    </row>
    <row r="546" customFormat="false" ht="15" hidden="false" customHeight="false" outlineLevel="0" collapsed="false">
      <c r="A546" s="3" t="n">
        <v>2</v>
      </c>
      <c r="B546" s="3" t="s">
        <v>362</v>
      </c>
      <c r="C546" s="3" t="s">
        <v>100</v>
      </c>
      <c r="D546" s="15" t="n">
        <v>20915.45</v>
      </c>
    </row>
    <row r="547" customFormat="false" ht="15" hidden="false" customHeight="false" outlineLevel="0" collapsed="false">
      <c r="A547" s="3" t="n">
        <v>2</v>
      </c>
      <c r="B547" s="3" t="s">
        <v>362</v>
      </c>
      <c r="C547" s="3" t="s">
        <v>98</v>
      </c>
      <c r="D547" s="15" t="n">
        <v>37171.2</v>
      </c>
    </row>
    <row r="548" customFormat="false" ht="15" hidden="false" customHeight="false" outlineLevel="0" collapsed="false">
      <c r="A548" s="3" t="n">
        <v>2</v>
      </c>
      <c r="B548" s="3" t="s">
        <v>362</v>
      </c>
      <c r="C548" s="3" t="s">
        <v>82</v>
      </c>
      <c r="D548" s="15" t="n">
        <v>20372.27</v>
      </c>
    </row>
    <row r="549" customFormat="false" ht="15" hidden="false" customHeight="false" outlineLevel="0" collapsed="false">
      <c r="A549" s="3" t="n">
        <v>2</v>
      </c>
      <c r="B549" s="3" t="s">
        <v>363</v>
      </c>
      <c r="C549" s="3" t="s">
        <v>103</v>
      </c>
      <c r="D549" s="15" t="n">
        <v>-64.9</v>
      </c>
    </row>
    <row r="550" customFormat="false" ht="15" hidden="false" customHeight="false" outlineLevel="0" collapsed="false">
      <c r="A550" s="3" t="n">
        <v>2</v>
      </c>
      <c r="B550" s="3" t="s">
        <v>363</v>
      </c>
      <c r="C550" s="3" t="s">
        <v>100</v>
      </c>
      <c r="D550" s="15" t="n">
        <v>3369.07</v>
      </c>
    </row>
    <row r="551" customFormat="false" ht="15" hidden="false" customHeight="false" outlineLevel="0" collapsed="false">
      <c r="A551" s="3" t="n">
        <v>2</v>
      </c>
      <c r="B551" s="3" t="s">
        <v>363</v>
      </c>
      <c r="C551" s="3" t="s">
        <v>99</v>
      </c>
      <c r="D551" s="15" t="n">
        <v>636.28</v>
      </c>
    </row>
    <row r="552" customFormat="false" ht="15" hidden="false" customHeight="false" outlineLevel="0" collapsed="false">
      <c r="A552" s="3" t="n">
        <v>2</v>
      </c>
      <c r="B552" s="3" t="s">
        <v>363</v>
      </c>
      <c r="C552" s="3" t="s">
        <v>98</v>
      </c>
      <c r="D552" s="15" t="n">
        <v>5350</v>
      </c>
    </row>
    <row r="553" customFormat="false" ht="15" hidden="false" customHeight="false" outlineLevel="0" collapsed="false">
      <c r="A553" s="3" t="n">
        <v>2</v>
      </c>
      <c r="B553" s="3" t="s">
        <v>363</v>
      </c>
      <c r="C553" s="3" t="s">
        <v>82</v>
      </c>
      <c r="D553" s="15" t="n">
        <v>2795.22</v>
      </c>
    </row>
    <row r="554" customFormat="false" ht="15" hidden="false" customHeight="false" outlineLevel="0" collapsed="false">
      <c r="A554" s="3" t="n">
        <v>2</v>
      </c>
      <c r="B554" s="3" t="s">
        <v>364</v>
      </c>
      <c r="C554" s="3" t="s">
        <v>103</v>
      </c>
      <c r="D554" s="15" t="n">
        <v>-284.36</v>
      </c>
    </row>
    <row r="555" customFormat="false" ht="15" hidden="false" customHeight="false" outlineLevel="0" collapsed="false">
      <c r="A555" s="3" t="n">
        <v>2</v>
      </c>
      <c r="B555" s="3" t="s">
        <v>364</v>
      </c>
      <c r="C555" s="3" t="s">
        <v>102</v>
      </c>
      <c r="D555" s="15" t="n">
        <v>480</v>
      </c>
    </row>
    <row r="556" customFormat="false" ht="15" hidden="false" customHeight="false" outlineLevel="0" collapsed="false">
      <c r="A556" s="3" t="n">
        <v>2</v>
      </c>
      <c r="B556" s="3" t="s">
        <v>364</v>
      </c>
      <c r="C556" s="3" t="s">
        <v>100</v>
      </c>
      <c r="D556" s="15" t="n">
        <v>10309.38</v>
      </c>
    </row>
    <row r="557" customFormat="false" ht="15" hidden="false" customHeight="false" outlineLevel="0" collapsed="false">
      <c r="A557" s="3" t="n">
        <v>2</v>
      </c>
      <c r="B557" s="3" t="s">
        <v>364</v>
      </c>
      <c r="C557" s="3" t="s">
        <v>98</v>
      </c>
      <c r="D557" s="15" t="n">
        <v>18318</v>
      </c>
    </row>
    <row r="558" customFormat="false" ht="15" hidden="false" customHeight="false" outlineLevel="0" collapsed="false">
      <c r="A558" s="3" t="n">
        <v>2</v>
      </c>
      <c r="B558" s="3" t="s">
        <v>364</v>
      </c>
      <c r="C558" s="3" t="s">
        <v>82</v>
      </c>
      <c r="D558" s="15" t="n">
        <v>8684.08</v>
      </c>
    </row>
    <row r="559" customFormat="false" ht="15" hidden="false" customHeight="false" outlineLevel="0" collapsed="false">
      <c r="A559" s="3" t="n">
        <v>2</v>
      </c>
      <c r="B559" s="3" t="s">
        <v>365</v>
      </c>
      <c r="C559" s="3" t="s">
        <v>101</v>
      </c>
      <c r="D559" s="15" t="n">
        <v>59150.2</v>
      </c>
    </row>
    <row r="560" customFormat="false" ht="15" hidden="false" customHeight="false" outlineLevel="0" collapsed="false">
      <c r="A560" s="3" t="n">
        <v>2</v>
      </c>
      <c r="B560" s="3" t="s">
        <v>365</v>
      </c>
      <c r="C560" s="3" t="s">
        <v>102</v>
      </c>
      <c r="D560" s="15" t="n">
        <v>8129</v>
      </c>
    </row>
    <row r="561" customFormat="false" ht="15" hidden="false" customHeight="false" outlineLevel="0" collapsed="false">
      <c r="A561" s="3" t="n">
        <v>2</v>
      </c>
      <c r="B561" s="3" t="s">
        <v>366</v>
      </c>
      <c r="C561" s="3" t="s">
        <v>102</v>
      </c>
      <c r="D561" s="15" t="n">
        <v>4926.26</v>
      </c>
    </row>
    <row r="562" customFormat="false" ht="15" hidden="false" customHeight="false" outlineLevel="0" collapsed="false">
      <c r="A562" s="3" t="n">
        <v>2</v>
      </c>
      <c r="B562" s="3" t="s">
        <v>367</v>
      </c>
      <c r="C562" s="3" t="s">
        <v>101</v>
      </c>
      <c r="D562" s="15" t="n">
        <v>192909.64</v>
      </c>
    </row>
    <row r="563" customFormat="false" ht="15" hidden="false" customHeight="false" outlineLevel="0" collapsed="false">
      <c r="A563" s="3" t="n">
        <v>2</v>
      </c>
      <c r="B563" s="3" t="s">
        <v>367</v>
      </c>
      <c r="C563" s="3" t="s">
        <v>102</v>
      </c>
      <c r="D563" s="15" t="n">
        <v>23971.4</v>
      </c>
    </row>
    <row r="564" customFormat="false" ht="15" hidden="false" customHeight="false" outlineLevel="0" collapsed="false">
      <c r="A564" s="3" t="n">
        <v>2</v>
      </c>
      <c r="B564" s="3" t="s">
        <v>368</v>
      </c>
      <c r="C564" s="3" t="s">
        <v>102</v>
      </c>
      <c r="D564" s="15" t="n">
        <v>15212.35</v>
      </c>
    </row>
    <row r="565" customFormat="false" ht="15" hidden="false" customHeight="false" outlineLevel="0" collapsed="false">
      <c r="A565" s="3" t="n">
        <v>2</v>
      </c>
      <c r="B565" s="3" t="s">
        <v>369</v>
      </c>
      <c r="C565" s="3" t="s">
        <v>101</v>
      </c>
      <c r="D565" s="15" t="n">
        <v>1354.02</v>
      </c>
    </row>
    <row r="566" customFormat="false" ht="15" hidden="false" customHeight="false" outlineLevel="0" collapsed="false">
      <c r="A566" s="3" t="n">
        <v>2</v>
      </c>
      <c r="B566" s="3" t="s">
        <v>370</v>
      </c>
      <c r="C566" s="3" t="s">
        <v>101</v>
      </c>
      <c r="D566" s="15" t="n">
        <v>38764.44</v>
      </c>
    </row>
    <row r="567" customFormat="false" ht="15" hidden="false" customHeight="false" outlineLevel="0" collapsed="false">
      <c r="A567" s="3" t="n">
        <v>2</v>
      </c>
      <c r="B567" s="3" t="s">
        <v>370</v>
      </c>
      <c r="C567" s="3" t="s">
        <v>102</v>
      </c>
      <c r="D567" s="15" t="n">
        <v>3226.33</v>
      </c>
    </row>
    <row r="568" customFormat="false" ht="15" hidden="false" customHeight="false" outlineLevel="0" collapsed="false">
      <c r="A568" s="3" t="n">
        <v>2</v>
      </c>
      <c r="B568" s="3" t="s">
        <v>371</v>
      </c>
      <c r="C568" s="3" t="s">
        <v>101</v>
      </c>
      <c r="D568" s="15" t="n">
        <v>11828.9</v>
      </c>
    </row>
    <row r="569" customFormat="false" ht="15" hidden="false" customHeight="false" outlineLevel="0" collapsed="false">
      <c r="A569" s="3" t="n">
        <v>2</v>
      </c>
      <c r="B569" s="3" t="s">
        <v>371</v>
      </c>
      <c r="C569" s="3" t="s">
        <v>102</v>
      </c>
      <c r="D569" s="15" t="n">
        <v>1185.5</v>
      </c>
    </row>
    <row r="570" customFormat="false" ht="15" hidden="false" customHeight="false" outlineLevel="0" collapsed="false">
      <c r="A570" s="3" t="n">
        <v>2</v>
      </c>
      <c r="B570" s="3" t="s">
        <v>372</v>
      </c>
      <c r="C570" s="3" t="s">
        <v>101</v>
      </c>
      <c r="D570" s="15" t="n">
        <v>1260.02</v>
      </c>
    </row>
    <row r="571" customFormat="false" ht="15" hidden="false" customHeight="false" outlineLevel="0" collapsed="false">
      <c r="A571" s="3" t="n">
        <v>2</v>
      </c>
      <c r="B571" s="3" t="s">
        <v>372</v>
      </c>
      <c r="C571" s="3" t="s">
        <v>102</v>
      </c>
      <c r="D571" s="15" t="n">
        <v>10.5</v>
      </c>
    </row>
    <row r="572" customFormat="false" ht="15" hidden="false" customHeight="false" outlineLevel="0" collapsed="false">
      <c r="A572" s="3" t="n">
        <v>2</v>
      </c>
      <c r="B572" s="3" t="s">
        <v>373</v>
      </c>
      <c r="C572" s="3" t="s">
        <v>101</v>
      </c>
      <c r="D572" s="15" t="n">
        <v>1748.19</v>
      </c>
    </row>
    <row r="573" customFormat="false" ht="15" hidden="false" customHeight="false" outlineLevel="0" collapsed="false">
      <c r="A573" s="3" t="n">
        <v>2</v>
      </c>
      <c r="B573" s="3" t="s">
        <v>373</v>
      </c>
      <c r="C573" s="3" t="s">
        <v>102</v>
      </c>
      <c r="D573" s="15" t="n">
        <v>91</v>
      </c>
    </row>
    <row r="574" customFormat="false" ht="15" hidden="false" customHeight="false" outlineLevel="0" collapsed="false">
      <c r="A574" s="3" t="n">
        <v>2</v>
      </c>
      <c r="B574" s="3" t="s">
        <v>374</v>
      </c>
      <c r="C574" s="3" t="s">
        <v>101</v>
      </c>
      <c r="D574" s="15" t="n">
        <v>6414.2</v>
      </c>
    </row>
    <row r="575" customFormat="false" ht="15" hidden="false" customHeight="false" outlineLevel="0" collapsed="false">
      <c r="A575" s="3" t="n">
        <v>2</v>
      </c>
      <c r="B575" s="3" t="s">
        <v>374</v>
      </c>
      <c r="C575" s="3" t="s">
        <v>102</v>
      </c>
      <c r="D575" s="15" t="n">
        <v>24.5</v>
      </c>
    </row>
    <row r="576" customFormat="false" ht="15" hidden="false" customHeight="false" outlineLevel="0" collapsed="false">
      <c r="A576" s="3" t="n">
        <v>2</v>
      </c>
      <c r="B576" s="3" t="s">
        <v>375</v>
      </c>
      <c r="C576" s="3" t="s">
        <v>101</v>
      </c>
      <c r="D576" s="15" t="n">
        <v>16476.03</v>
      </c>
    </row>
    <row r="577" customFormat="false" ht="15" hidden="false" customHeight="false" outlineLevel="0" collapsed="false">
      <c r="A577" s="3" t="n">
        <v>2</v>
      </c>
      <c r="B577" s="3" t="s">
        <v>375</v>
      </c>
      <c r="C577" s="3" t="s">
        <v>102</v>
      </c>
      <c r="D577" s="15" t="n">
        <v>410</v>
      </c>
    </row>
    <row r="578" customFormat="false" ht="15" hidden="false" customHeight="false" outlineLevel="0" collapsed="false">
      <c r="A578" s="3" t="n">
        <v>2</v>
      </c>
      <c r="B578" s="3" t="s">
        <v>376</v>
      </c>
      <c r="C578" s="3" t="s">
        <v>101</v>
      </c>
      <c r="D578" s="15" t="n">
        <v>5499.6</v>
      </c>
    </row>
    <row r="579" customFormat="false" ht="15" hidden="false" customHeight="false" outlineLevel="0" collapsed="false">
      <c r="A579" s="3" t="n">
        <v>2</v>
      </c>
      <c r="B579" s="3" t="s">
        <v>376</v>
      </c>
      <c r="C579" s="3" t="s">
        <v>102</v>
      </c>
      <c r="D579" s="15" t="n">
        <v>174.5</v>
      </c>
    </row>
    <row r="580" customFormat="false" ht="15" hidden="false" customHeight="false" outlineLevel="0" collapsed="false">
      <c r="A580" s="3" t="n">
        <v>2</v>
      </c>
      <c r="B580" s="3" t="s">
        <v>377</v>
      </c>
      <c r="C580" s="3" t="s">
        <v>101</v>
      </c>
      <c r="D580" s="15" t="n">
        <v>10459.43</v>
      </c>
    </row>
    <row r="581" customFormat="false" ht="15" hidden="false" customHeight="false" outlineLevel="0" collapsed="false">
      <c r="A581" s="3" t="n">
        <v>2</v>
      </c>
      <c r="B581" s="3" t="s">
        <v>377</v>
      </c>
      <c r="C581" s="3" t="s">
        <v>102</v>
      </c>
      <c r="D581" s="15" t="n">
        <v>438</v>
      </c>
    </row>
    <row r="582" customFormat="false" ht="15" hidden="false" customHeight="false" outlineLevel="0" collapsed="false">
      <c r="A582" s="3" t="n">
        <v>2</v>
      </c>
      <c r="B582" s="3" t="s">
        <v>378</v>
      </c>
      <c r="C582" s="3" t="s">
        <v>101</v>
      </c>
      <c r="D582" s="15" t="n">
        <v>3450.4</v>
      </c>
    </row>
    <row r="583" customFormat="false" ht="15" hidden="false" customHeight="false" outlineLevel="0" collapsed="false">
      <c r="A583" s="3" t="n">
        <v>2</v>
      </c>
      <c r="B583" s="3" t="s">
        <v>378</v>
      </c>
      <c r="C583" s="3" t="s">
        <v>102</v>
      </c>
      <c r="D583" s="15" t="n">
        <v>14</v>
      </c>
    </row>
    <row r="584" customFormat="false" ht="15" hidden="false" customHeight="false" outlineLevel="0" collapsed="false">
      <c r="A584" s="3" t="n">
        <v>2</v>
      </c>
      <c r="B584" s="3" t="s">
        <v>379</v>
      </c>
      <c r="C584" s="3" t="s">
        <v>101</v>
      </c>
      <c r="D584" s="15" t="n">
        <v>14105.52</v>
      </c>
    </row>
    <row r="585" customFormat="false" ht="15" hidden="false" customHeight="false" outlineLevel="0" collapsed="false">
      <c r="A585" s="3" t="n">
        <v>2</v>
      </c>
      <c r="B585" s="3" t="s">
        <v>379</v>
      </c>
      <c r="C585" s="3" t="s">
        <v>102</v>
      </c>
      <c r="D585" s="15" t="n">
        <v>431.5</v>
      </c>
    </row>
    <row r="586" customFormat="false" ht="15" hidden="false" customHeight="false" outlineLevel="0" collapsed="false">
      <c r="A586" s="3" t="n">
        <v>2</v>
      </c>
      <c r="B586" s="3" t="s">
        <v>380</v>
      </c>
      <c r="C586" s="3" t="s">
        <v>101</v>
      </c>
      <c r="D586" s="15" t="n">
        <v>9537.35</v>
      </c>
    </row>
    <row r="587" customFormat="false" ht="15" hidden="false" customHeight="false" outlineLevel="0" collapsed="false">
      <c r="A587" s="3" t="n">
        <v>2</v>
      </c>
      <c r="B587" s="3" t="s">
        <v>380</v>
      </c>
      <c r="C587" s="3" t="s">
        <v>102</v>
      </c>
      <c r="D587" s="15" t="n">
        <v>42741.33</v>
      </c>
    </row>
    <row r="588" customFormat="false" ht="15" hidden="false" customHeight="false" outlineLevel="0" collapsed="false">
      <c r="A588" s="3" t="n">
        <v>2</v>
      </c>
      <c r="B588" s="3" t="s">
        <v>381</v>
      </c>
      <c r="C588" s="3" t="s">
        <v>101</v>
      </c>
      <c r="D588" s="15" t="n">
        <v>17637.5</v>
      </c>
    </row>
    <row r="589" customFormat="false" ht="15" hidden="false" customHeight="false" outlineLevel="0" collapsed="false">
      <c r="A589" s="3" t="n">
        <v>2</v>
      </c>
      <c r="B589" s="3" t="s">
        <v>381</v>
      </c>
      <c r="C589" s="3" t="s">
        <v>102</v>
      </c>
      <c r="D589" s="15" t="n">
        <v>33345.11</v>
      </c>
    </row>
    <row r="590" customFormat="false" ht="15" hidden="false" customHeight="false" outlineLevel="0" collapsed="false">
      <c r="A590" s="3" t="n">
        <v>2</v>
      </c>
      <c r="B590" s="3" t="s">
        <v>382</v>
      </c>
      <c r="C590" s="3" t="s">
        <v>101</v>
      </c>
      <c r="D590" s="15" t="n">
        <v>2026.72</v>
      </c>
    </row>
    <row r="591" customFormat="false" ht="15" hidden="false" customHeight="false" outlineLevel="0" collapsed="false">
      <c r="A591" s="3" t="n">
        <v>2</v>
      </c>
      <c r="B591" s="3" t="s">
        <v>382</v>
      </c>
      <c r="C591" s="3" t="s">
        <v>102</v>
      </c>
      <c r="D591" s="15" t="n">
        <v>61</v>
      </c>
    </row>
    <row r="592" customFormat="false" ht="15" hidden="false" customHeight="false" outlineLevel="0" collapsed="false">
      <c r="A592" s="3" t="n">
        <v>2</v>
      </c>
      <c r="B592" s="3" t="s">
        <v>383</v>
      </c>
      <c r="C592" s="3" t="s">
        <v>101</v>
      </c>
      <c r="D592" s="15" t="n">
        <v>2332.91</v>
      </c>
    </row>
    <row r="593" customFormat="false" ht="15" hidden="false" customHeight="false" outlineLevel="0" collapsed="false">
      <c r="A593" s="3" t="n">
        <v>2</v>
      </c>
      <c r="B593" s="3" t="s">
        <v>383</v>
      </c>
      <c r="C593" s="3" t="s">
        <v>102</v>
      </c>
      <c r="D593" s="15" t="n">
        <v>174</v>
      </c>
    </row>
    <row r="594" customFormat="false" ht="15" hidden="false" customHeight="false" outlineLevel="0" collapsed="false">
      <c r="A594" s="3" t="n">
        <v>2</v>
      </c>
      <c r="B594" s="3" t="s">
        <v>384</v>
      </c>
      <c r="C594" s="3" t="s">
        <v>101</v>
      </c>
      <c r="D594" s="15" t="n">
        <v>5608.03</v>
      </c>
    </row>
    <row r="595" customFormat="false" ht="15" hidden="false" customHeight="false" outlineLevel="0" collapsed="false">
      <c r="A595" s="3" t="n">
        <v>2</v>
      </c>
      <c r="B595" s="3" t="s">
        <v>384</v>
      </c>
      <c r="C595" s="3" t="s">
        <v>102</v>
      </c>
      <c r="D595" s="15" t="n">
        <v>444</v>
      </c>
    </row>
    <row r="596" customFormat="false" ht="15" hidden="false" customHeight="false" outlineLevel="0" collapsed="false">
      <c r="A596" s="3" t="n">
        <v>2</v>
      </c>
      <c r="B596" s="3" t="s">
        <v>385</v>
      </c>
      <c r="C596" s="3" t="s">
        <v>101</v>
      </c>
      <c r="D596" s="15" t="n">
        <v>1653.2</v>
      </c>
    </row>
    <row r="597" customFormat="false" ht="15" hidden="false" customHeight="false" outlineLevel="0" collapsed="false">
      <c r="A597" s="3" t="n">
        <v>2</v>
      </c>
      <c r="B597" s="3" t="s">
        <v>385</v>
      </c>
      <c r="C597" s="3" t="s">
        <v>102</v>
      </c>
      <c r="D597" s="15" t="n">
        <v>31</v>
      </c>
    </row>
    <row r="598" customFormat="false" ht="15" hidden="false" customHeight="false" outlineLevel="0" collapsed="false">
      <c r="A598" s="3" t="n">
        <v>2</v>
      </c>
      <c r="B598" s="3" t="s">
        <v>386</v>
      </c>
      <c r="C598" s="3" t="s">
        <v>101</v>
      </c>
      <c r="D598" s="15" t="n">
        <v>826.6</v>
      </c>
    </row>
    <row r="599" customFormat="false" ht="15" hidden="false" customHeight="false" outlineLevel="0" collapsed="false">
      <c r="A599" s="3" t="n">
        <v>2</v>
      </c>
      <c r="B599" s="3" t="s">
        <v>386</v>
      </c>
      <c r="C599" s="3" t="s">
        <v>102</v>
      </c>
      <c r="D599" s="15" t="n">
        <v>3.5</v>
      </c>
    </row>
    <row r="600" customFormat="false" ht="15" hidden="false" customHeight="false" outlineLevel="0" collapsed="false">
      <c r="A600" s="3" t="n">
        <v>2</v>
      </c>
      <c r="B600" s="3" t="s">
        <v>387</v>
      </c>
      <c r="C600" s="3" t="s">
        <v>101</v>
      </c>
      <c r="D600" s="15" t="n">
        <v>5055.6</v>
      </c>
    </row>
    <row r="601" customFormat="false" ht="15" hidden="false" customHeight="false" outlineLevel="0" collapsed="false">
      <c r="A601" s="3" t="n">
        <v>2</v>
      </c>
      <c r="B601" s="3" t="s">
        <v>387</v>
      </c>
      <c r="C601" s="3" t="s">
        <v>102</v>
      </c>
      <c r="D601" s="15" t="n">
        <v>31.5</v>
      </c>
    </row>
    <row r="602" customFormat="false" ht="15" hidden="false" customHeight="false" outlineLevel="0" collapsed="false">
      <c r="A602" s="3" t="n">
        <v>2</v>
      </c>
      <c r="B602" s="3" t="s">
        <v>388</v>
      </c>
      <c r="C602" s="3" t="s">
        <v>101</v>
      </c>
      <c r="D602" s="15" t="n">
        <v>3606.4</v>
      </c>
    </row>
    <row r="603" customFormat="false" ht="15" hidden="false" customHeight="false" outlineLevel="0" collapsed="false">
      <c r="A603" s="3" t="n">
        <v>2</v>
      </c>
      <c r="B603" s="3" t="s">
        <v>388</v>
      </c>
      <c r="C603" s="3" t="s">
        <v>102</v>
      </c>
      <c r="D603" s="15" t="n">
        <v>21</v>
      </c>
    </row>
    <row r="604" customFormat="false" ht="15" hidden="false" customHeight="false" outlineLevel="0" collapsed="false">
      <c r="A604" s="3" t="n">
        <v>2</v>
      </c>
      <c r="B604" s="3" t="s">
        <v>389</v>
      </c>
      <c r="C604" s="3" t="s">
        <v>101</v>
      </c>
      <c r="D604" s="15" t="n">
        <v>1933.2</v>
      </c>
    </row>
    <row r="605" customFormat="false" ht="15" hidden="false" customHeight="false" outlineLevel="0" collapsed="false">
      <c r="A605" s="3" t="n">
        <v>2</v>
      </c>
      <c r="B605" s="3" t="s">
        <v>389</v>
      </c>
      <c r="C605" s="3" t="s">
        <v>102</v>
      </c>
      <c r="D605" s="15" t="n">
        <v>7</v>
      </c>
    </row>
    <row r="606" customFormat="false" ht="15" hidden="false" customHeight="false" outlineLevel="0" collapsed="false">
      <c r="A606" s="3" t="n">
        <v>2</v>
      </c>
      <c r="B606" s="3" t="s">
        <v>390</v>
      </c>
      <c r="C606" s="3" t="s">
        <v>101</v>
      </c>
      <c r="D606" s="15" t="n">
        <v>1853.2</v>
      </c>
    </row>
    <row r="607" customFormat="false" ht="15" hidden="false" customHeight="false" outlineLevel="0" collapsed="false">
      <c r="A607" s="3" t="n">
        <v>2</v>
      </c>
      <c r="B607" s="3" t="s">
        <v>390</v>
      </c>
      <c r="C607" s="3" t="s">
        <v>102</v>
      </c>
      <c r="D607" s="15" t="n">
        <v>7</v>
      </c>
    </row>
    <row r="608" customFormat="false" ht="15" hidden="false" customHeight="false" outlineLevel="0" collapsed="false">
      <c r="A608" s="3" t="n">
        <v>2</v>
      </c>
      <c r="B608" s="3" t="s">
        <v>391</v>
      </c>
      <c r="C608" s="3" t="s">
        <v>101</v>
      </c>
      <c r="D608" s="15" t="n">
        <v>2579.3</v>
      </c>
    </row>
    <row r="609" customFormat="false" ht="15" hidden="false" customHeight="false" outlineLevel="0" collapsed="false">
      <c r="A609" s="3" t="n">
        <v>2</v>
      </c>
      <c r="B609" s="3" t="s">
        <v>391</v>
      </c>
      <c r="C609" s="3" t="s">
        <v>102</v>
      </c>
      <c r="D609" s="15" t="n">
        <v>10.5</v>
      </c>
    </row>
    <row r="610" customFormat="false" ht="15" hidden="false" customHeight="false" outlineLevel="0" collapsed="false">
      <c r="A610" s="3" t="n">
        <v>2</v>
      </c>
      <c r="B610" s="3" t="s">
        <v>392</v>
      </c>
      <c r="C610" s="3" t="s">
        <v>101</v>
      </c>
      <c r="D610" s="15" t="n">
        <v>3322.4</v>
      </c>
    </row>
    <row r="611" customFormat="false" ht="15" hidden="false" customHeight="false" outlineLevel="0" collapsed="false">
      <c r="A611" s="3" t="n">
        <v>2</v>
      </c>
      <c r="B611" s="3" t="s">
        <v>392</v>
      </c>
      <c r="C611" s="3" t="s">
        <v>102</v>
      </c>
      <c r="D611" s="15" t="n">
        <v>21</v>
      </c>
    </row>
    <row r="612" customFormat="false" ht="15" hidden="false" customHeight="false" outlineLevel="0" collapsed="false">
      <c r="A612" s="3" t="n">
        <v>2</v>
      </c>
      <c r="B612" s="3" t="s">
        <v>393</v>
      </c>
      <c r="C612" s="3" t="s">
        <v>101</v>
      </c>
      <c r="D612" s="15" t="n">
        <v>4277.73</v>
      </c>
    </row>
    <row r="613" customFormat="false" ht="15" hidden="false" customHeight="false" outlineLevel="0" collapsed="false">
      <c r="A613" s="3" t="n">
        <v>2</v>
      </c>
      <c r="B613" s="3" t="s">
        <v>393</v>
      </c>
      <c r="C613" s="3" t="s">
        <v>102</v>
      </c>
      <c r="D613" s="15" t="n">
        <v>106</v>
      </c>
    </row>
    <row r="614" customFormat="false" ht="15" hidden="false" customHeight="false" outlineLevel="0" collapsed="false">
      <c r="A614" s="3" t="n">
        <v>2</v>
      </c>
      <c r="B614" s="3" t="s">
        <v>394</v>
      </c>
      <c r="C614" s="3" t="s">
        <v>101</v>
      </c>
      <c r="D614" s="15" t="n">
        <v>3329.74</v>
      </c>
    </row>
    <row r="615" customFormat="false" ht="15" hidden="false" customHeight="false" outlineLevel="0" collapsed="false">
      <c r="A615" s="3" t="n">
        <v>2</v>
      </c>
      <c r="B615" s="3" t="s">
        <v>394</v>
      </c>
      <c r="C615" s="3" t="s">
        <v>102</v>
      </c>
      <c r="D615" s="15" t="n">
        <v>26</v>
      </c>
    </row>
    <row r="616" customFormat="false" ht="15" hidden="false" customHeight="false" outlineLevel="0" collapsed="false">
      <c r="A616" s="3" t="n">
        <v>2</v>
      </c>
      <c r="B616" s="3" t="s">
        <v>395</v>
      </c>
      <c r="C616" s="3" t="s">
        <v>101</v>
      </c>
      <c r="D616" s="15" t="n">
        <v>4578.98</v>
      </c>
    </row>
    <row r="617" customFormat="false" ht="15" hidden="false" customHeight="false" outlineLevel="0" collapsed="false">
      <c r="A617" s="3" t="n">
        <v>2</v>
      </c>
      <c r="B617" s="3" t="s">
        <v>395</v>
      </c>
      <c r="C617" s="3" t="s">
        <v>102</v>
      </c>
      <c r="D617" s="15" t="n">
        <v>166</v>
      </c>
    </row>
    <row r="618" customFormat="false" ht="15" hidden="false" customHeight="false" outlineLevel="0" collapsed="false">
      <c r="A618" s="3" t="n">
        <v>2</v>
      </c>
      <c r="B618" s="3" t="s">
        <v>396</v>
      </c>
      <c r="C618" s="3" t="s">
        <v>101</v>
      </c>
      <c r="D618" s="15" t="n">
        <v>2658</v>
      </c>
    </row>
    <row r="619" customFormat="false" ht="15" hidden="false" customHeight="false" outlineLevel="0" collapsed="false">
      <c r="A619" s="3" t="n">
        <v>2</v>
      </c>
      <c r="B619" s="3" t="s">
        <v>396</v>
      </c>
      <c r="C619" s="3" t="s">
        <v>102</v>
      </c>
      <c r="D619" s="15" t="n">
        <v>3.5</v>
      </c>
    </row>
    <row r="620" customFormat="false" ht="15" hidden="false" customHeight="false" outlineLevel="0" collapsed="false">
      <c r="A620" s="3" t="n">
        <v>2</v>
      </c>
      <c r="B620" s="3" t="s">
        <v>397</v>
      </c>
      <c r="C620" s="3" t="s">
        <v>101</v>
      </c>
      <c r="D620" s="15" t="n">
        <v>7637.55</v>
      </c>
    </row>
    <row r="621" customFormat="false" ht="15" hidden="false" customHeight="false" outlineLevel="0" collapsed="false">
      <c r="A621" s="3" t="n">
        <v>2</v>
      </c>
      <c r="B621" s="3" t="s">
        <v>397</v>
      </c>
      <c r="C621" s="3" t="s">
        <v>102</v>
      </c>
      <c r="D621" s="15" t="n">
        <v>10973.82</v>
      </c>
    </row>
    <row r="622" customFormat="false" ht="15" hidden="false" customHeight="false" outlineLevel="0" collapsed="false">
      <c r="A622" s="3" t="n">
        <v>2</v>
      </c>
      <c r="B622" s="3" t="s">
        <v>398</v>
      </c>
      <c r="C622" s="3" t="s">
        <v>101</v>
      </c>
      <c r="D622" s="15" t="n">
        <v>5508.3</v>
      </c>
    </row>
    <row r="623" customFormat="false" ht="15" hidden="false" customHeight="false" outlineLevel="0" collapsed="false">
      <c r="A623" s="3" t="n">
        <v>2</v>
      </c>
      <c r="B623" s="3" t="s">
        <v>398</v>
      </c>
      <c r="C623" s="3" t="s">
        <v>102</v>
      </c>
      <c r="D623" s="15" t="n">
        <v>129.9</v>
      </c>
    </row>
    <row r="624" customFormat="false" ht="15" hidden="false" customHeight="false" outlineLevel="0" collapsed="false">
      <c r="A624" s="3" t="n">
        <v>2</v>
      </c>
      <c r="B624" s="3" t="s">
        <v>399</v>
      </c>
      <c r="C624" s="3" t="s">
        <v>101</v>
      </c>
      <c r="D624" s="15" t="n">
        <v>18507.01</v>
      </c>
    </row>
    <row r="625" customFormat="false" ht="15" hidden="false" customHeight="false" outlineLevel="0" collapsed="false">
      <c r="A625" s="3" t="n">
        <v>2</v>
      </c>
      <c r="B625" s="3" t="s">
        <v>399</v>
      </c>
      <c r="C625" s="3" t="s">
        <v>102</v>
      </c>
      <c r="D625" s="15" t="n">
        <v>960</v>
      </c>
    </row>
    <row r="626" customFormat="false" ht="15" hidden="false" customHeight="false" outlineLevel="0" collapsed="false">
      <c r="A626" s="3" t="n">
        <v>2</v>
      </c>
      <c r="B626" s="3" t="s">
        <v>400</v>
      </c>
      <c r="C626" s="3" t="s">
        <v>101</v>
      </c>
      <c r="D626" s="15" t="n">
        <v>648.61</v>
      </c>
    </row>
    <row r="627" customFormat="false" ht="15" hidden="false" customHeight="false" outlineLevel="0" collapsed="false">
      <c r="A627" s="3" t="n">
        <v>2</v>
      </c>
      <c r="B627" s="3" t="s">
        <v>400</v>
      </c>
      <c r="C627" s="3" t="s">
        <v>102</v>
      </c>
      <c r="D627" s="15" t="n">
        <v>1945.33</v>
      </c>
    </row>
    <row r="628" customFormat="false" ht="15" hidden="false" customHeight="false" outlineLevel="0" collapsed="false">
      <c r="A628" s="3" t="n">
        <v>2</v>
      </c>
      <c r="B628" s="3" t="s">
        <v>401</v>
      </c>
      <c r="C628" s="3" t="s">
        <v>101</v>
      </c>
      <c r="D628" s="15" t="n">
        <v>17703.68</v>
      </c>
    </row>
    <row r="629" customFormat="false" ht="15" hidden="false" customHeight="false" outlineLevel="0" collapsed="false">
      <c r="A629" s="3" t="n">
        <v>2</v>
      </c>
      <c r="B629" s="3" t="s">
        <v>401</v>
      </c>
      <c r="C629" s="3" t="s">
        <v>102</v>
      </c>
      <c r="D629" s="15" t="n">
        <v>50827.5</v>
      </c>
    </row>
    <row r="630" customFormat="false" ht="15" hidden="false" customHeight="false" outlineLevel="0" collapsed="false">
      <c r="A630" s="3" t="n">
        <v>2</v>
      </c>
      <c r="B630" s="3" t="s">
        <v>402</v>
      </c>
      <c r="C630" s="3" t="s">
        <v>101</v>
      </c>
      <c r="D630" s="15" t="n">
        <v>7313.3</v>
      </c>
    </row>
    <row r="631" customFormat="false" ht="15" hidden="false" customHeight="false" outlineLevel="0" collapsed="false">
      <c r="A631" s="3" t="n">
        <v>2</v>
      </c>
      <c r="B631" s="3" t="s">
        <v>402</v>
      </c>
      <c r="C631" s="3" t="s">
        <v>102</v>
      </c>
      <c r="D631" s="15" t="n">
        <v>262.5</v>
      </c>
    </row>
    <row r="632" customFormat="false" ht="15" hidden="false" customHeight="false" outlineLevel="0" collapsed="false">
      <c r="A632" s="3" t="n">
        <v>2</v>
      </c>
      <c r="B632" s="3" t="s">
        <v>403</v>
      </c>
      <c r="C632" s="3" t="s">
        <v>101</v>
      </c>
      <c r="D632" s="15" t="n">
        <v>1701.2</v>
      </c>
    </row>
    <row r="633" customFormat="false" ht="15" hidden="false" customHeight="false" outlineLevel="0" collapsed="false">
      <c r="A633" s="3" t="n">
        <v>2</v>
      </c>
      <c r="B633" s="3" t="s">
        <v>403</v>
      </c>
      <c r="C633" s="3" t="s">
        <v>102</v>
      </c>
      <c r="D633" s="15" t="n">
        <v>86</v>
      </c>
    </row>
    <row r="634" customFormat="false" ht="15" hidden="false" customHeight="false" outlineLevel="0" collapsed="false">
      <c r="A634" s="3" t="n">
        <v>2</v>
      </c>
      <c r="B634" s="3" t="s">
        <v>404</v>
      </c>
      <c r="C634" s="3" t="s">
        <v>101</v>
      </c>
      <c r="D634" s="15" t="n">
        <v>2323.8</v>
      </c>
    </row>
    <row r="635" customFormat="false" ht="15" hidden="false" customHeight="false" outlineLevel="0" collapsed="false">
      <c r="A635" s="3" t="n">
        <v>2</v>
      </c>
      <c r="B635" s="3" t="s">
        <v>404</v>
      </c>
      <c r="C635" s="3" t="s">
        <v>102</v>
      </c>
      <c r="D635" s="15" t="n">
        <v>103</v>
      </c>
    </row>
    <row r="636" customFormat="false" ht="15" hidden="false" customHeight="false" outlineLevel="0" collapsed="false">
      <c r="A636" s="3" t="n">
        <v>2</v>
      </c>
      <c r="B636" s="3" t="s">
        <v>405</v>
      </c>
      <c r="C636" s="3" t="s">
        <v>101</v>
      </c>
      <c r="D636" s="15" t="n">
        <v>2269.23</v>
      </c>
    </row>
    <row r="637" customFormat="false" ht="15" hidden="false" customHeight="false" outlineLevel="0" collapsed="false">
      <c r="A637" s="3" t="n">
        <v>2</v>
      </c>
      <c r="B637" s="3" t="s">
        <v>405</v>
      </c>
      <c r="C637" s="3" t="s">
        <v>102</v>
      </c>
      <c r="D637" s="15" t="n">
        <v>19</v>
      </c>
    </row>
    <row r="638" customFormat="false" ht="15" hidden="false" customHeight="false" outlineLevel="0" collapsed="false">
      <c r="A638" s="3" t="n">
        <v>2</v>
      </c>
      <c r="B638" s="3" t="s">
        <v>406</v>
      </c>
      <c r="C638" s="3" t="s">
        <v>101</v>
      </c>
      <c r="D638" s="15" t="n">
        <v>2856.43</v>
      </c>
    </row>
    <row r="639" customFormat="false" ht="15" hidden="false" customHeight="false" outlineLevel="0" collapsed="false">
      <c r="A639" s="3" t="n">
        <v>2</v>
      </c>
      <c r="B639" s="3" t="s">
        <v>406</v>
      </c>
      <c r="C639" s="3" t="s">
        <v>102</v>
      </c>
      <c r="D639" s="15" t="n">
        <v>348.9</v>
      </c>
    </row>
    <row r="640" customFormat="false" ht="15" hidden="false" customHeight="false" outlineLevel="0" collapsed="false">
      <c r="A640" s="3" t="n">
        <v>2</v>
      </c>
      <c r="B640" s="3" t="s">
        <v>407</v>
      </c>
      <c r="C640" s="3" t="s">
        <v>101</v>
      </c>
      <c r="D640" s="15" t="n">
        <v>2909.7</v>
      </c>
    </row>
    <row r="641" customFormat="false" ht="15" hidden="false" customHeight="false" outlineLevel="0" collapsed="false">
      <c r="A641" s="3" t="n">
        <v>2</v>
      </c>
      <c r="B641" s="3" t="s">
        <v>407</v>
      </c>
      <c r="C641" s="3" t="s">
        <v>102</v>
      </c>
      <c r="D641" s="15" t="n">
        <v>7838.82</v>
      </c>
    </row>
    <row r="642" customFormat="false" ht="15" hidden="false" customHeight="false" outlineLevel="0" collapsed="false">
      <c r="A642" s="3" t="n">
        <v>2</v>
      </c>
      <c r="B642" s="3" t="s">
        <v>408</v>
      </c>
      <c r="C642" s="3" t="s">
        <v>102</v>
      </c>
      <c r="D642" s="15" t="n">
        <v>3.5</v>
      </c>
    </row>
    <row r="643" customFormat="false" ht="15" hidden="false" customHeight="false" outlineLevel="0" collapsed="false">
      <c r="A643" s="3" t="n">
        <v>2</v>
      </c>
      <c r="B643" s="3" t="s">
        <v>409</v>
      </c>
      <c r="C643" s="3" t="s">
        <v>101</v>
      </c>
      <c r="D643" s="15" t="n">
        <v>10345.6</v>
      </c>
    </row>
    <row r="644" customFormat="false" ht="15" hidden="false" customHeight="false" outlineLevel="0" collapsed="false">
      <c r="A644" s="3" t="n">
        <v>2</v>
      </c>
      <c r="B644" s="3" t="s">
        <v>409</v>
      </c>
      <c r="C644" s="3" t="s">
        <v>102</v>
      </c>
      <c r="D644" s="15" t="n">
        <v>61574.83</v>
      </c>
    </row>
    <row r="645" customFormat="false" ht="15" hidden="false" customHeight="false" outlineLevel="0" collapsed="false">
      <c r="A645" s="3" t="n">
        <v>2</v>
      </c>
      <c r="B645" s="3" t="s">
        <v>410</v>
      </c>
      <c r="C645" s="3" t="s">
        <v>101</v>
      </c>
      <c r="D645" s="15" t="n">
        <v>16256.66</v>
      </c>
    </row>
    <row r="646" customFormat="false" ht="15" hidden="false" customHeight="false" outlineLevel="0" collapsed="false">
      <c r="A646" s="3" t="n">
        <v>2</v>
      </c>
      <c r="B646" s="3" t="s">
        <v>410</v>
      </c>
      <c r="C646" s="3" t="s">
        <v>102</v>
      </c>
      <c r="D646" s="15" t="n">
        <v>642.5</v>
      </c>
    </row>
    <row r="647" customFormat="false" ht="15" hidden="false" customHeight="false" outlineLevel="0" collapsed="false">
      <c r="A647" s="3" t="n">
        <v>2</v>
      </c>
      <c r="B647" s="3" t="s">
        <v>411</v>
      </c>
      <c r="C647" s="3" t="s">
        <v>101</v>
      </c>
      <c r="D647" s="15" t="n">
        <v>9524.02</v>
      </c>
    </row>
    <row r="648" customFormat="false" ht="15" hidden="false" customHeight="false" outlineLevel="0" collapsed="false">
      <c r="A648" s="3" t="n">
        <v>2</v>
      </c>
      <c r="B648" s="3" t="s">
        <v>411</v>
      </c>
      <c r="C648" s="3" t="s">
        <v>102</v>
      </c>
      <c r="D648" s="15" t="n">
        <v>494.9</v>
      </c>
    </row>
    <row r="649" customFormat="false" ht="15" hidden="false" customHeight="false" outlineLevel="0" collapsed="false">
      <c r="A649" s="3" t="n">
        <v>2</v>
      </c>
      <c r="B649" s="3" t="s">
        <v>412</v>
      </c>
      <c r="C649" s="3" t="s">
        <v>101</v>
      </c>
      <c r="D649" s="15" t="n">
        <v>614.27</v>
      </c>
    </row>
    <row r="650" customFormat="false" ht="15" hidden="false" customHeight="false" outlineLevel="0" collapsed="false">
      <c r="A650" s="3" t="n">
        <v>2</v>
      </c>
      <c r="B650" s="3" t="s">
        <v>412</v>
      </c>
      <c r="C650" s="3" t="s">
        <v>102</v>
      </c>
      <c r="D650" s="15" t="n">
        <v>1965.33</v>
      </c>
    </row>
    <row r="651" customFormat="false" ht="15" hidden="false" customHeight="false" outlineLevel="0" collapsed="false">
      <c r="A651" s="3" t="n">
        <v>2</v>
      </c>
      <c r="B651" s="3" t="s">
        <v>413</v>
      </c>
      <c r="C651" s="3" t="s">
        <v>101</v>
      </c>
      <c r="D651" s="15" t="n">
        <v>649</v>
      </c>
    </row>
    <row r="652" customFormat="false" ht="15" hidden="false" customHeight="false" outlineLevel="0" collapsed="false">
      <c r="A652" s="3" t="n">
        <v>2</v>
      </c>
      <c r="B652" s="3" t="s">
        <v>413</v>
      </c>
      <c r="C652" s="3" t="s">
        <v>102</v>
      </c>
      <c r="D652" s="15" t="n">
        <v>10.5</v>
      </c>
    </row>
    <row r="653" customFormat="false" ht="15" hidden="false" customHeight="false" outlineLevel="0" collapsed="false">
      <c r="A653" s="3" t="n">
        <v>2</v>
      </c>
      <c r="B653" s="3" t="s">
        <v>414</v>
      </c>
      <c r="C653" s="3" t="s">
        <v>101</v>
      </c>
      <c r="D653" s="15" t="n">
        <v>2843.55</v>
      </c>
    </row>
    <row r="654" customFormat="false" ht="15" hidden="false" customHeight="false" outlineLevel="0" collapsed="false">
      <c r="A654" s="3" t="n">
        <v>2</v>
      </c>
      <c r="B654" s="3" t="s">
        <v>414</v>
      </c>
      <c r="C654" s="3" t="s">
        <v>102</v>
      </c>
      <c r="D654" s="15" t="n">
        <v>8162.52</v>
      </c>
    </row>
    <row r="655" customFormat="false" ht="15" hidden="false" customHeight="false" outlineLevel="0" collapsed="false">
      <c r="A655" s="3" t="n">
        <v>2</v>
      </c>
      <c r="B655" s="3" t="s">
        <v>415</v>
      </c>
      <c r="C655" s="3" t="s">
        <v>103</v>
      </c>
      <c r="D655" s="15" t="n">
        <v>-500.86</v>
      </c>
    </row>
    <row r="656" customFormat="false" ht="15" hidden="false" customHeight="false" outlineLevel="0" collapsed="false">
      <c r="A656" s="3" t="n">
        <v>2</v>
      </c>
      <c r="B656" s="3" t="s">
        <v>415</v>
      </c>
      <c r="C656" s="3" t="s">
        <v>102</v>
      </c>
      <c r="D656" s="15" t="n">
        <v>300.1</v>
      </c>
    </row>
    <row r="657" customFormat="false" ht="15" hidden="false" customHeight="false" outlineLevel="0" collapsed="false">
      <c r="A657" s="3" t="n">
        <v>2</v>
      </c>
      <c r="B657" s="3" t="s">
        <v>415</v>
      </c>
      <c r="C657" s="3" t="s">
        <v>100</v>
      </c>
      <c r="D657" s="15" t="n">
        <v>3309.73</v>
      </c>
    </row>
    <row r="658" customFormat="false" ht="15" hidden="false" customHeight="false" outlineLevel="0" collapsed="false">
      <c r="A658" s="3" t="n">
        <v>2</v>
      </c>
      <c r="B658" s="3" t="s">
        <v>415</v>
      </c>
      <c r="C658" s="3" t="s">
        <v>99</v>
      </c>
      <c r="D658" s="15" t="n">
        <v>1375.18</v>
      </c>
    </row>
    <row r="659" customFormat="false" ht="15" hidden="false" customHeight="false" outlineLevel="0" collapsed="false">
      <c r="A659" s="3" t="n">
        <v>2</v>
      </c>
      <c r="B659" s="3" t="s">
        <v>415</v>
      </c>
      <c r="C659" s="3" t="s">
        <v>98</v>
      </c>
      <c r="D659" s="15" t="n">
        <v>3983</v>
      </c>
    </row>
    <row r="660" customFormat="false" ht="15" hidden="false" customHeight="false" outlineLevel="0" collapsed="false">
      <c r="A660" s="3" t="n">
        <v>2</v>
      </c>
      <c r="B660" s="3" t="s">
        <v>415</v>
      </c>
      <c r="C660" s="3" t="s">
        <v>82</v>
      </c>
      <c r="D660" s="15" t="n">
        <v>3001.44</v>
      </c>
    </row>
    <row r="661" customFormat="false" ht="15" hidden="false" customHeight="false" outlineLevel="0" collapsed="false">
      <c r="A661" s="3" t="n">
        <v>2</v>
      </c>
      <c r="B661" s="3" t="s">
        <v>416</v>
      </c>
      <c r="C661" s="3" t="s">
        <v>103</v>
      </c>
      <c r="D661" s="15" t="n">
        <v>-1604.04</v>
      </c>
    </row>
    <row r="662" customFormat="false" ht="15" hidden="false" customHeight="false" outlineLevel="0" collapsed="false">
      <c r="A662" s="3" t="n">
        <v>2</v>
      </c>
      <c r="B662" s="3" t="s">
        <v>416</v>
      </c>
      <c r="C662" s="3" t="s">
        <v>102</v>
      </c>
      <c r="D662" s="15" t="n">
        <v>290.98</v>
      </c>
    </row>
    <row r="663" customFormat="false" ht="15" hidden="false" customHeight="false" outlineLevel="0" collapsed="false">
      <c r="A663" s="3" t="n">
        <v>2</v>
      </c>
      <c r="B663" s="3" t="s">
        <v>416</v>
      </c>
      <c r="C663" s="3" t="s">
        <v>100</v>
      </c>
      <c r="D663" s="15" t="n">
        <v>2073.67</v>
      </c>
    </row>
    <row r="664" customFormat="false" ht="15" hidden="false" customHeight="false" outlineLevel="0" collapsed="false">
      <c r="A664" s="3" t="n">
        <v>2</v>
      </c>
      <c r="B664" s="3" t="s">
        <v>416</v>
      </c>
      <c r="C664" s="3" t="s">
        <v>99</v>
      </c>
      <c r="D664" s="15" t="n">
        <v>364.5</v>
      </c>
    </row>
    <row r="665" customFormat="false" ht="15" hidden="false" customHeight="false" outlineLevel="0" collapsed="false">
      <c r="A665" s="3" t="n">
        <v>2</v>
      </c>
      <c r="B665" s="3" t="s">
        <v>416</v>
      </c>
      <c r="C665" s="3" t="s">
        <v>98</v>
      </c>
      <c r="D665" s="15" t="n">
        <v>3620.21</v>
      </c>
    </row>
    <row r="666" customFormat="false" ht="15" hidden="false" customHeight="false" outlineLevel="0" collapsed="false">
      <c r="A666" s="3" t="n">
        <v>2</v>
      </c>
      <c r="B666" s="3" t="s">
        <v>416</v>
      </c>
      <c r="C666" s="3" t="s">
        <v>82</v>
      </c>
      <c r="D666" s="15" t="n">
        <v>1784.72</v>
      </c>
    </row>
    <row r="667" customFormat="false" ht="15" hidden="false" customHeight="false" outlineLevel="0" collapsed="false">
      <c r="A667" s="3" t="n">
        <v>2</v>
      </c>
      <c r="B667" s="3" t="s">
        <v>417</v>
      </c>
      <c r="C667" s="3" t="s">
        <v>103</v>
      </c>
      <c r="D667" s="15" t="n">
        <v>-290.97</v>
      </c>
    </row>
    <row r="668" customFormat="false" ht="15" hidden="false" customHeight="false" outlineLevel="0" collapsed="false">
      <c r="A668" s="3" t="n">
        <v>2</v>
      </c>
      <c r="B668" s="3" t="s">
        <v>417</v>
      </c>
      <c r="C668" s="3" t="s">
        <v>102</v>
      </c>
      <c r="D668" s="15" t="n">
        <v>480</v>
      </c>
    </row>
    <row r="669" customFormat="false" ht="15" hidden="false" customHeight="false" outlineLevel="0" collapsed="false">
      <c r="A669" s="3" t="n">
        <v>2</v>
      </c>
      <c r="B669" s="3" t="s">
        <v>417</v>
      </c>
      <c r="C669" s="3" t="s">
        <v>100</v>
      </c>
      <c r="D669" s="15" t="n">
        <v>11594.82</v>
      </c>
    </row>
    <row r="670" customFormat="false" ht="15" hidden="false" customHeight="false" outlineLevel="0" collapsed="false">
      <c r="A670" s="3" t="n">
        <v>2</v>
      </c>
      <c r="B670" s="3" t="s">
        <v>417</v>
      </c>
      <c r="C670" s="3" t="s">
        <v>98</v>
      </c>
      <c r="D670" s="15" t="n">
        <v>20602</v>
      </c>
    </row>
    <row r="671" customFormat="false" ht="15" hidden="false" customHeight="false" outlineLevel="0" collapsed="false">
      <c r="A671" s="3" t="n">
        <v>2</v>
      </c>
      <c r="B671" s="3" t="s">
        <v>417</v>
      </c>
      <c r="C671" s="3" t="s">
        <v>82</v>
      </c>
      <c r="D671" s="15" t="n">
        <v>11268.24</v>
      </c>
    </row>
    <row r="672" customFormat="false" ht="15" hidden="false" customHeight="false" outlineLevel="0" collapsed="false">
      <c r="A672" s="3" t="n">
        <v>2</v>
      </c>
      <c r="B672" s="3" t="s">
        <v>418</v>
      </c>
      <c r="C672" s="3" t="s">
        <v>100</v>
      </c>
      <c r="D672" s="15" t="n">
        <v>191.89</v>
      </c>
    </row>
    <row r="673" customFormat="false" ht="15" hidden="false" customHeight="false" outlineLevel="0" collapsed="false">
      <c r="A673" s="3" t="n">
        <v>2</v>
      </c>
      <c r="B673" s="3" t="s">
        <v>418</v>
      </c>
      <c r="C673" s="3" t="s">
        <v>98</v>
      </c>
      <c r="D673" s="15" t="n">
        <v>250.33</v>
      </c>
    </row>
    <row r="674" customFormat="false" ht="15" hidden="false" customHeight="false" outlineLevel="0" collapsed="false">
      <c r="A674" s="3" t="n">
        <v>2</v>
      </c>
      <c r="B674" s="3" t="s">
        <v>418</v>
      </c>
      <c r="C674" s="3" t="s">
        <v>82</v>
      </c>
      <c r="D674" s="15" t="n">
        <v>153.27</v>
      </c>
    </row>
    <row r="675" customFormat="false" ht="15" hidden="false" customHeight="false" outlineLevel="0" collapsed="false">
      <c r="A675" s="3" t="n">
        <v>2</v>
      </c>
      <c r="B675" s="3" t="s">
        <v>419</v>
      </c>
      <c r="C675" s="3" t="s">
        <v>103</v>
      </c>
      <c r="D675" s="15" t="n">
        <v>-982.83</v>
      </c>
    </row>
    <row r="676" customFormat="false" ht="15" hidden="false" customHeight="false" outlineLevel="0" collapsed="false">
      <c r="A676" s="3" t="n">
        <v>2</v>
      </c>
      <c r="B676" s="3" t="s">
        <v>419</v>
      </c>
      <c r="C676" s="3" t="s">
        <v>102</v>
      </c>
      <c r="D676" s="15" t="n">
        <v>1560</v>
      </c>
    </row>
    <row r="677" customFormat="false" ht="15" hidden="false" customHeight="false" outlineLevel="0" collapsed="false">
      <c r="A677" s="3" t="n">
        <v>2</v>
      </c>
      <c r="B677" s="3" t="s">
        <v>419</v>
      </c>
      <c r="C677" s="3" t="s">
        <v>100</v>
      </c>
      <c r="D677" s="15" t="n">
        <v>32187.69</v>
      </c>
    </row>
    <row r="678" customFormat="false" ht="15" hidden="false" customHeight="false" outlineLevel="0" collapsed="false">
      <c r="A678" s="3" t="n">
        <v>2</v>
      </c>
      <c r="B678" s="3" t="s">
        <v>419</v>
      </c>
      <c r="C678" s="3" t="s">
        <v>98</v>
      </c>
      <c r="D678" s="15" t="n">
        <v>57191.98</v>
      </c>
    </row>
    <row r="679" customFormat="false" ht="15" hidden="false" customHeight="false" outlineLevel="0" collapsed="false">
      <c r="A679" s="3" t="n">
        <v>2</v>
      </c>
      <c r="B679" s="3" t="s">
        <v>419</v>
      </c>
      <c r="C679" s="3" t="s">
        <v>82</v>
      </c>
      <c r="D679" s="15" t="n">
        <v>31325.63</v>
      </c>
    </row>
    <row r="680" customFormat="false" ht="15" hidden="false" customHeight="false" outlineLevel="0" collapsed="false">
      <c r="A680" s="3" t="n">
        <v>3</v>
      </c>
      <c r="B680" s="3" t="s">
        <v>420</v>
      </c>
      <c r="C680" s="3" t="s">
        <v>103</v>
      </c>
      <c r="D680" s="15" t="n">
        <v>-271045.73</v>
      </c>
    </row>
    <row r="681" customFormat="false" ht="15" hidden="false" customHeight="false" outlineLevel="0" collapsed="false">
      <c r="A681" s="3" t="n">
        <v>3</v>
      </c>
      <c r="B681" s="3" t="s">
        <v>420</v>
      </c>
      <c r="C681" s="3" t="s">
        <v>102</v>
      </c>
      <c r="D681" s="15" t="n">
        <v>1870.6</v>
      </c>
    </row>
    <row r="682" customFormat="false" ht="15" hidden="false" customHeight="false" outlineLevel="0" collapsed="false">
      <c r="A682" s="3" t="n">
        <v>3</v>
      </c>
      <c r="B682" s="3" t="s">
        <v>420</v>
      </c>
      <c r="C682" s="3" t="s">
        <v>100</v>
      </c>
      <c r="D682" s="15" t="n">
        <v>380419.74</v>
      </c>
    </row>
    <row r="683" customFormat="false" ht="15" hidden="false" customHeight="false" outlineLevel="0" collapsed="false">
      <c r="A683" s="3" t="n">
        <v>3</v>
      </c>
      <c r="B683" s="3" t="s">
        <v>420</v>
      </c>
      <c r="C683" s="3" t="s">
        <v>99</v>
      </c>
      <c r="D683" s="15" t="n">
        <v>166038.66</v>
      </c>
    </row>
    <row r="684" customFormat="false" ht="15" hidden="false" customHeight="false" outlineLevel="0" collapsed="false">
      <c r="A684" s="3" t="n">
        <v>3</v>
      </c>
      <c r="B684" s="3" t="s">
        <v>420</v>
      </c>
      <c r="C684" s="3" t="s">
        <v>98</v>
      </c>
      <c r="D684" s="15" t="n">
        <v>454468.16</v>
      </c>
    </row>
    <row r="685" customFormat="false" ht="15" hidden="false" customHeight="false" outlineLevel="0" collapsed="false">
      <c r="A685" s="3" t="n">
        <v>3</v>
      </c>
      <c r="B685" s="3" t="s">
        <v>420</v>
      </c>
      <c r="C685" s="3" t="s">
        <v>82</v>
      </c>
      <c r="D685" s="15" t="n">
        <v>258605.42</v>
      </c>
    </row>
    <row r="686" customFormat="false" ht="15" hidden="false" customHeight="false" outlineLevel="0" collapsed="false">
      <c r="A686" s="3" t="n">
        <v>3</v>
      </c>
      <c r="B686" s="3" t="s">
        <v>421</v>
      </c>
      <c r="C686" s="3" t="s">
        <v>103</v>
      </c>
      <c r="D686" s="15" t="n">
        <v>-207057.6</v>
      </c>
    </row>
    <row r="687" customFormat="false" ht="15" hidden="false" customHeight="false" outlineLevel="0" collapsed="false">
      <c r="A687" s="3" t="n">
        <v>3</v>
      </c>
      <c r="B687" s="3" t="s">
        <v>421</v>
      </c>
      <c r="C687" s="3" t="s">
        <v>102</v>
      </c>
      <c r="D687" s="15" t="n">
        <v>87788.3</v>
      </c>
    </row>
    <row r="688" customFormat="false" ht="15" hidden="false" customHeight="false" outlineLevel="0" collapsed="false">
      <c r="A688" s="3" t="n">
        <v>3</v>
      </c>
      <c r="B688" s="3" t="s">
        <v>421</v>
      </c>
      <c r="C688" s="3" t="s">
        <v>100</v>
      </c>
      <c r="D688" s="15" t="n">
        <v>720110.57</v>
      </c>
    </row>
    <row r="689" customFormat="false" ht="15" hidden="false" customHeight="false" outlineLevel="0" collapsed="false">
      <c r="A689" s="3" t="n">
        <v>3</v>
      </c>
      <c r="B689" s="3" t="s">
        <v>421</v>
      </c>
      <c r="C689" s="3" t="s">
        <v>99</v>
      </c>
      <c r="D689" s="15" t="n">
        <v>273469.09</v>
      </c>
    </row>
    <row r="690" customFormat="false" ht="15" hidden="false" customHeight="false" outlineLevel="0" collapsed="false">
      <c r="A690" s="3" t="n">
        <v>3</v>
      </c>
      <c r="B690" s="3" t="s">
        <v>421</v>
      </c>
      <c r="C690" s="3" t="s">
        <v>98</v>
      </c>
      <c r="D690" s="15" t="n">
        <v>923873.17</v>
      </c>
    </row>
    <row r="691" customFormat="false" ht="15" hidden="false" customHeight="false" outlineLevel="0" collapsed="false">
      <c r="A691" s="3" t="n">
        <v>3</v>
      </c>
      <c r="B691" s="3" t="s">
        <v>421</v>
      </c>
      <c r="C691" s="3" t="s">
        <v>82</v>
      </c>
      <c r="D691" s="15" t="n">
        <v>634409.23</v>
      </c>
    </row>
    <row r="692" customFormat="false" ht="15" hidden="false" customHeight="false" outlineLevel="0" collapsed="false">
      <c r="A692" s="3" t="n">
        <v>3</v>
      </c>
      <c r="B692" s="3" t="s">
        <v>422</v>
      </c>
      <c r="C692" s="3" t="s">
        <v>103</v>
      </c>
      <c r="D692" s="15" t="n">
        <v>-556.8</v>
      </c>
    </row>
    <row r="693" customFormat="false" ht="15" hidden="false" customHeight="false" outlineLevel="0" collapsed="false">
      <c r="A693" s="3" t="n">
        <v>3</v>
      </c>
      <c r="B693" s="3" t="s">
        <v>422</v>
      </c>
      <c r="C693" s="3" t="s">
        <v>100</v>
      </c>
      <c r="D693" s="15" t="n">
        <v>7282.29</v>
      </c>
    </row>
    <row r="694" customFormat="false" ht="15" hidden="false" customHeight="false" outlineLevel="0" collapsed="false">
      <c r="A694" s="3" t="n">
        <v>3</v>
      </c>
      <c r="B694" s="3" t="s">
        <v>422</v>
      </c>
      <c r="C694" s="3" t="s">
        <v>99</v>
      </c>
      <c r="D694" s="15" t="n">
        <v>4490.79</v>
      </c>
    </row>
    <row r="695" customFormat="false" ht="15" hidden="false" customHeight="false" outlineLevel="0" collapsed="false">
      <c r="A695" s="3" t="n">
        <v>3</v>
      </c>
      <c r="B695" s="3" t="s">
        <v>422</v>
      </c>
      <c r="C695" s="3" t="s">
        <v>98</v>
      </c>
      <c r="D695" s="15" t="n">
        <v>8449</v>
      </c>
    </row>
    <row r="696" customFormat="false" ht="15" hidden="false" customHeight="false" outlineLevel="0" collapsed="false">
      <c r="A696" s="3" t="n">
        <v>3</v>
      </c>
      <c r="B696" s="3" t="s">
        <v>422</v>
      </c>
      <c r="C696" s="3" t="s">
        <v>82</v>
      </c>
      <c r="D696" s="15" t="n">
        <v>6899.49</v>
      </c>
    </row>
    <row r="697" customFormat="false" ht="15" hidden="false" customHeight="false" outlineLevel="0" collapsed="false">
      <c r="A697" s="3" t="n">
        <v>3</v>
      </c>
      <c r="B697" s="3" t="s">
        <v>423</v>
      </c>
      <c r="C697" s="3" t="s">
        <v>103</v>
      </c>
      <c r="D697" s="15" t="n">
        <v>-31109.75</v>
      </c>
    </row>
    <row r="698" customFormat="false" ht="15" hidden="false" customHeight="false" outlineLevel="0" collapsed="false">
      <c r="A698" s="3" t="n">
        <v>3</v>
      </c>
      <c r="B698" s="3" t="s">
        <v>423</v>
      </c>
      <c r="C698" s="3" t="s">
        <v>102</v>
      </c>
      <c r="D698" s="15" t="n">
        <v>2940.7</v>
      </c>
    </row>
    <row r="699" customFormat="false" ht="15" hidden="false" customHeight="false" outlineLevel="0" collapsed="false">
      <c r="A699" s="3" t="n">
        <v>3</v>
      </c>
      <c r="B699" s="3" t="s">
        <v>423</v>
      </c>
      <c r="C699" s="3" t="s">
        <v>100</v>
      </c>
      <c r="D699" s="15" t="n">
        <v>94583.65</v>
      </c>
    </row>
    <row r="700" customFormat="false" ht="15" hidden="false" customHeight="false" outlineLevel="0" collapsed="false">
      <c r="A700" s="3" t="n">
        <v>3</v>
      </c>
      <c r="B700" s="3" t="s">
        <v>423</v>
      </c>
      <c r="C700" s="3" t="s">
        <v>99</v>
      </c>
      <c r="D700" s="15" t="n">
        <v>13640.1</v>
      </c>
    </row>
    <row r="701" customFormat="false" ht="15" hidden="false" customHeight="false" outlineLevel="0" collapsed="false">
      <c r="A701" s="3" t="n">
        <v>3</v>
      </c>
      <c r="B701" s="3" t="s">
        <v>423</v>
      </c>
      <c r="C701" s="3" t="s">
        <v>98</v>
      </c>
      <c r="D701" s="15" t="n">
        <v>157897.38</v>
      </c>
    </row>
    <row r="702" customFormat="false" ht="15" hidden="false" customHeight="false" outlineLevel="0" collapsed="false">
      <c r="A702" s="3" t="n">
        <v>3</v>
      </c>
      <c r="B702" s="3" t="s">
        <v>423</v>
      </c>
      <c r="C702" s="3" t="s">
        <v>82</v>
      </c>
      <c r="D702" s="15" t="n">
        <v>73249.97</v>
      </c>
    </row>
    <row r="703" customFormat="false" ht="15" hidden="false" customHeight="false" outlineLevel="0" collapsed="false">
      <c r="A703" s="3" t="n">
        <v>3</v>
      </c>
      <c r="B703" s="3" t="s">
        <v>424</v>
      </c>
      <c r="C703" s="3" t="s">
        <v>103</v>
      </c>
      <c r="D703" s="15" t="n">
        <v>-244.68</v>
      </c>
    </row>
    <row r="704" customFormat="false" ht="15" hidden="false" customHeight="false" outlineLevel="0" collapsed="false">
      <c r="A704" s="3" t="n">
        <v>3</v>
      </c>
      <c r="B704" s="3" t="s">
        <v>424</v>
      </c>
      <c r="C704" s="3" t="s">
        <v>100</v>
      </c>
      <c r="D704" s="15" t="n">
        <v>2137.44</v>
      </c>
    </row>
    <row r="705" customFormat="false" ht="15" hidden="false" customHeight="false" outlineLevel="0" collapsed="false">
      <c r="A705" s="3" t="n">
        <v>3</v>
      </c>
      <c r="B705" s="3" t="s">
        <v>424</v>
      </c>
      <c r="C705" s="3" t="s">
        <v>99</v>
      </c>
      <c r="D705" s="15" t="n">
        <v>383.86</v>
      </c>
    </row>
    <row r="706" customFormat="false" ht="15" hidden="false" customHeight="false" outlineLevel="0" collapsed="false">
      <c r="A706" s="3" t="n">
        <v>3</v>
      </c>
      <c r="B706" s="3" t="s">
        <v>424</v>
      </c>
      <c r="C706" s="3" t="s">
        <v>98</v>
      </c>
      <c r="D706" s="15" t="n">
        <v>3414</v>
      </c>
    </row>
    <row r="707" customFormat="false" ht="15" hidden="false" customHeight="false" outlineLevel="0" collapsed="false">
      <c r="A707" s="3" t="n">
        <v>3</v>
      </c>
      <c r="B707" s="3" t="s">
        <v>424</v>
      </c>
      <c r="C707" s="3" t="s">
        <v>82</v>
      </c>
      <c r="D707" s="15" t="n">
        <v>2009.15</v>
      </c>
    </row>
    <row r="708" customFormat="false" ht="15" hidden="false" customHeight="false" outlineLevel="0" collapsed="false">
      <c r="A708" s="3" t="n">
        <v>3</v>
      </c>
      <c r="B708" s="3" t="s">
        <v>425</v>
      </c>
      <c r="C708" s="3" t="s">
        <v>103</v>
      </c>
      <c r="D708" s="15" t="n">
        <v>-473.83</v>
      </c>
    </row>
    <row r="709" customFormat="false" ht="15" hidden="false" customHeight="false" outlineLevel="0" collapsed="false">
      <c r="A709" s="3" t="n">
        <v>3</v>
      </c>
      <c r="B709" s="3" t="s">
        <v>425</v>
      </c>
      <c r="C709" s="3" t="s">
        <v>100</v>
      </c>
      <c r="D709" s="15" t="n">
        <v>2746.36</v>
      </c>
    </row>
    <row r="710" customFormat="false" ht="15" hidden="false" customHeight="false" outlineLevel="0" collapsed="false">
      <c r="A710" s="3" t="n">
        <v>3</v>
      </c>
      <c r="B710" s="3" t="s">
        <v>425</v>
      </c>
      <c r="C710" s="3" t="s">
        <v>99</v>
      </c>
      <c r="D710" s="15" t="n">
        <v>345.29</v>
      </c>
    </row>
    <row r="711" customFormat="false" ht="15" hidden="false" customHeight="false" outlineLevel="0" collapsed="false">
      <c r="A711" s="3" t="n">
        <v>3</v>
      </c>
      <c r="B711" s="3" t="s">
        <v>425</v>
      </c>
      <c r="C711" s="3" t="s">
        <v>98</v>
      </c>
      <c r="D711" s="15" t="n">
        <v>4538.8</v>
      </c>
    </row>
    <row r="712" customFormat="false" ht="15" hidden="false" customHeight="false" outlineLevel="0" collapsed="false">
      <c r="A712" s="3" t="n">
        <v>3</v>
      </c>
      <c r="B712" s="3" t="s">
        <v>425</v>
      </c>
      <c r="C712" s="3" t="s">
        <v>82</v>
      </c>
      <c r="D712" s="15" t="n">
        <v>2551.14</v>
      </c>
    </row>
    <row r="713" customFormat="false" ht="15" hidden="false" customHeight="false" outlineLevel="0" collapsed="false">
      <c r="A713" s="3" t="n">
        <v>3</v>
      </c>
      <c r="B713" s="3" t="s">
        <v>426</v>
      </c>
      <c r="C713" s="3" t="s">
        <v>103</v>
      </c>
      <c r="D713" s="15" t="n">
        <v>-27227.03</v>
      </c>
    </row>
    <row r="714" customFormat="false" ht="15" hidden="false" customHeight="false" outlineLevel="0" collapsed="false">
      <c r="A714" s="3" t="n">
        <v>3</v>
      </c>
      <c r="B714" s="3" t="s">
        <v>426</v>
      </c>
      <c r="C714" s="3" t="s">
        <v>102</v>
      </c>
      <c r="D714" s="15" t="n">
        <v>696.09</v>
      </c>
    </row>
    <row r="715" customFormat="false" ht="15" hidden="false" customHeight="false" outlineLevel="0" collapsed="false">
      <c r="A715" s="3" t="n">
        <v>3</v>
      </c>
      <c r="B715" s="3" t="s">
        <v>426</v>
      </c>
      <c r="C715" s="3" t="s">
        <v>100</v>
      </c>
      <c r="D715" s="15" t="n">
        <v>97011.91</v>
      </c>
    </row>
    <row r="716" customFormat="false" ht="15" hidden="false" customHeight="false" outlineLevel="0" collapsed="false">
      <c r="A716" s="3" t="n">
        <v>3</v>
      </c>
      <c r="B716" s="3" t="s">
        <v>426</v>
      </c>
      <c r="C716" s="3" t="s">
        <v>99</v>
      </c>
      <c r="D716" s="15" t="n">
        <v>19484.89</v>
      </c>
    </row>
    <row r="717" customFormat="false" ht="15" hidden="false" customHeight="false" outlineLevel="0" collapsed="false">
      <c r="A717" s="3" t="n">
        <v>3</v>
      </c>
      <c r="B717" s="3" t="s">
        <v>426</v>
      </c>
      <c r="C717" s="3" t="s">
        <v>98</v>
      </c>
      <c r="D717" s="15" t="n">
        <v>159864.88</v>
      </c>
    </row>
    <row r="718" customFormat="false" ht="15" hidden="false" customHeight="false" outlineLevel="0" collapsed="false">
      <c r="A718" s="3" t="n">
        <v>3</v>
      </c>
      <c r="B718" s="3" t="s">
        <v>426</v>
      </c>
      <c r="C718" s="3" t="s">
        <v>82</v>
      </c>
      <c r="D718" s="15" t="n">
        <v>88335.89</v>
      </c>
    </row>
    <row r="719" customFormat="false" ht="15" hidden="false" customHeight="false" outlineLevel="0" collapsed="false">
      <c r="A719" s="3" t="n">
        <v>3</v>
      </c>
      <c r="B719" s="3" t="s">
        <v>427</v>
      </c>
      <c r="C719" s="3" t="s">
        <v>103</v>
      </c>
      <c r="D719" s="15" t="n">
        <v>-352.44</v>
      </c>
    </row>
    <row r="720" customFormat="false" ht="15" hidden="false" customHeight="false" outlineLevel="0" collapsed="false">
      <c r="A720" s="3" t="n">
        <v>3</v>
      </c>
      <c r="B720" s="3" t="s">
        <v>427</v>
      </c>
      <c r="C720" s="3" t="s">
        <v>102</v>
      </c>
      <c r="D720" s="15" t="n">
        <v>480</v>
      </c>
    </row>
    <row r="721" customFormat="false" ht="15" hidden="false" customHeight="false" outlineLevel="0" collapsed="false">
      <c r="A721" s="3" t="n">
        <v>3</v>
      </c>
      <c r="B721" s="3" t="s">
        <v>427</v>
      </c>
      <c r="C721" s="3" t="s">
        <v>100</v>
      </c>
      <c r="D721" s="15" t="n">
        <v>12138.48</v>
      </c>
    </row>
    <row r="722" customFormat="false" ht="15" hidden="false" customHeight="false" outlineLevel="0" collapsed="false">
      <c r="A722" s="3" t="n">
        <v>3</v>
      </c>
      <c r="B722" s="3" t="s">
        <v>427</v>
      </c>
      <c r="C722" s="3" t="s">
        <v>98</v>
      </c>
      <c r="D722" s="15" t="n">
        <v>21568</v>
      </c>
    </row>
    <row r="723" customFormat="false" ht="15" hidden="false" customHeight="false" outlineLevel="0" collapsed="false">
      <c r="A723" s="3" t="n">
        <v>3</v>
      </c>
      <c r="B723" s="3" t="s">
        <v>427</v>
      </c>
      <c r="C723" s="3" t="s">
        <v>82</v>
      </c>
      <c r="D723" s="15" t="n">
        <v>11241.64</v>
      </c>
    </row>
    <row r="724" customFormat="false" ht="15" hidden="false" customHeight="false" outlineLevel="0" collapsed="false">
      <c r="A724" s="3" t="n">
        <v>3</v>
      </c>
      <c r="B724" s="3" t="s">
        <v>428</v>
      </c>
      <c r="C724" s="3" t="s">
        <v>103</v>
      </c>
      <c r="D724" s="15" t="n">
        <v>-2207.69</v>
      </c>
    </row>
    <row r="725" customFormat="false" ht="15" hidden="false" customHeight="false" outlineLevel="0" collapsed="false">
      <c r="A725" s="3" t="n">
        <v>3</v>
      </c>
      <c r="B725" s="3" t="s">
        <v>428</v>
      </c>
      <c r="C725" s="3" t="s">
        <v>102</v>
      </c>
      <c r="D725" s="15" t="n">
        <v>91.89</v>
      </c>
    </row>
    <row r="726" customFormat="false" ht="15" hidden="false" customHeight="false" outlineLevel="0" collapsed="false">
      <c r="A726" s="3" t="n">
        <v>3</v>
      </c>
      <c r="B726" s="3" t="s">
        <v>428</v>
      </c>
      <c r="C726" s="3" t="s">
        <v>100</v>
      </c>
      <c r="D726" s="15" t="n">
        <v>5827.57</v>
      </c>
    </row>
    <row r="727" customFormat="false" ht="15" hidden="false" customHeight="false" outlineLevel="0" collapsed="false">
      <c r="A727" s="3" t="n">
        <v>3</v>
      </c>
      <c r="B727" s="3" t="s">
        <v>428</v>
      </c>
      <c r="C727" s="3" t="s">
        <v>99</v>
      </c>
      <c r="D727" s="15" t="n">
        <v>15.78</v>
      </c>
    </row>
    <row r="728" customFormat="false" ht="15" hidden="false" customHeight="false" outlineLevel="0" collapsed="false">
      <c r="A728" s="3" t="n">
        <v>3</v>
      </c>
      <c r="B728" s="3" t="s">
        <v>428</v>
      </c>
      <c r="C728" s="3" t="s">
        <v>98</v>
      </c>
      <c r="D728" s="15" t="n">
        <v>10355.8</v>
      </c>
    </row>
    <row r="729" customFormat="false" ht="15" hidden="false" customHeight="false" outlineLevel="0" collapsed="false">
      <c r="A729" s="3" t="n">
        <v>3</v>
      </c>
      <c r="B729" s="3" t="s">
        <v>428</v>
      </c>
      <c r="C729" s="3" t="s">
        <v>82</v>
      </c>
      <c r="D729" s="15" t="n">
        <v>5197.32</v>
      </c>
    </row>
    <row r="730" customFormat="false" ht="15" hidden="false" customHeight="false" outlineLevel="0" collapsed="false">
      <c r="A730" s="3" t="n">
        <v>3</v>
      </c>
      <c r="B730" s="3" t="s">
        <v>429</v>
      </c>
      <c r="C730" s="3" t="s">
        <v>103</v>
      </c>
      <c r="D730" s="15" t="n">
        <v>-2251.35</v>
      </c>
    </row>
    <row r="731" customFormat="false" ht="15" hidden="false" customHeight="false" outlineLevel="0" collapsed="false">
      <c r="A731" s="3" t="n">
        <v>3</v>
      </c>
      <c r="B731" s="3" t="s">
        <v>429</v>
      </c>
      <c r="C731" s="3" t="s">
        <v>102</v>
      </c>
      <c r="D731" s="15" t="n">
        <v>720</v>
      </c>
    </row>
    <row r="732" customFormat="false" ht="15" hidden="false" customHeight="false" outlineLevel="0" collapsed="false">
      <c r="A732" s="3" t="n">
        <v>3</v>
      </c>
      <c r="B732" s="3" t="s">
        <v>429</v>
      </c>
      <c r="C732" s="3" t="s">
        <v>100</v>
      </c>
      <c r="D732" s="15" t="n">
        <v>12880.26</v>
      </c>
    </row>
    <row r="733" customFormat="false" ht="15" hidden="false" customHeight="false" outlineLevel="0" collapsed="false">
      <c r="A733" s="3" t="n">
        <v>3</v>
      </c>
      <c r="B733" s="3" t="s">
        <v>429</v>
      </c>
      <c r="C733" s="3" t="s">
        <v>98</v>
      </c>
      <c r="D733" s="15" t="n">
        <v>23886</v>
      </c>
    </row>
    <row r="734" customFormat="false" ht="15" hidden="false" customHeight="false" outlineLevel="0" collapsed="false">
      <c r="A734" s="3" t="n">
        <v>3</v>
      </c>
      <c r="B734" s="3" t="s">
        <v>429</v>
      </c>
      <c r="C734" s="3" t="s">
        <v>82</v>
      </c>
      <c r="D734" s="15" t="n">
        <v>12400.39</v>
      </c>
    </row>
    <row r="735" customFormat="false" ht="15" hidden="false" customHeight="false" outlineLevel="0" collapsed="false">
      <c r="A735" s="3" t="n">
        <v>3</v>
      </c>
      <c r="B735" s="3" t="s">
        <v>430</v>
      </c>
      <c r="C735" s="3" t="s">
        <v>103</v>
      </c>
      <c r="D735" s="15" t="n">
        <v>-441.62</v>
      </c>
    </row>
    <row r="736" customFormat="false" ht="15" hidden="false" customHeight="false" outlineLevel="0" collapsed="false">
      <c r="A736" s="3" t="n">
        <v>3</v>
      </c>
      <c r="B736" s="3" t="s">
        <v>430</v>
      </c>
      <c r="C736" s="3" t="s">
        <v>100</v>
      </c>
      <c r="D736" s="15" t="n">
        <v>2159.11</v>
      </c>
    </row>
    <row r="737" customFormat="false" ht="15" hidden="false" customHeight="false" outlineLevel="0" collapsed="false">
      <c r="A737" s="3" t="n">
        <v>3</v>
      </c>
      <c r="B737" s="3" t="s">
        <v>430</v>
      </c>
      <c r="C737" s="3" t="s">
        <v>98</v>
      </c>
      <c r="D737" s="15" t="n">
        <v>3836.36</v>
      </c>
    </row>
    <row r="738" customFormat="false" ht="15" hidden="false" customHeight="false" outlineLevel="0" collapsed="false">
      <c r="A738" s="3" t="n">
        <v>3</v>
      </c>
      <c r="B738" s="3" t="s">
        <v>430</v>
      </c>
      <c r="C738" s="3" t="s">
        <v>82</v>
      </c>
      <c r="D738" s="15" t="n">
        <v>1991.43</v>
      </c>
    </row>
    <row r="739" customFormat="false" ht="15" hidden="false" customHeight="false" outlineLevel="0" collapsed="false">
      <c r="A739" s="3" t="n">
        <v>3</v>
      </c>
      <c r="B739" s="3" t="s">
        <v>431</v>
      </c>
      <c r="C739" s="3" t="s">
        <v>103</v>
      </c>
      <c r="D739" s="15" t="n">
        <v>-1262.58</v>
      </c>
    </row>
    <row r="740" customFormat="false" ht="15" hidden="false" customHeight="false" outlineLevel="0" collapsed="false">
      <c r="A740" s="3" t="n">
        <v>3</v>
      </c>
      <c r="B740" s="3" t="s">
        <v>431</v>
      </c>
      <c r="C740" s="3" t="s">
        <v>100</v>
      </c>
      <c r="D740" s="15" t="n">
        <v>4365.78</v>
      </c>
    </row>
    <row r="741" customFormat="false" ht="15" hidden="false" customHeight="false" outlineLevel="0" collapsed="false">
      <c r="A741" s="3" t="n">
        <v>3</v>
      </c>
      <c r="B741" s="3" t="s">
        <v>431</v>
      </c>
      <c r="C741" s="3" t="s">
        <v>99</v>
      </c>
      <c r="D741" s="15" t="n">
        <v>1242.78</v>
      </c>
    </row>
    <row r="742" customFormat="false" ht="15" hidden="false" customHeight="false" outlineLevel="0" collapsed="false">
      <c r="A742" s="3" t="n">
        <v>3</v>
      </c>
      <c r="B742" s="3" t="s">
        <v>431</v>
      </c>
      <c r="C742" s="3" t="s">
        <v>98</v>
      </c>
      <c r="D742" s="15" t="n">
        <v>6884.9</v>
      </c>
    </row>
    <row r="743" customFormat="false" ht="15" hidden="false" customHeight="false" outlineLevel="0" collapsed="false">
      <c r="A743" s="3" t="n">
        <v>3</v>
      </c>
      <c r="B743" s="3" t="s">
        <v>431</v>
      </c>
      <c r="C743" s="3" t="s">
        <v>82</v>
      </c>
      <c r="D743" s="15" t="n">
        <v>4026.87</v>
      </c>
    </row>
    <row r="744" customFormat="false" ht="15" hidden="false" customHeight="false" outlineLevel="0" collapsed="false">
      <c r="A744" s="3" t="n">
        <v>3</v>
      </c>
      <c r="B744" s="3" t="s">
        <v>432</v>
      </c>
      <c r="C744" s="3" t="s">
        <v>103</v>
      </c>
      <c r="D744" s="15" t="n">
        <v>-12876.43</v>
      </c>
    </row>
    <row r="745" customFormat="false" ht="15" hidden="false" customHeight="false" outlineLevel="0" collapsed="false">
      <c r="A745" s="3" t="n">
        <v>3</v>
      </c>
      <c r="B745" s="3" t="s">
        <v>432</v>
      </c>
      <c r="C745" s="3" t="s">
        <v>102</v>
      </c>
      <c r="D745" s="15" t="n">
        <v>1719.74</v>
      </c>
    </row>
    <row r="746" customFormat="false" ht="15" hidden="false" customHeight="false" outlineLevel="0" collapsed="false">
      <c r="A746" s="3" t="n">
        <v>3</v>
      </c>
      <c r="B746" s="3" t="s">
        <v>432</v>
      </c>
      <c r="C746" s="3" t="s">
        <v>100</v>
      </c>
      <c r="D746" s="15" t="n">
        <v>22390.23</v>
      </c>
    </row>
    <row r="747" customFormat="false" ht="15" hidden="false" customHeight="false" outlineLevel="0" collapsed="false">
      <c r="A747" s="3" t="n">
        <v>3</v>
      </c>
      <c r="B747" s="3" t="s">
        <v>432</v>
      </c>
      <c r="C747" s="3" t="s">
        <v>99</v>
      </c>
      <c r="D747" s="15" t="n">
        <v>3107.05</v>
      </c>
    </row>
    <row r="748" customFormat="false" ht="15" hidden="false" customHeight="false" outlineLevel="0" collapsed="false">
      <c r="A748" s="3" t="n">
        <v>3</v>
      </c>
      <c r="B748" s="3" t="s">
        <v>432</v>
      </c>
      <c r="C748" s="3" t="s">
        <v>98</v>
      </c>
      <c r="D748" s="15" t="n">
        <v>38741.79</v>
      </c>
    </row>
    <row r="749" customFormat="false" ht="15" hidden="false" customHeight="false" outlineLevel="0" collapsed="false">
      <c r="A749" s="3" t="n">
        <v>3</v>
      </c>
      <c r="B749" s="3" t="s">
        <v>432</v>
      </c>
      <c r="C749" s="3" t="s">
        <v>82</v>
      </c>
      <c r="D749" s="15" t="n">
        <v>19296.44</v>
      </c>
    </row>
    <row r="750" customFormat="false" ht="15" hidden="false" customHeight="false" outlineLevel="0" collapsed="false">
      <c r="A750" s="3" t="n">
        <v>3</v>
      </c>
      <c r="B750" s="3" t="s">
        <v>433</v>
      </c>
      <c r="C750" s="3" t="s">
        <v>103</v>
      </c>
      <c r="D750" s="15" t="n">
        <v>-142.26</v>
      </c>
    </row>
    <row r="751" customFormat="false" ht="15" hidden="false" customHeight="false" outlineLevel="0" collapsed="false">
      <c r="A751" s="3" t="n">
        <v>3</v>
      </c>
      <c r="B751" s="3" t="s">
        <v>433</v>
      </c>
      <c r="C751" s="3" t="s">
        <v>102</v>
      </c>
      <c r="D751" s="15" t="n">
        <v>240</v>
      </c>
    </row>
    <row r="752" customFormat="false" ht="15" hidden="false" customHeight="false" outlineLevel="0" collapsed="false">
      <c r="A752" s="3" t="n">
        <v>3</v>
      </c>
      <c r="B752" s="3" t="s">
        <v>433</v>
      </c>
      <c r="C752" s="3" t="s">
        <v>100</v>
      </c>
      <c r="D752" s="15" t="n">
        <v>8009.76</v>
      </c>
    </row>
    <row r="753" customFormat="false" ht="15" hidden="false" customHeight="false" outlineLevel="0" collapsed="false">
      <c r="A753" s="3" t="n">
        <v>3</v>
      </c>
      <c r="B753" s="3" t="s">
        <v>433</v>
      </c>
      <c r="C753" s="3" t="s">
        <v>98</v>
      </c>
      <c r="D753" s="15" t="n">
        <v>14232</v>
      </c>
    </row>
    <row r="754" customFormat="false" ht="15" hidden="false" customHeight="false" outlineLevel="0" collapsed="false">
      <c r="A754" s="3" t="n">
        <v>3</v>
      </c>
      <c r="B754" s="3" t="s">
        <v>433</v>
      </c>
      <c r="C754" s="3" t="s">
        <v>82</v>
      </c>
      <c r="D754" s="15" t="n">
        <v>7763.94</v>
      </c>
    </row>
    <row r="755" customFormat="false" ht="15" hidden="false" customHeight="false" outlineLevel="0" collapsed="false">
      <c r="A755" s="3" t="n">
        <v>3</v>
      </c>
      <c r="B755" s="3" t="s">
        <v>434</v>
      </c>
      <c r="C755" s="3" t="s">
        <v>103</v>
      </c>
      <c r="D755" s="15" t="n">
        <v>-1131.56</v>
      </c>
    </row>
    <row r="756" customFormat="false" ht="15" hidden="false" customHeight="false" outlineLevel="0" collapsed="false">
      <c r="A756" s="3" t="n">
        <v>3</v>
      </c>
      <c r="B756" s="3" t="s">
        <v>434</v>
      </c>
      <c r="C756" s="3" t="s">
        <v>102</v>
      </c>
      <c r="D756" s="15" t="n">
        <v>1680</v>
      </c>
    </row>
    <row r="757" customFormat="false" ht="15" hidden="false" customHeight="false" outlineLevel="0" collapsed="false">
      <c r="A757" s="3" t="n">
        <v>3</v>
      </c>
      <c r="B757" s="3" t="s">
        <v>434</v>
      </c>
      <c r="C757" s="3" t="s">
        <v>100</v>
      </c>
      <c r="D757" s="15" t="n">
        <v>17311.81</v>
      </c>
    </row>
    <row r="758" customFormat="false" ht="15" hidden="false" customHeight="false" outlineLevel="0" collapsed="false">
      <c r="A758" s="3" t="n">
        <v>3</v>
      </c>
      <c r="B758" s="3" t="s">
        <v>434</v>
      </c>
      <c r="C758" s="3" t="s">
        <v>98</v>
      </c>
      <c r="D758" s="15" t="n">
        <v>30760.12</v>
      </c>
    </row>
    <row r="759" customFormat="false" ht="15" hidden="false" customHeight="false" outlineLevel="0" collapsed="false">
      <c r="A759" s="3" t="n">
        <v>3</v>
      </c>
      <c r="B759" s="3" t="s">
        <v>434</v>
      </c>
      <c r="C759" s="3" t="s">
        <v>82</v>
      </c>
      <c r="D759" s="15" t="n">
        <v>17021.48</v>
      </c>
    </row>
    <row r="760" customFormat="false" ht="15" hidden="false" customHeight="false" outlineLevel="0" collapsed="false">
      <c r="A760" s="3" t="n">
        <v>3</v>
      </c>
      <c r="B760" s="3" t="s">
        <v>435</v>
      </c>
      <c r="C760" s="3" t="s">
        <v>103</v>
      </c>
      <c r="D760" s="15" t="n">
        <v>-694.43</v>
      </c>
    </row>
    <row r="761" customFormat="false" ht="15" hidden="false" customHeight="false" outlineLevel="0" collapsed="false">
      <c r="A761" s="3" t="n">
        <v>3</v>
      </c>
      <c r="B761" s="3" t="s">
        <v>435</v>
      </c>
      <c r="C761" s="3" t="s">
        <v>102</v>
      </c>
      <c r="D761" s="15" t="n">
        <v>1320</v>
      </c>
    </row>
    <row r="762" customFormat="false" ht="15" hidden="false" customHeight="false" outlineLevel="0" collapsed="false">
      <c r="A762" s="3" t="n">
        <v>3</v>
      </c>
      <c r="B762" s="3" t="s">
        <v>435</v>
      </c>
      <c r="C762" s="3" t="s">
        <v>100</v>
      </c>
      <c r="D762" s="15" t="n">
        <v>20483.85</v>
      </c>
    </row>
    <row r="763" customFormat="false" ht="15" hidden="false" customHeight="false" outlineLevel="0" collapsed="false">
      <c r="A763" s="3" t="n">
        <v>3</v>
      </c>
      <c r="B763" s="3" t="s">
        <v>435</v>
      </c>
      <c r="C763" s="3" t="s">
        <v>98</v>
      </c>
      <c r="D763" s="15" t="n">
        <v>36396.26</v>
      </c>
    </row>
    <row r="764" customFormat="false" ht="15" hidden="false" customHeight="false" outlineLevel="0" collapsed="false">
      <c r="A764" s="3" t="n">
        <v>3</v>
      </c>
      <c r="B764" s="3" t="s">
        <v>435</v>
      </c>
      <c r="C764" s="3" t="s">
        <v>82</v>
      </c>
      <c r="D764" s="15" t="n">
        <v>20035.13</v>
      </c>
    </row>
    <row r="765" customFormat="false" ht="15" hidden="false" customHeight="false" outlineLevel="0" collapsed="false">
      <c r="A765" s="3" t="n">
        <v>3</v>
      </c>
      <c r="B765" s="3" t="s">
        <v>436</v>
      </c>
      <c r="C765" s="3" t="s">
        <v>103</v>
      </c>
      <c r="D765" s="15" t="n">
        <v>-3955.3</v>
      </c>
    </row>
    <row r="766" customFormat="false" ht="15" hidden="false" customHeight="false" outlineLevel="0" collapsed="false">
      <c r="A766" s="3" t="n">
        <v>3</v>
      </c>
      <c r="B766" s="3" t="s">
        <v>436</v>
      </c>
      <c r="C766" s="3" t="s">
        <v>102</v>
      </c>
      <c r="D766" s="15" t="n">
        <v>470.71</v>
      </c>
    </row>
    <row r="767" customFormat="false" ht="15" hidden="false" customHeight="false" outlineLevel="0" collapsed="false">
      <c r="A767" s="3" t="n">
        <v>3</v>
      </c>
      <c r="B767" s="3" t="s">
        <v>436</v>
      </c>
      <c r="C767" s="3" t="s">
        <v>100</v>
      </c>
      <c r="D767" s="15" t="n">
        <v>6530.75</v>
      </c>
    </row>
    <row r="768" customFormat="false" ht="15" hidden="false" customHeight="false" outlineLevel="0" collapsed="false">
      <c r="A768" s="3" t="n">
        <v>3</v>
      </c>
      <c r="B768" s="3" t="s">
        <v>436</v>
      </c>
      <c r="C768" s="3" t="s">
        <v>99</v>
      </c>
      <c r="D768" s="15" t="n">
        <v>971.79</v>
      </c>
    </row>
    <row r="769" customFormat="false" ht="15" hidden="false" customHeight="false" outlineLevel="0" collapsed="false">
      <c r="A769" s="3" t="n">
        <v>3</v>
      </c>
      <c r="B769" s="3" t="s">
        <v>436</v>
      </c>
      <c r="C769" s="3" t="s">
        <v>98</v>
      </c>
      <c r="D769" s="15" t="n">
        <v>10806.66</v>
      </c>
    </row>
    <row r="770" customFormat="false" ht="15" hidden="false" customHeight="false" outlineLevel="0" collapsed="false">
      <c r="A770" s="3" t="n">
        <v>3</v>
      </c>
      <c r="B770" s="3" t="s">
        <v>436</v>
      </c>
      <c r="C770" s="3" t="s">
        <v>82</v>
      </c>
      <c r="D770" s="15" t="n">
        <v>5506.9</v>
      </c>
    </row>
    <row r="771" customFormat="false" ht="15" hidden="false" customHeight="false" outlineLevel="0" collapsed="false">
      <c r="A771" s="3" t="n">
        <v>3</v>
      </c>
      <c r="B771" s="3" t="s">
        <v>437</v>
      </c>
      <c r="C771" s="3" t="s">
        <v>103</v>
      </c>
      <c r="D771" s="15" t="n">
        <v>-1309.47</v>
      </c>
    </row>
    <row r="772" customFormat="false" ht="15" hidden="false" customHeight="false" outlineLevel="0" collapsed="false">
      <c r="A772" s="3" t="n">
        <v>3</v>
      </c>
      <c r="B772" s="3" t="s">
        <v>437</v>
      </c>
      <c r="C772" s="3" t="s">
        <v>100</v>
      </c>
      <c r="D772" s="15" t="n">
        <v>7724.47</v>
      </c>
    </row>
    <row r="773" customFormat="false" ht="15" hidden="false" customHeight="false" outlineLevel="0" collapsed="false">
      <c r="A773" s="3" t="n">
        <v>3</v>
      </c>
      <c r="B773" s="3" t="s">
        <v>437</v>
      </c>
      <c r="C773" s="3" t="s">
        <v>99</v>
      </c>
      <c r="D773" s="15" t="n">
        <v>507.04</v>
      </c>
    </row>
    <row r="774" customFormat="false" ht="15" hidden="false" customHeight="false" outlineLevel="0" collapsed="false">
      <c r="A774" s="3" t="n">
        <v>3</v>
      </c>
      <c r="B774" s="3" t="s">
        <v>437</v>
      </c>
      <c r="C774" s="3" t="s">
        <v>98</v>
      </c>
      <c r="D774" s="15" t="n">
        <v>13257.7</v>
      </c>
    </row>
    <row r="775" customFormat="false" ht="15" hidden="false" customHeight="false" outlineLevel="0" collapsed="false">
      <c r="A775" s="3" t="n">
        <v>3</v>
      </c>
      <c r="B775" s="3" t="s">
        <v>437</v>
      </c>
      <c r="C775" s="3" t="s">
        <v>82</v>
      </c>
      <c r="D775" s="15" t="n">
        <v>7185.31</v>
      </c>
    </row>
    <row r="776" customFormat="false" ht="15" hidden="false" customHeight="false" outlineLevel="0" collapsed="false">
      <c r="A776" s="3" t="n">
        <v>3</v>
      </c>
      <c r="B776" s="3" t="s">
        <v>438</v>
      </c>
      <c r="C776" s="3" t="s">
        <v>103</v>
      </c>
      <c r="D776" s="15" t="n">
        <v>-5687.51</v>
      </c>
    </row>
    <row r="777" customFormat="false" ht="15" hidden="false" customHeight="false" outlineLevel="0" collapsed="false">
      <c r="A777" s="3" t="n">
        <v>3</v>
      </c>
      <c r="B777" s="3" t="s">
        <v>438</v>
      </c>
      <c r="C777" s="3" t="s">
        <v>102</v>
      </c>
      <c r="D777" s="15" t="n">
        <v>439.68</v>
      </c>
    </row>
    <row r="778" customFormat="false" ht="15" hidden="false" customHeight="false" outlineLevel="0" collapsed="false">
      <c r="A778" s="3" t="n">
        <v>3</v>
      </c>
      <c r="B778" s="3" t="s">
        <v>438</v>
      </c>
      <c r="C778" s="3" t="s">
        <v>100</v>
      </c>
      <c r="D778" s="15" t="n">
        <v>19217.27</v>
      </c>
    </row>
    <row r="779" customFormat="false" ht="15" hidden="false" customHeight="false" outlineLevel="0" collapsed="false">
      <c r="A779" s="3" t="n">
        <v>3</v>
      </c>
      <c r="B779" s="3" t="s">
        <v>438</v>
      </c>
      <c r="C779" s="3" t="s">
        <v>99</v>
      </c>
      <c r="D779" s="15" t="n">
        <v>9690.49</v>
      </c>
    </row>
    <row r="780" customFormat="false" ht="15" hidden="false" customHeight="false" outlineLevel="0" collapsed="false">
      <c r="A780" s="3" t="n">
        <v>3</v>
      </c>
      <c r="B780" s="3" t="s">
        <v>438</v>
      </c>
      <c r="C780" s="3" t="s">
        <v>98</v>
      </c>
      <c r="D780" s="15" t="n">
        <v>23126.24</v>
      </c>
    </row>
    <row r="781" customFormat="false" ht="15" hidden="false" customHeight="false" outlineLevel="0" collapsed="false">
      <c r="A781" s="3" t="n">
        <v>3</v>
      </c>
      <c r="B781" s="3" t="s">
        <v>438</v>
      </c>
      <c r="C781" s="3" t="s">
        <v>82</v>
      </c>
      <c r="D781" s="15" t="n">
        <v>16833.02</v>
      </c>
    </row>
    <row r="782" customFormat="false" ht="15" hidden="false" customHeight="false" outlineLevel="0" collapsed="false">
      <c r="A782" s="3" t="n">
        <v>3</v>
      </c>
      <c r="B782" s="3" t="s">
        <v>439</v>
      </c>
      <c r="C782" s="3" t="s">
        <v>103</v>
      </c>
      <c r="D782" s="15" t="n">
        <v>-4351.25</v>
      </c>
    </row>
    <row r="783" customFormat="false" ht="15" hidden="false" customHeight="false" outlineLevel="0" collapsed="false">
      <c r="A783" s="3" t="n">
        <v>3</v>
      </c>
      <c r="B783" s="3" t="s">
        <v>439</v>
      </c>
      <c r="C783" s="3" t="s">
        <v>100</v>
      </c>
      <c r="D783" s="15" t="n">
        <v>5921.8</v>
      </c>
    </row>
    <row r="784" customFormat="false" ht="15" hidden="false" customHeight="false" outlineLevel="0" collapsed="false">
      <c r="A784" s="3" t="n">
        <v>3</v>
      </c>
      <c r="B784" s="3" t="s">
        <v>439</v>
      </c>
      <c r="C784" s="3" t="s">
        <v>99</v>
      </c>
      <c r="D784" s="15" t="n">
        <v>759.99</v>
      </c>
    </row>
    <row r="785" customFormat="false" ht="15" hidden="false" customHeight="false" outlineLevel="0" collapsed="false">
      <c r="A785" s="3" t="n">
        <v>3</v>
      </c>
      <c r="B785" s="3" t="s">
        <v>439</v>
      </c>
      <c r="C785" s="3" t="s">
        <v>98</v>
      </c>
      <c r="D785" s="15" t="n">
        <v>9843.7</v>
      </c>
    </row>
    <row r="786" customFormat="false" ht="15" hidden="false" customHeight="false" outlineLevel="0" collapsed="false">
      <c r="A786" s="3" t="n">
        <v>3</v>
      </c>
      <c r="B786" s="3" t="s">
        <v>439</v>
      </c>
      <c r="C786" s="3" t="s">
        <v>82</v>
      </c>
      <c r="D786" s="15" t="n">
        <v>4423.83</v>
      </c>
    </row>
    <row r="787" customFormat="false" ht="15" hidden="false" customHeight="false" outlineLevel="0" collapsed="false">
      <c r="A787" s="3" t="n">
        <v>3</v>
      </c>
      <c r="B787" s="3" t="s">
        <v>441</v>
      </c>
      <c r="C787" s="3" t="s">
        <v>103</v>
      </c>
      <c r="D787" s="15" t="n">
        <v>-6281.32</v>
      </c>
    </row>
    <row r="788" customFormat="false" ht="15" hidden="false" customHeight="false" outlineLevel="0" collapsed="false">
      <c r="A788" s="3" t="n">
        <v>3</v>
      </c>
      <c r="B788" s="3" t="s">
        <v>441</v>
      </c>
      <c r="C788" s="3" t="s">
        <v>100</v>
      </c>
      <c r="D788" s="15" t="n">
        <v>13572.07</v>
      </c>
    </row>
    <row r="789" customFormat="false" ht="15" hidden="false" customHeight="false" outlineLevel="0" collapsed="false">
      <c r="A789" s="3" t="n">
        <v>3</v>
      </c>
      <c r="B789" s="3" t="s">
        <v>441</v>
      </c>
      <c r="C789" s="3" t="s">
        <v>99</v>
      </c>
      <c r="D789" s="15" t="n">
        <v>4771.98</v>
      </c>
    </row>
    <row r="790" customFormat="false" ht="15" hidden="false" customHeight="false" outlineLevel="0" collapsed="false">
      <c r="A790" s="3" t="n">
        <v>3</v>
      </c>
      <c r="B790" s="3" t="s">
        <v>441</v>
      </c>
      <c r="C790" s="3" t="s">
        <v>98</v>
      </c>
      <c r="D790" s="15" t="n">
        <v>19181.83</v>
      </c>
    </row>
    <row r="791" customFormat="false" ht="15" hidden="false" customHeight="false" outlineLevel="0" collapsed="false">
      <c r="A791" s="3" t="n">
        <v>3</v>
      </c>
      <c r="B791" s="3" t="s">
        <v>441</v>
      </c>
      <c r="C791" s="3" t="s">
        <v>82</v>
      </c>
      <c r="D791" s="15" t="n">
        <v>11170.48</v>
      </c>
    </row>
    <row r="792" customFormat="false" ht="15" hidden="false" customHeight="false" outlineLevel="0" collapsed="false">
      <c r="A792" s="3" t="n">
        <v>3</v>
      </c>
      <c r="B792" s="3" t="s">
        <v>442</v>
      </c>
      <c r="C792" s="3" t="s">
        <v>103</v>
      </c>
      <c r="D792" s="15" t="n">
        <v>-844.07</v>
      </c>
    </row>
    <row r="793" customFormat="false" ht="15" hidden="false" customHeight="false" outlineLevel="0" collapsed="false">
      <c r="A793" s="3" t="n">
        <v>3</v>
      </c>
      <c r="B793" s="3" t="s">
        <v>442</v>
      </c>
      <c r="C793" s="3" t="s">
        <v>100</v>
      </c>
      <c r="D793" s="15" t="n">
        <v>4000.9</v>
      </c>
    </row>
    <row r="794" customFormat="false" ht="15" hidden="false" customHeight="false" outlineLevel="0" collapsed="false">
      <c r="A794" s="3" t="n">
        <v>3</v>
      </c>
      <c r="B794" s="3" t="s">
        <v>442</v>
      </c>
      <c r="C794" s="3" t="s">
        <v>99</v>
      </c>
      <c r="D794" s="15" t="n">
        <v>390.93</v>
      </c>
    </row>
    <row r="795" customFormat="false" ht="15" hidden="false" customHeight="false" outlineLevel="0" collapsed="false">
      <c r="A795" s="3" t="n">
        <v>3</v>
      </c>
      <c r="B795" s="3" t="s">
        <v>442</v>
      </c>
      <c r="C795" s="3" t="s">
        <v>98</v>
      </c>
      <c r="D795" s="15" t="n">
        <v>6828</v>
      </c>
    </row>
    <row r="796" customFormat="false" ht="15" hidden="false" customHeight="false" outlineLevel="0" collapsed="false">
      <c r="A796" s="3" t="n">
        <v>3</v>
      </c>
      <c r="B796" s="3" t="s">
        <v>442</v>
      </c>
      <c r="C796" s="3" t="s">
        <v>82</v>
      </c>
      <c r="D796" s="15" t="n">
        <v>3706.7</v>
      </c>
    </row>
    <row r="797" customFormat="false" ht="15" hidden="false" customHeight="false" outlineLevel="0" collapsed="false">
      <c r="A797" s="3" t="n">
        <v>3</v>
      </c>
      <c r="B797" s="3" t="s">
        <v>443</v>
      </c>
      <c r="C797" s="3" t="s">
        <v>103</v>
      </c>
      <c r="D797" s="15" t="n">
        <v>-4344.12</v>
      </c>
    </row>
    <row r="798" customFormat="false" ht="15" hidden="false" customHeight="false" outlineLevel="0" collapsed="false">
      <c r="A798" s="3" t="n">
        <v>3</v>
      </c>
      <c r="B798" s="3" t="s">
        <v>443</v>
      </c>
      <c r="C798" s="3" t="s">
        <v>102</v>
      </c>
      <c r="D798" s="15" t="n">
        <v>89.9</v>
      </c>
    </row>
    <row r="799" customFormat="false" ht="15" hidden="false" customHeight="false" outlineLevel="0" collapsed="false">
      <c r="A799" s="3" t="n">
        <v>3</v>
      </c>
      <c r="B799" s="3" t="s">
        <v>443</v>
      </c>
      <c r="C799" s="3" t="s">
        <v>100</v>
      </c>
      <c r="D799" s="15" t="n">
        <v>13781.87</v>
      </c>
    </row>
    <row r="800" customFormat="false" ht="15" hidden="false" customHeight="false" outlineLevel="0" collapsed="false">
      <c r="A800" s="3" t="n">
        <v>3</v>
      </c>
      <c r="B800" s="3" t="s">
        <v>443</v>
      </c>
      <c r="C800" s="3" t="s">
        <v>99</v>
      </c>
      <c r="D800" s="15" t="n">
        <v>5963.8</v>
      </c>
    </row>
    <row r="801" customFormat="false" ht="15" hidden="false" customHeight="false" outlineLevel="0" collapsed="false">
      <c r="A801" s="3" t="n">
        <v>3</v>
      </c>
      <c r="B801" s="3" t="s">
        <v>443</v>
      </c>
      <c r="C801" s="3" t="s">
        <v>98</v>
      </c>
      <c r="D801" s="15" t="n">
        <v>18209.22</v>
      </c>
    </row>
    <row r="802" customFormat="false" ht="15" hidden="false" customHeight="false" outlineLevel="0" collapsed="false">
      <c r="A802" s="3" t="n">
        <v>3</v>
      </c>
      <c r="B802" s="3" t="s">
        <v>443</v>
      </c>
      <c r="C802" s="3" t="s">
        <v>82</v>
      </c>
      <c r="D802" s="15" t="n">
        <v>12236.1</v>
      </c>
    </row>
    <row r="803" customFormat="false" ht="15" hidden="false" customHeight="false" outlineLevel="0" collapsed="false">
      <c r="A803" s="3" t="n">
        <v>3</v>
      </c>
      <c r="B803" s="3" t="s">
        <v>444</v>
      </c>
      <c r="C803" s="3" t="s">
        <v>103</v>
      </c>
      <c r="D803" s="15" t="n">
        <v>-889.12</v>
      </c>
    </row>
    <row r="804" customFormat="false" ht="15" hidden="false" customHeight="false" outlineLevel="0" collapsed="false">
      <c r="A804" s="3" t="n">
        <v>3</v>
      </c>
      <c r="B804" s="3" t="s">
        <v>444</v>
      </c>
      <c r="C804" s="3" t="s">
        <v>102</v>
      </c>
      <c r="D804" s="15" t="n">
        <v>1440</v>
      </c>
    </row>
    <row r="805" customFormat="false" ht="15" hidden="false" customHeight="false" outlineLevel="0" collapsed="false">
      <c r="A805" s="3" t="n">
        <v>3</v>
      </c>
      <c r="B805" s="3" t="s">
        <v>444</v>
      </c>
      <c r="C805" s="3" t="s">
        <v>100</v>
      </c>
      <c r="D805" s="15" t="n">
        <v>26802.84</v>
      </c>
    </row>
    <row r="806" customFormat="false" ht="15" hidden="false" customHeight="false" outlineLevel="0" collapsed="false">
      <c r="A806" s="3" t="n">
        <v>3</v>
      </c>
      <c r="B806" s="3" t="s">
        <v>444</v>
      </c>
      <c r="C806" s="3" t="s">
        <v>98</v>
      </c>
      <c r="D806" s="15" t="n">
        <v>47624</v>
      </c>
    </row>
    <row r="807" customFormat="false" ht="15" hidden="false" customHeight="false" outlineLevel="0" collapsed="false">
      <c r="A807" s="3" t="n">
        <v>3</v>
      </c>
      <c r="B807" s="3" t="s">
        <v>444</v>
      </c>
      <c r="C807" s="3" t="s">
        <v>82</v>
      </c>
      <c r="D807" s="15" t="n">
        <v>26119.95</v>
      </c>
    </row>
    <row r="808" customFormat="false" ht="15" hidden="false" customHeight="false" outlineLevel="0" collapsed="false">
      <c r="A808" s="3" t="n">
        <v>3</v>
      </c>
      <c r="B808" s="3" t="s">
        <v>445</v>
      </c>
      <c r="C808" s="3" t="s">
        <v>103</v>
      </c>
      <c r="D808" s="15" t="n">
        <v>-2085.28</v>
      </c>
    </row>
    <row r="809" customFormat="false" ht="15" hidden="false" customHeight="false" outlineLevel="0" collapsed="false">
      <c r="A809" s="3" t="n">
        <v>3</v>
      </c>
      <c r="B809" s="3" t="s">
        <v>445</v>
      </c>
      <c r="C809" s="3" t="s">
        <v>100</v>
      </c>
      <c r="D809" s="15" t="n">
        <v>1022.04</v>
      </c>
    </row>
    <row r="810" customFormat="false" ht="15" hidden="false" customHeight="false" outlineLevel="0" collapsed="false">
      <c r="A810" s="3" t="n">
        <v>3</v>
      </c>
      <c r="B810" s="3" t="s">
        <v>445</v>
      </c>
      <c r="C810" s="3" t="s">
        <v>98</v>
      </c>
      <c r="D810" s="15" t="n">
        <v>1816</v>
      </c>
    </row>
    <row r="811" customFormat="false" ht="15" hidden="false" customHeight="false" outlineLevel="0" collapsed="false">
      <c r="A811" s="3" t="n">
        <v>3</v>
      </c>
      <c r="B811" s="3" t="s">
        <v>445</v>
      </c>
      <c r="C811" s="3" t="s">
        <v>82</v>
      </c>
      <c r="D811" s="15" t="n">
        <v>575.11</v>
      </c>
    </row>
    <row r="812" customFormat="false" ht="15" hidden="false" customHeight="false" outlineLevel="0" collapsed="false">
      <c r="A812" s="3" t="n">
        <v>3</v>
      </c>
      <c r="B812" s="3" t="s">
        <v>446</v>
      </c>
      <c r="C812" s="3" t="s">
        <v>103</v>
      </c>
      <c r="D812" s="15" t="n">
        <v>-2447.35</v>
      </c>
    </row>
    <row r="813" customFormat="false" ht="15" hidden="false" customHeight="false" outlineLevel="0" collapsed="false">
      <c r="A813" s="3" t="n">
        <v>3</v>
      </c>
      <c r="B813" s="3" t="s">
        <v>446</v>
      </c>
      <c r="C813" s="3" t="s">
        <v>100</v>
      </c>
      <c r="D813" s="15" t="n">
        <v>11220.45</v>
      </c>
    </row>
    <row r="814" customFormat="false" ht="15" hidden="false" customHeight="false" outlineLevel="0" collapsed="false">
      <c r="A814" s="3" t="n">
        <v>3</v>
      </c>
      <c r="B814" s="3" t="s">
        <v>446</v>
      </c>
      <c r="C814" s="3" t="s">
        <v>99</v>
      </c>
      <c r="D814" s="15" t="n">
        <v>2782.45</v>
      </c>
    </row>
    <row r="815" customFormat="false" ht="15" hidden="false" customHeight="false" outlineLevel="0" collapsed="false">
      <c r="A815" s="3" t="n">
        <v>3</v>
      </c>
      <c r="B815" s="3" t="s">
        <v>446</v>
      </c>
      <c r="C815" s="3" t="s">
        <v>98</v>
      </c>
      <c r="D815" s="15" t="n">
        <v>16842.4</v>
      </c>
    </row>
    <row r="816" customFormat="false" ht="15" hidden="false" customHeight="false" outlineLevel="0" collapsed="false">
      <c r="A816" s="3" t="n">
        <v>3</v>
      </c>
      <c r="B816" s="3" t="s">
        <v>446</v>
      </c>
      <c r="C816" s="3" t="s">
        <v>82</v>
      </c>
      <c r="D816" s="15" t="n">
        <v>10175.25</v>
      </c>
    </row>
    <row r="817" customFormat="false" ht="15" hidden="false" customHeight="false" outlineLevel="0" collapsed="false">
      <c r="A817" s="3" t="n">
        <v>3</v>
      </c>
      <c r="B817" s="3" t="s">
        <v>447</v>
      </c>
      <c r="C817" s="3" t="s">
        <v>103</v>
      </c>
      <c r="D817" s="15" t="n">
        <v>-8480</v>
      </c>
    </row>
    <row r="818" customFormat="false" ht="15" hidden="false" customHeight="false" outlineLevel="0" collapsed="false">
      <c r="A818" s="3" t="n">
        <v>3</v>
      </c>
      <c r="B818" s="3" t="s">
        <v>447</v>
      </c>
      <c r="C818" s="3" t="s">
        <v>102</v>
      </c>
      <c r="D818" s="15" t="n">
        <v>8750</v>
      </c>
    </row>
    <row r="819" customFormat="false" ht="15" hidden="false" customHeight="false" outlineLevel="0" collapsed="false">
      <c r="A819" s="3" t="n">
        <v>3</v>
      </c>
      <c r="B819" s="3" t="s">
        <v>447</v>
      </c>
      <c r="C819" s="3" t="s">
        <v>100</v>
      </c>
      <c r="D819" s="15" t="n">
        <v>18900.13</v>
      </c>
    </row>
    <row r="820" customFormat="false" ht="15" hidden="false" customHeight="false" outlineLevel="0" collapsed="false">
      <c r="A820" s="3" t="n">
        <v>3</v>
      </c>
      <c r="B820" s="3" t="s">
        <v>447</v>
      </c>
      <c r="C820" s="3" t="s">
        <v>99</v>
      </c>
      <c r="D820" s="15" t="n">
        <v>4654.28</v>
      </c>
    </row>
    <row r="821" customFormat="false" ht="15" hidden="false" customHeight="false" outlineLevel="0" collapsed="false">
      <c r="A821" s="3" t="n">
        <v>3</v>
      </c>
      <c r="B821" s="3" t="s">
        <v>447</v>
      </c>
      <c r="C821" s="3" t="s">
        <v>98</v>
      </c>
      <c r="D821" s="15" t="n">
        <v>27039.45</v>
      </c>
    </row>
    <row r="822" customFormat="false" ht="15" hidden="false" customHeight="false" outlineLevel="0" collapsed="false">
      <c r="A822" s="3" t="n">
        <v>3</v>
      </c>
      <c r="B822" s="3" t="s">
        <v>447</v>
      </c>
      <c r="C822" s="3" t="s">
        <v>82</v>
      </c>
      <c r="D822" s="15" t="n">
        <v>18324.48</v>
      </c>
    </row>
    <row r="823" customFormat="false" ht="15" hidden="false" customHeight="false" outlineLevel="0" collapsed="false">
      <c r="A823" s="3" t="n">
        <v>3</v>
      </c>
      <c r="B823" s="3" t="s">
        <v>448</v>
      </c>
      <c r="C823" s="3" t="s">
        <v>103</v>
      </c>
      <c r="D823" s="15" t="n">
        <v>-1503.4</v>
      </c>
    </row>
    <row r="824" customFormat="false" ht="15" hidden="false" customHeight="false" outlineLevel="0" collapsed="false">
      <c r="A824" s="3" t="n">
        <v>3</v>
      </c>
      <c r="B824" s="3" t="s">
        <v>448</v>
      </c>
      <c r="C824" s="3" t="s">
        <v>102</v>
      </c>
      <c r="D824" s="15" t="n">
        <v>2433.75</v>
      </c>
    </row>
    <row r="825" customFormat="false" ht="15" hidden="false" customHeight="false" outlineLevel="0" collapsed="false">
      <c r="A825" s="3" t="n">
        <v>3</v>
      </c>
      <c r="B825" s="3" t="s">
        <v>448</v>
      </c>
      <c r="C825" s="3" t="s">
        <v>100</v>
      </c>
      <c r="D825" s="15" t="n">
        <v>39854.63</v>
      </c>
    </row>
    <row r="826" customFormat="false" ht="15" hidden="false" customHeight="false" outlineLevel="0" collapsed="false">
      <c r="A826" s="3" t="n">
        <v>3</v>
      </c>
      <c r="B826" s="3" t="s">
        <v>448</v>
      </c>
      <c r="C826" s="3" t="s">
        <v>98</v>
      </c>
      <c r="D826" s="15" t="n">
        <v>70814.8</v>
      </c>
    </row>
    <row r="827" customFormat="false" ht="15" hidden="false" customHeight="false" outlineLevel="0" collapsed="false">
      <c r="A827" s="3" t="n">
        <v>3</v>
      </c>
      <c r="B827" s="3" t="s">
        <v>448</v>
      </c>
      <c r="C827" s="3" t="s">
        <v>82</v>
      </c>
      <c r="D827" s="15" t="n">
        <v>38877.480540462</v>
      </c>
    </row>
    <row r="828" customFormat="false" ht="15" hidden="false" customHeight="false" outlineLevel="0" collapsed="false">
      <c r="A828" s="3" t="n">
        <v>3</v>
      </c>
      <c r="B828" s="3" t="s">
        <v>449</v>
      </c>
      <c r="C828" s="3" t="s">
        <v>103</v>
      </c>
      <c r="D828" s="15" t="n">
        <v>-370.74</v>
      </c>
    </row>
    <row r="829" customFormat="false" ht="15" hidden="false" customHeight="false" outlineLevel="0" collapsed="false">
      <c r="A829" s="3" t="n">
        <v>3</v>
      </c>
      <c r="B829" s="3" t="s">
        <v>449</v>
      </c>
      <c r="C829" s="3" t="s">
        <v>100</v>
      </c>
      <c r="D829" s="15" t="n">
        <v>2082.68</v>
      </c>
    </row>
    <row r="830" customFormat="false" ht="15" hidden="false" customHeight="false" outlineLevel="0" collapsed="false">
      <c r="A830" s="3" t="n">
        <v>3</v>
      </c>
      <c r="B830" s="3" t="s">
        <v>449</v>
      </c>
      <c r="C830" s="3" t="s">
        <v>99</v>
      </c>
      <c r="D830" s="15" t="n">
        <v>458.58</v>
      </c>
    </row>
    <row r="831" customFormat="false" ht="15" hidden="false" customHeight="false" outlineLevel="0" collapsed="false">
      <c r="A831" s="3" t="n">
        <v>3</v>
      </c>
      <c r="B831" s="3" t="s">
        <v>449</v>
      </c>
      <c r="C831" s="3" t="s">
        <v>98</v>
      </c>
      <c r="D831" s="15" t="n">
        <v>3242</v>
      </c>
    </row>
    <row r="832" customFormat="false" ht="15" hidden="false" customHeight="false" outlineLevel="0" collapsed="false">
      <c r="A832" s="3" t="n">
        <v>3</v>
      </c>
      <c r="B832" s="3" t="s">
        <v>449</v>
      </c>
      <c r="C832" s="3" t="s">
        <v>82</v>
      </c>
      <c r="D832" s="15" t="n">
        <v>1676.9</v>
      </c>
    </row>
    <row r="833" customFormat="false" ht="15" hidden="false" customHeight="false" outlineLevel="0" collapsed="false">
      <c r="A833" s="3" t="n">
        <v>3</v>
      </c>
      <c r="B833" s="3" t="s">
        <v>450</v>
      </c>
      <c r="C833" s="3" t="s">
        <v>103</v>
      </c>
      <c r="D833" s="15" t="n">
        <v>-7199.45</v>
      </c>
    </row>
    <row r="834" customFormat="false" ht="15" hidden="false" customHeight="false" outlineLevel="0" collapsed="false">
      <c r="A834" s="3" t="n">
        <v>3</v>
      </c>
      <c r="B834" s="3" t="s">
        <v>450</v>
      </c>
      <c r="C834" s="3" t="s">
        <v>102</v>
      </c>
      <c r="D834" s="15" t="n">
        <v>1920</v>
      </c>
    </row>
    <row r="835" customFormat="false" ht="15" hidden="false" customHeight="false" outlineLevel="0" collapsed="false">
      <c r="A835" s="3" t="n">
        <v>3</v>
      </c>
      <c r="B835" s="3" t="s">
        <v>450</v>
      </c>
      <c r="C835" s="3" t="s">
        <v>100</v>
      </c>
      <c r="D835" s="15" t="n">
        <v>40533.76</v>
      </c>
    </row>
    <row r="836" customFormat="false" ht="15" hidden="false" customHeight="false" outlineLevel="0" collapsed="false">
      <c r="A836" s="3" t="n">
        <v>3</v>
      </c>
      <c r="B836" s="3" t="s">
        <v>450</v>
      </c>
      <c r="C836" s="3" t="s">
        <v>98</v>
      </c>
      <c r="D836" s="15" t="n">
        <v>72021.5</v>
      </c>
    </row>
    <row r="837" customFormat="false" ht="15" hidden="false" customHeight="false" outlineLevel="0" collapsed="false">
      <c r="A837" s="3" t="n">
        <v>3</v>
      </c>
      <c r="B837" s="3" t="s">
        <v>450</v>
      </c>
      <c r="C837" s="3" t="s">
        <v>82</v>
      </c>
      <c r="D837" s="15" t="n">
        <v>32449.74</v>
      </c>
    </row>
    <row r="838" customFormat="false" ht="15" hidden="false" customHeight="false" outlineLevel="0" collapsed="false">
      <c r="A838" s="3" t="n">
        <v>3</v>
      </c>
      <c r="B838" s="3" t="s">
        <v>451</v>
      </c>
      <c r="C838" s="3" t="s">
        <v>103</v>
      </c>
      <c r="D838" s="15" t="n">
        <v>-4039.68</v>
      </c>
    </row>
    <row r="839" customFormat="false" ht="15" hidden="false" customHeight="false" outlineLevel="0" collapsed="false">
      <c r="A839" s="3" t="n">
        <v>3</v>
      </c>
      <c r="B839" s="3" t="s">
        <v>451</v>
      </c>
      <c r="C839" s="3" t="s">
        <v>100</v>
      </c>
      <c r="D839" s="15" t="n">
        <v>2295.15</v>
      </c>
    </row>
    <row r="840" customFormat="false" ht="15" hidden="false" customHeight="false" outlineLevel="0" collapsed="false">
      <c r="A840" s="3" t="n">
        <v>3</v>
      </c>
      <c r="B840" s="3" t="s">
        <v>451</v>
      </c>
      <c r="C840" s="3" t="s">
        <v>99</v>
      </c>
      <c r="D840" s="15" t="n">
        <v>813.53</v>
      </c>
    </row>
    <row r="841" customFormat="false" ht="15" hidden="false" customHeight="false" outlineLevel="0" collapsed="false">
      <c r="A841" s="3" t="n">
        <v>3</v>
      </c>
      <c r="B841" s="3" t="s">
        <v>451</v>
      </c>
      <c r="C841" s="3" t="s">
        <v>98</v>
      </c>
      <c r="D841" s="15" t="n">
        <v>3186.4</v>
      </c>
    </row>
    <row r="842" customFormat="false" ht="15" hidden="false" customHeight="false" outlineLevel="0" collapsed="false">
      <c r="A842" s="3" t="n">
        <v>3</v>
      </c>
      <c r="B842" s="3" t="s">
        <v>451</v>
      </c>
      <c r="C842" s="3" t="s">
        <v>82</v>
      </c>
      <c r="D842" s="15" t="n">
        <v>868.29</v>
      </c>
    </row>
    <row r="843" customFormat="false" ht="15" hidden="false" customHeight="false" outlineLevel="0" collapsed="false">
      <c r="A843" s="3" t="n">
        <v>3</v>
      </c>
      <c r="B843" s="3" t="s">
        <v>452</v>
      </c>
      <c r="C843" s="3" t="s">
        <v>103</v>
      </c>
      <c r="D843" s="15" t="n">
        <v>-1384.81</v>
      </c>
    </row>
    <row r="844" customFormat="false" ht="15" hidden="false" customHeight="false" outlineLevel="0" collapsed="false">
      <c r="A844" s="3" t="n">
        <v>3</v>
      </c>
      <c r="B844" s="3" t="s">
        <v>452</v>
      </c>
      <c r="C844" s="3" t="s">
        <v>102</v>
      </c>
      <c r="D844" s="15" t="n">
        <v>129.54</v>
      </c>
    </row>
    <row r="845" customFormat="false" ht="15" hidden="false" customHeight="false" outlineLevel="0" collapsed="false">
      <c r="A845" s="3" t="n">
        <v>3</v>
      </c>
      <c r="B845" s="3" t="s">
        <v>452</v>
      </c>
      <c r="C845" s="3" t="s">
        <v>100</v>
      </c>
      <c r="D845" s="15" t="n">
        <v>649.31</v>
      </c>
    </row>
    <row r="846" customFormat="false" ht="15" hidden="false" customHeight="false" outlineLevel="0" collapsed="false">
      <c r="A846" s="3" t="n">
        <v>3</v>
      </c>
      <c r="B846" s="3" t="s">
        <v>452</v>
      </c>
      <c r="C846" s="3" t="s">
        <v>99</v>
      </c>
      <c r="D846" s="15" t="n">
        <v>233.55</v>
      </c>
    </row>
    <row r="847" customFormat="false" ht="15" hidden="false" customHeight="false" outlineLevel="0" collapsed="false">
      <c r="A847" s="3" t="n">
        <v>3</v>
      </c>
      <c r="B847" s="3" t="s">
        <v>452</v>
      </c>
      <c r="C847" s="3" t="s">
        <v>98</v>
      </c>
      <c r="D847" s="15" t="n">
        <v>972.59</v>
      </c>
    </row>
    <row r="848" customFormat="false" ht="15" hidden="false" customHeight="false" outlineLevel="0" collapsed="false">
      <c r="A848" s="3" t="n">
        <v>3</v>
      </c>
      <c r="B848" s="3" t="s">
        <v>452</v>
      </c>
      <c r="C848" s="3" t="s">
        <v>82</v>
      </c>
      <c r="D848" s="15" t="n">
        <v>360.27</v>
      </c>
    </row>
    <row r="849" customFormat="false" ht="15" hidden="false" customHeight="false" outlineLevel="0" collapsed="false">
      <c r="A849" s="3" t="n">
        <v>3</v>
      </c>
      <c r="B849" s="3" t="s">
        <v>453</v>
      </c>
      <c r="C849" s="3" t="s">
        <v>103</v>
      </c>
      <c r="D849" s="15" t="n">
        <v>-284.52</v>
      </c>
    </row>
    <row r="850" customFormat="false" ht="15" hidden="false" customHeight="false" outlineLevel="0" collapsed="false">
      <c r="A850" s="3" t="n">
        <v>3</v>
      </c>
      <c r="B850" s="3" t="s">
        <v>453</v>
      </c>
      <c r="C850" s="3" t="s">
        <v>102</v>
      </c>
      <c r="D850" s="15" t="n">
        <v>480</v>
      </c>
    </row>
    <row r="851" customFormat="false" ht="15" hidden="false" customHeight="false" outlineLevel="0" collapsed="false">
      <c r="A851" s="3" t="n">
        <v>3</v>
      </c>
      <c r="B851" s="3" t="s">
        <v>453</v>
      </c>
      <c r="C851" s="3" t="s">
        <v>100</v>
      </c>
      <c r="D851" s="15" t="n">
        <v>9765.72</v>
      </c>
    </row>
    <row r="852" customFormat="false" ht="15" hidden="false" customHeight="false" outlineLevel="0" collapsed="false">
      <c r="A852" s="3" t="n">
        <v>3</v>
      </c>
      <c r="B852" s="3" t="s">
        <v>453</v>
      </c>
      <c r="C852" s="3" t="s">
        <v>98</v>
      </c>
      <c r="D852" s="15" t="n">
        <v>17352</v>
      </c>
    </row>
    <row r="853" customFormat="false" ht="15" hidden="false" customHeight="false" outlineLevel="0" collapsed="false">
      <c r="A853" s="3" t="n">
        <v>3</v>
      </c>
      <c r="B853" s="3" t="s">
        <v>453</v>
      </c>
      <c r="C853" s="3" t="s">
        <v>82</v>
      </c>
      <c r="D853" s="15" t="n">
        <v>9509.16</v>
      </c>
    </row>
    <row r="854" customFormat="false" ht="15" hidden="false" customHeight="false" outlineLevel="0" collapsed="false">
      <c r="A854" s="3" t="n">
        <v>3</v>
      </c>
      <c r="B854" s="3" t="s">
        <v>454</v>
      </c>
      <c r="C854" s="3" t="s">
        <v>103</v>
      </c>
      <c r="D854" s="15" t="n">
        <v>-371.03</v>
      </c>
    </row>
    <row r="855" customFormat="false" ht="15" hidden="false" customHeight="false" outlineLevel="0" collapsed="false">
      <c r="A855" s="3" t="n">
        <v>3</v>
      </c>
      <c r="B855" s="3" t="s">
        <v>454</v>
      </c>
      <c r="C855" s="3" t="s">
        <v>100</v>
      </c>
      <c r="D855" s="15" t="n">
        <v>2277.74</v>
      </c>
    </row>
    <row r="856" customFormat="false" ht="15" hidden="false" customHeight="false" outlineLevel="0" collapsed="false">
      <c r="A856" s="3" t="n">
        <v>3</v>
      </c>
      <c r="B856" s="3" t="s">
        <v>454</v>
      </c>
      <c r="C856" s="3" t="s">
        <v>99</v>
      </c>
      <c r="D856" s="15" t="n">
        <v>657.1</v>
      </c>
    </row>
    <row r="857" customFormat="false" ht="15" hidden="false" customHeight="false" outlineLevel="0" collapsed="false">
      <c r="A857" s="3" t="n">
        <v>3</v>
      </c>
      <c r="B857" s="3" t="s">
        <v>454</v>
      </c>
      <c r="C857" s="3" t="s">
        <v>98</v>
      </c>
      <c r="D857" s="15" t="n">
        <v>3414</v>
      </c>
    </row>
    <row r="858" customFormat="false" ht="15" hidden="false" customHeight="false" outlineLevel="0" collapsed="false">
      <c r="A858" s="3" t="n">
        <v>3</v>
      </c>
      <c r="B858" s="3" t="s">
        <v>454</v>
      </c>
      <c r="C858" s="3" t="s">
        <v>82</v>
      </c>
      <c r="D858" s="15" t="n">
        <v>2124.11</v>
      </c>
    </row>
    <row r="859" customFormat="false" ht="15" hidden="false" customHeight="false" outlineLevel="0" collapsed="false">
      <c r="A859" s="3" t="n">
        <v>3</v>
      </c>
      <c r="B859" s="3" t="s">
        <v>455</v>
      </c>
      <c r="C859" s="3" t="s">
        <v>103</v>
      </c>
      <c r="D859" s="15" t="n">
        <v>-749.18</v>
      </c>
    </row>
    <row r="860" customFormat="false" ht="15" hidden="false" customHeight="false" outlineLevel="0" collapsed="false">
      <c r="A860" s="3" t="n">
        <v>3</v>
      </c>
      <c r="B860" s="3" t="s">
        <v>455</v>
      </c>
      <c r="C860" s="3" t="s">
        <v>100</v>
      </c>
      <c r="D860" s="15" t="n">
        <v>6347.09</v>
      </c>
    </row>
    <row r="861" customFormat="false" ht="15" hidden="false" customHeight="false" outlineLevel="0" collapsed="false">
      <c r="A861" s="3" t="n">
        <v>3</v>
      </c>
      <c r="B861" s="3" t="s">
        <v>455</v>
      </c>
      <c r="C861" s="3" t="s">
        <v>99</v>
      </c>
      <c r="D861" s="15" t="n">
        <v>2990.9</v>
      </c>
    </row>
    <row r="862" customFormat="false" ht="15" hidden="false" customHeight="false" outlineLevel="0" collapsed="false">
      <c r="A862" s="3" t="n">
        <v>3</v>
      </c>
      <c r="B862" s="3" t="s">
        <v>455</v>
      </c>
      <c r="C862" s="3" t="s">
        <v>98</v>
      </c>
      <c r="D862" s="15" t="n">
        <v>8105</v>
      </c>
    </row>
    <row r="863" customFormat="false" ht="15" hidden="false" customHeight="false" outlineLevel="0" collapsed="false">
      <c r="A863" s="3" t="n">
        <v>3</v>
      </c>
      <c r="B863" s="3" t="s">
        <v>455</v>
      </c>
      <c r="C863" s="3" t="s">
        <v>82</v>
      </c>
      <c r="D863" s="15" t="n">
        <v>5898.05</v>
      </c>
    </row>
    <row r="864" customFormat="false" ht="15" hidden="false" customHeight="false" outlineLevel="0" collapsed="false">
      <c r="A864" s="3" t="n">
        <v>3</v>
      </c>
      <c r="B864" s="3" t="s">
        <v>456</v>
      </c>
      <c r="C864" s="3" t="s">
        <v>103</v>
      </c>
      <c r="D864" s="15" t="n">
        <v>-155.44</v>
      </c>
    </row>
    <row r="865" customFormat="false" ht="15" hidden="false" customHeight="false" outlineLevel="0" collapsed="false">
      <c r="A865" s="3" t="n">
        <v>3</v>
      </c>
      <c r="B865" s="3" t="s">
        <v>456</v>
      </c>
      <c r="C865" s="3" t="s">
        <v>100</v>
      </c>
      <c r="D865" s="15" t="n">
        <v>854.34</v>
      </c>
    </row>
    <row r="866" customFormat="false" ht="15" hidden="false" customHeight="false" outlineLevel="0" collapsed="false">
      <c r="A866" s="3" t="n">
        <v>3</v>
      </c>
      <c r="B866" s="3" t="s">
        <v>456</v>
      </c>
      <c r="C866" s="3" t="s">
        <v>99</v>
      </c>
      <c r="D866" s="15" t="n">
        <v>5.09</v>
      </c>
    </row>
    <row r="867" customFormat="false" ht="15" hidden="false" customHeight="false" outlineLevel="0" collapsed="false">
      <c r="A867" s="3" t="n">
        <v>3</v>
      </c>
      <c r="B867" s="3" t="s">
        <v>456</v>
      </c>
      <c r="C867" s="3" t="s">
        <v>98</v>
      </c>
      <c r="D867" s="15" t="n">
        <v>1512.93</v>
      </c>
    </row>
    <row r="868" customFormat="false" ht="15" hidden="false" customHeight="false" outlineLevel="0" collapsed="false">
      <c r="A868" s="3" t="n">
        <v>3</v>
      </c>
      <c r="B868" s="3" t="s">
        <v>456</v>
      </c>
      <c r="C868" s="3" t="s">
        <v>82</v>
      </c>
      <c r="D868" s="15" t="n">
        <v>791.77</v>
      </c>
    </row>
    <row r="869" customFormat="false" ht="15" hidden="false" customHeight="false" outlineLevel="0" collapsed="false">
      <c r="A869" s="3" t="n">
        <v>3</v>
      </c>
      <c r="B869" s="3" t="s">
        <v>457</v>
      </c>
      <c r="C869" s="3" t="s">
        <v>103</v>
      </c>
      <c r="D869" s="15" t="n">
        <v>-354.49</v>
      </c>
    </row>
    <row r="870" customFormat="false" ht="15" hidden="false" customHeight="false" outlineLevel="0" collapsed="false">
      <c r="A870" s="3" t="n">
        <v>3</v>
      </c>
      <c r="B870" s="3" t="s">
        <v>457</v>
      </c>
      <c r="C870" s="3" t="s">
        <v>102</v>
      </c>
      <c r="D870" s="15" t="n">
        <v>119.42</v>
      </c>
    </row>
    <row r="871" customFormat="false" ht="15" hidden="false" customHeight="false" outlineLevel="0" collapsed="false">
      <c r="A871" s="3" t="n">
        <v>3</v>
      </c>
      <c r="B871" s="3" t="s">
        <v>457</v>
      </c>
      <c r="C871" s="3" t="s">
        <v>100</v>
      </c>
      <c r="D871" s="15" t="n">
        <v>2032.48</v>
      </c>
    </row>
    <row r="872" customFormat="false" ht="15" hidden="false" customHeight="false" outlineLevel="0" collapsed="false">
      <c r="A872" s="3" t="n">
        <v>3</v>
      </c>
      <c r="B872" s="3" t="s">
        <v>457</v>
      </c>
      <c r="C872" s="3" t="s">
        <v>99</v>
      </c>
      <c r="D872" s="15" t="n">
        <v>85.35</v>
      </c>
    </row>
    <row r="873" customFormat="false" ht="15" hidden="false" customHeight="false" outlineLevel="0" collapsed="false">
      <c r="A873" s="3" t="n">
        <v>3</v>
      </c>
      <c r="B873" s="3" t="s">
        <v>457</v>
      </c>
      <c r="C873" s="3" t="s">
        <v>98</v>
      </c>
      <c r="D873" s="15" t="n">
        <v>3414</v>
      </c>
    </row>
    <row r="874" customFormat="false" ht="15" hidden="false" customHeight="false" outlineLevel="0" collapsed="false">
      <c r="A874" s="3" t="n">
        <v>3</v>
      </c>
      <c r="B874" s="3" t="s">
        <v>457</v>
      </c>
      <c r="C874" s="3" t="s">
        <v>82</v>
      </c>
      <c r="D874" s="15" t="n">
        <v>1888.05</v>
      </c>
    </row>
    <row r="875" customFormat="false" ht="15" hidden="false" customHeight="false" outlineLevel="0" collapsed="false">
      <c r="A875" s="3" t="n">
        <v>3</v>
      </c>
      <c r="B875" s="3" t="s">
        <v>458</v>
      </c>
      <c r="C875" s="3" t="s">
        <v>103</v>
      </c>
      <c r="D875" s="15" t="n">
        <v>-1095.49</v>
      </c>
    </row>
    <row r="876" customFormat="false" ht="15" hidden="false" customHeight="false" outlineLevel="0" collapsed="false">
      <c r="A876" s="3" t="n">
        <v>3</v>
      </c>
      <c r="B876" s="3" t="s">
        <v>458</v>
      </c>
      <c r="C876" s="3" t="s">
        <v>100</v>
      </c>
      <c r="D876" s="15" t="n">
        <v>4286.55</v>
      </c>
    </row>
    <row r="877" customFormat="false" ht="15" hidden="false" customHeight="false" outlineLevel="0" collapsed="false">
      <c r="A877" s="3" t="n">
        <v>3</v>
      </c>
      <c r="B877" s="3" t="s">
        <v>458</v>
      </c>
      <c r="C877" s="3" t="s">
        <v>99</v>
      </c>
      <c r="D877" s="15" t="n">
        <v>1378.67</v>
      </c>
    </row>
    <row r="878" customFormat="false" ht="15" hidden="false" customHeight="false" outlineLevel="0" collapsed="false">
      <c r="A878" s="3" t="n">
        <v>3</v>
      </c>
      <c r="B878" s="3" t="s">
        <v>458</v>
      </c>
      <c r="C878" s="3" t="s">
        <v>98</v>
      </c>
      <c r="D878" s="15" t="n">
        <v>6484</v>
      </c>
    </row>
    <row r="879" customFormat="false" ht="15" hidden="false" customHeight="false" outlineLevel="0" collapsed="false">
      <c r="A879" s="3" t="n">
        <v>3</v>
      </c>
      <c r="B879" s="3" t="s">
        <v>458</v>
      </c>
      <c r="C879" s="3" t="s">
        <v>82</v>
      </c>
      <c r="D879" s="15" t="n">
        <v>3959.04</v>
      </c>
    </row>
    <row r="880" customFormat="false" ht="15" hidden="false" customHeight="false" outlineLevel="0" collapsed="false">
      <c r="A880" s="3" t="n">
        <v>3</v>
      </c>
      <c r="B880" s="3" t="s">
        <v>459</v>
      </c>
      <c r="C880" s="3" t="s">
        <v>103</v>
      </c>
      <c r="D880" s="15" t="n">
        <v>-1042.31</v>
      </c>
    </row>
    <row r="881" customFormat="false" ht="15" hidden="false" customHeight="false" outlineLevel="0" collapsed="false">
      <c r="A881" s="3" t="n">
        <v>3</v>
      </c>
      <c r="B881" s="3" t="s">
        <v>459</v>
      </c>
      <c r="C881" s="3" t="s">
        <v>102</v>
      </c>
      <c r="D881" s="15" t="n">
        <v>227.6</v>
      </c>
    </row>
    <row r="882" customFormat="false" ht="15" hidden="false" customHeight="false" outlineLevel="0" collapsed="false">
      <c r="A882" s="3" t="n">
        <v>3</v>
      </c>
      <c r="B882" s="3" t="s">
        <v>459</v>
      </c>
      <c r="C882" s="3" t="s">
        <v>100</v>
      </c>
      <c r="D882" s="15" t="n">
        <v>5467.01</v>
      </c>
    </row>
    <row r="883" customFormat="false" ht="15" hidden="false" customHeight="false" outlineLevel="0" collapsed="false">
      <c r="A883" s="3" t="n">
        <v>3</v>
      </c>
      <c r="B883" s="3" t="s">
        <v>459</v>
      </c>
      <c r="C883" s="3" t="s">
        <v>99</v>
      </c>
      <c r="D883" s="15" t="n">
        <v>2064.02</v>
      </c>
    </row>
    <row r="884" customFormat="false" ht="15" hidden="false" customHeight="false" outlineLevel="0" collapsed="false">
      <c r="A884" s="3" t="n">
        <v>3</v>
      </c>
      <c r="B884" s="3" t="s">
        <v>459</v>
      </c>
      <c r="C884" s="3" t="s">
        <v>98</v>
      </c>
      <c r="D884" s="15" t="n">
        <v>6600.4</v>
      </c>
    </row>
    <row r="885" customFormat="false" ht="15" hidden="false" customHeight="false" outlineLevel="0" collapsed="false">
      <c r="A885" s="3" t="n">
        <v>3</v>
      </c>
      <c r="B885" s="3" t="s">
        <v>459</v>
      </c>
      <c r="C885" s="3" t="s">
        <v>82</v>
      </c>
      <c r="D885" s="15" t="n">
        <v>4759.3</v>
      </c>
    </row>
    <row r="886" customFormat="false" ht="15" hidden="false" customHeight="false" outlineLevel="0" collapsed="false">
      <c r="A886" s="3" t="n">
        <v>3</v>
      </c>
      <c r="B886" s="3" t="s">
        <v>460</v>
      </c>
      <c r="C886" s="3" t="s">
        <v>103</v>
      </c>
      <c r="D886" s="15" t="n">
        <v>-360.35</v>
      </c>
    </row>
    <row r="887" customFormat="false" ht="15" hidden="false" customHeight="false" outlineLevel="0" collapsed="false">
      <c r="A887" s="3" t="n">
        <v>3</v>
      </c>
      <c r="B887" s="3" t="s">
        <v>460</v>
      </c>
      <c r="C887" s="3" t="s">
        <v>100</v>
      </c>
      <c r="D887" s="15" t="n">
        <v>1954.9</v>
      </c>
    </row>
    <row r="888" customFormat="false" ht="15" hidden="false" customHeight="false" outlineLevel="0" collapsed="false">
      <c r="A888" s="3" t="n">
        <v>3</v>
      </c>
      <c r="B888" s="3" t="s">
        <v>460</v>
      </c>
      <c r="C888" s="3" t="s">
        <v>99</v>
      </c>
      <c r="D888" s="15" t="n">
        <v>72.78</v>
      </c>
    </row>
    <row r="889" customFormat="false" ht="15" hidden="false" customHeight="false" outlineLevel="0" collapsed="false">
      <c r="A889" s="3" t="n">
        <v>3</v>
      </c>
      <c r="B889" s="3" t="s">
        <v>460</v>
      </c>
      <c r="C889" s="3" t="s">
        <v>98</v>
      </c>
      <c r="D889" s="15" t="n">
        <v>3414</v>
      </c>
    </row>
    <row r="890" customFormat="false" ht="15" hidden="false" customHeight="false" outlineLevel="0" collapsed="false">
      <c r="A890" s="3" t="n">
        <v>3</v>
      </c>
      <c r="B890" s="3" t="s">
        <v>460</v>
      </c>
      <c r="C890" s="3" t="s">
        <v>82</v>
      </c>
      <c r="D890" s="15" t="n">
        <v>1813.4</v>
      </c>
    </row>
    <row r="891" customFormat="false" ht="15" hidden="false" customHeight="false" outlineLevel="0" collapsed="false">
      <c r="A891" s="3" t="n">
        <v>3</v>
      </c>
      <c r="B891" s="3" t="s">
        <v>461</v>
      </c>
      <c r="C891" s="3" t="s">
        <v>103</v>
      </c>
      <c r="D891" s="15" t="n">
        <v>-337.69</v>
      </c>
    </row>
    <row r="892" customFormat="false" ht="15" hidden="false" customHeight="false" outlineLevel="0" collapsed="false">
      <c r="A892" s="3" t="n">
        <v>3</v>
      </c>
      <c r="B892" s="3" t="s">
        <v>461</v>
      </c>
      <c r="C892" s="3" t="s">
        <v>100</v>
      </c>
      <c r="D892" s="15" t="n">
        <v>2109.61</v>
      </c>
    </row>
    <row r="893" customFormat="false" ht="15" hidden="false" customHeight="false" outlineLevel="0" collapsed="false">
      <c r="A893" s="3" t="n">
        <v>3</v>
      </c>
      <c r="B893" s="3" t="s">
        <v>461</v>
      </c>
      <c r="C893" s="3" t="s">
        <v>99</v>
      </c>
      <c r="D893" s="15" t="n">
        <v>507.33</v>
      </c>
    </row>
    <row r="894" customFormat="false" ht="15" hidden="false" customHeight="false" outlineLevel="0" collapsed="false">
      <c r="A894" s="3" t="n">
        <v>3</v>
      </c>
      <c r="B894" s="3" t="s">
        <v>461</v>
      </c>
      <c r="C894" s="3" t="s">
        <v>98</v>
      </c>
      <c r="D894" s="15" t="n">
        <v>3242</v>
      </c>
    </row>
    <row r="895" customFormat="false" ht="15" hidden="false" customHeight="false" outlineLevel="0" collapsed="false">
      <c r="A895" s="3" t="n">
        <v>3</v>
      </c>
      <c r="B895" s="3" t="s">
        <v>461</v>
      </c>
      <c r="C895" s="3" t="s">
        <v>82</v>
      </c>
      <c r="D895" s="15" t="n">
        <v>1964.32</v>
      </c>
    </row>
    <row r="896" customFormat="false" ht="15" hidden="false" customHeight="false" outlineLevel="0" collapsed="false">
      <c r="A896" s="3" t="n">
        <v>3</v>
      </c>
      <c r="B896" s="3" t="s">
        <v>462</v>
      </c>
      <c r="C896" s="3" t="s">
        <v>103</v>
      </c>
      <c r="D896" s="15" t="n">
        <v>-1581.32</v>
      </c>
    </row>
    <row r="897" customFormat="false" ht="15" hidden="false" customHeight="false" outlineLevel="0" collapsed="false">
      <c r="A897" s="3" t="n">
        <v>3</v>
      </c>
      <c r="B897" s="3" t="s">
        <v>462</v>
      </c>
      <c r="C897" s="3" t="s">
        <v>100</v>
      </c>
      <c r="D897" s="15" t="n">
        <v>2774.57</v>
      </c>
    </row>
    <row r="898" customFormat="false" ht="15" hidden="false" customHeight="false" outlineLevel="0" collapsed="false">
      <c r="A898" s="3" t="n">
        <v>3</v>
      </c>
      <c r="B898" s="3" t="s">
        <v>462</v>
      </c>
      <c r="C898" s="3" t="s">
        <v>99</v>
      </c>
      <c r="D898" s="15" t="n">
        <v>840.44</v>
      </c>
    </row>
    <row r="899" customFormat="false" ht="15" hidden="false" customHeight="false" outlineLevel="0" collapsed="false">
      <c r="A899" s="3" t="n">
        <v>3</v>
      </c>
      <c r="B899" s="3" t="s">
        <v>462</v>
      </c>
      <c r="C899" s="3" t="s">
        <v>98</v>
      </c>
      <c r="D899" s="15" t="n">
        <v>4552</v>
      </c>
    </row>
    <row r="900" customFormat="false" ht="15" hidden="false" customHeight="false" outlineLevel="0" collapsed="false">
      <c r="A900" s="3" t="n">
        <v>3</v>
      </c>
      <c r="B900" s="3" t="s">
        <v>462</v>
      </c>
      <c r="C900" s="3" t="s">
        <v>82</v>
      </c>
      <c r="D900" s="15" t="n">
        <v>2431.92</v>
      </c>
    </row>
    <row r="901" customFormat="false" ht="15" hidden="false" customHeight="false" outlineLevel="0" collapsed="false">
      <c r="A901" s="3" t="n">
        <v>3</v>
      </c>
      <c r="B901" s="3" t="s">
        <v>463</v>
      </c>
      <c r="C901" s="3" t="s">
        <v>103</v>
      </c>
      <c r="D901" s="15" t="n">
        <v>-1528.89</v>
      </c>
    </row>
    <row r="902" customFormat="false" ht="15" hidden="false" customHeight="false" outlineLevel="0" collapsed="false">
      <c r="A902" s="3" t="n">
        <v>3</v>
      </c>
      <c r="B902" s="3" t="s">
        <v>463</v>
      </c>
      <c r="C902" s="3" t="s">
        <v>100</v>
      </c>
      <c r="D902" s="15" t="n">
        <v>5820.76</v>
      </c>
    </row>
    <row r="903" customFormat="false" ht="15" hidden="false" customHeight="false" outlineLevel="0" collapsed="false">
      <c r="A903" s="3" t="n">
        <v>3</v>
      </c>
      <c r="B903" s="3" t="s">
        <v>463</v>
      </c>
      <c r="C903" s="3" t="s">
        <v>99</v>
      </c>
      <c r="D903" s="15" t="n">
        <v>1503.66</v>
      </c>
    </row>
    <row r="904" customFormat="false" ht="15" hidden="false" customHeight="false" outlineLevel="0" collapsed="false">
      <c r="A904" s="3" t="n">
        <v>3</v>
      </c>
      <c r="B904" s="3" t="s">
        <v>463</v>
      </c>
      <c r="C904" s="3" t="s">
        <v>98</v>
      </c>
      <c r="D904" s="15" t="n">
        <v>8375.16</v>
      </c>
    </row>
    <row r="905" customFormat="false" ht="15" hidden="false" customHeight="false" outlineLevel="0" collapsed="false">
      <c r="A905" s="3" t="n">
        <v>3</v>
      </c>
      <c r="B905" s="3" t="s">
        <v>463</v>
      </c>
      <c r="C905" s="3" t="s">
        <v>82</v>
      </c>
      <c r="D905" s="15" t="n">
        <v>5122.75</v>
      </c>
    </row>
    <row r="906" customFormat="false" ht="15" hidden="false" customHeight="false" outlineLevel="0" collapsed="false">
      <c r="A906" s="3" t="n">
        <v>3</v>
      </c>
      <c r="B906" s="3" t="s">
        <v>464</v>
      </c>
      <c r="C906" s="3" t="s">
        <v>103</v>
      </c>
      <c r="D906" s="15" t="n">
        <v>-1152.6</v>
      </c>
    </row>
    <row r="907" customFormat="false" ht="15" hidden="false" customHeight="false" outlineLevel="0" collapsed="false">
      <c r="A907" s="3" t="n">
        <v>3</v>
      </c>
      <c r="B907" s="3" t="s">
        <v>464</v>
      </c>
      <c r="C907" s="3" t="s">
        <v>102</v>
      </c>
      <c r="D907" s="15" t="n">
        <v>113.8</v>
      </c>
    </row>
    <row r="908" customFormat="false" ht="15" hidden="false" customHeight="false" outlineLevel="0" collapsed="false">
      <c r="A908" s="3" t="n">
        <v>3</v>
      </c>
      <c r="B908" s="3" t="s">
        <v>464</v>
      </c>
      <c r="C908" s="3" t="s">
        <v>100</v>
      </c>
      <c r="D908" s="15" t="n">
        <v>2054.78</v>
      </c>
    </row>
    <row r="909" customFormat="false" ht="15" hidden="false" customHeight="false" outlineLevel="0" collapsed="false">
      <c r="A909" s="3" t="n">
        <v>3</v>
      </c>
      <c r="B909" s="3" t="s">
        <v>464</v>
      </c>
      <c r="C909" s="3" t="s">
        <v>99</v>
      </c>
      <c r="D909" s="15" t="n">
        <v>570.5</v>
      </c>
    </row>
    <row r="910" customFormat="false" ht="15" hidden="false" customHeight="false" outlineLevel="0" collapsed="false">
      <c r="A910" s="3" t="n">
        <v>3</v>
      </c>
      <c r="B910" s="3" t="s">
        <v>464</v>
      </c>
      <c r="C910" s="3" t="s">
        <v>98</v>
      </c>
      <c r="D910" s="15" t="n">
        <v>2446.7</v>
      </c>
    </row>
    <row r="911" customFormat="false" ht="15" hidden="false" customHeight="false" outlineLevel="0" collapsed="false">
      <c r="A911" s="3" t="n">
        <v>3</v>
      </c>
      <c r="B911" s="3" t="s">
        <v>464</v>
      </c>
      <c r="C911" s="3" t="s">
        <v>82</v>
      </c>
      <c r="D911" s="15" t="n">
        <v>1564.22</v>
      </c>
    </row>
    <row r="912" customFormat="false" ht="15" hidden="false" customHeight="false" outlineLevel="0" collapsed="false">
      <c r="A912" s="3" t="n">
        <v>3</v>
      </c>
      <c r="B912" s="3" t="s">
        <v>465</v>
      </c>
      <c r="C912" s="3" t="s">
        <v>103</v>
      </c>
      <c r="D912" s="15" t="n">
        <v>-1068.82</v>
      </c>
    </row>
    <row r="913" customFormat="false" ht="15" hidden="false" customHeight="false" outlineLevel="0" collapsed="false">
      <c r="A913" s="3" t="n">
        <v>3</v>
      </c>
      <c r="B913" s="3" t="s">
        <v>465</v>
      </c>
      <c r="C913" s="3" t="s">
        <v>100</v>
      </c>
      <c r="D913" s="15" t="n">
        <v>5268.22</v>
      </c>
    </row>
    <row r="914" customFormat="false" ht="15" hidden="false" customHeight="false" outlineLevel="0" collapsed="false">
      <c r="A914" s="3" t="n">
        <v>3</v>
      </c>
      <c r="B914" s="3" t="s">
        <v>465</v>
      </c>
      <c r="C914" s="3" t="s">
        <v>99</v>
      </c>
      <c r="D914" s="15" t="n">
        <v>1406.05</v>
      </c>
    </row>
    <row r="915" customFormat="false" ht="15" hidden="false" customHeight="false" outlineLevel="0" collapsed="false">
      <c r="A915" s="3" t="n">
        <v>3</v>
      </c>
      <c r="B915" s="3" t="s">
        <v>465</v>
      </c>
      <c r="C915" s="3" t="s">
        <v>98</v>
      </c>
      <c r="D915" s="15" t="n">
        <v>8105</v>
      </c>
    </row>
    <row r="916" customFormat="false" ht="15" hidden="false" customHeight="false" outlineLevel="0" collapsed="false">
      <c r="A916" s="3" t="n">
        <v>3</v>
      </c>
      <c r="B916" s="3" t="s">
        <v>465</v>
      </c>
      <c r="C916" s="3" t="s">
        <v>82</v>
      </c>
      <c r="D916" s="15" t="n">
        <v>4890.24</v>
      </c>
    </row>
    <row r="917" customFormat="false" ht="15" hidden="false" customHeight="false" outlineLevel="0" collapsed="false">
      <c r="A917" s="3" t="n">
        <v>3</v>
      </c>
      <c r="B917" s="3" t="s">
        <v>466</v>
      </c>
      <c r="C917" s="3" t="s">
        <v>103</v>
      </c>
      <c r="D917" s="15" t="n">
        <v>-634.73</v>
      </c>
    </row>
    <row r="918" customFormat="false" ht="15" hidden="false" customHeight="false" outlineLevel="0" collapsed="false">
      <c r="A918" s="3" t="n">
        <v>3</v>
      </c>
      <c r="B918" s="3" t="s">
        <v>466</v>
      </c>
      <c r="C918" s="3" t="s">
        <v>102</v>
      </c>
      <c r="D918" s="15" t="n">
        <v>54.03</v>
      </c>
    </row>
    <row r="919" customFormat="false" ht="15" hidden="false" customHeight="false" outlineLevel="0" collapsed="false">
      <c r="A919" s="3" t="n">
        <v>3</v>
      </c>
      <c r="B919" s="3" t="s">
        <v>466</v>
      </c>
      <c r="C919" s="3" t="s">
        <v>100</v>
      </c>
      <c r="D919" s="15" t="n">
        <v>1153.15</v>
      </c>
    </row>
    <row r="920" customFormat="false" ht="15" hidden="false" customHeight="false" outlineLevel="0" collapsed="false">
      <c r="A920" s="3" t="n">
        <v>3</v>
      </c>
      <c r="B920" s="3" t="s">
        <v>466</v>
      </c>
      <c r="C920" s="3" t="s">
        <v>99</v>
      </c>
      <c r="D920" s="15" t="n">
        <v>140.28</v>
      </c>
    </row>
    <row r="921" customFormat="false" ht="15" hidden="false" customHeight="false" outlineLevel="0" collapsed="false">
      <c r="A921" s="3" t="n">
        <v>3</v>
      </c>
      <c r="B921" s="3" t="s">
        <v>466</v>
      </c>
      <c r="C921" s="3" t="s">
        <v>98</v>
      </c>
      <c r="D921" s="15" t="n">
        <v>1837.13</v>
      </c>
    </row>
    <row r="922" customFormat="false" ht="15" hidden="false" customHeight="false" outlineLevel="0" collapsed="false">
      <c r="A922" s="3" t="n">
        <v>3</v>
      </c>
      <c r="B922" s="3" t="s">
        <v>466</v>
      </c>
      <c r="C922" s="3" t="s">
        <v>82</v>
      </c>
      <c r="D922" s="15" t="n">
        <v>967.31</v>
      </c>
    </row>
    <row r="923" customFormat="false" ht="15" hidden="false" customHeight="false" outlineLevel="0" collapsed="false">
      <c r="A923" s="3" t="n">
        <v>3</v>
      </c>
      <c r="B923" s="3" t="s">
        <v>467</v>
      </c>
      <c r="C923" s="3" t="s">
        <v>103</v>
      </c>
      <c r="D923" s="15" t="n">
        <v>-277.61</v>
      </c>
    </row>
    <row r="924" customFormat="false" ht="15" hidden="false" customHeight="false" outlineLevel="0" collapsed="false">
      <c r="A924" s="3" t="n">
        <v>3</v>
      </c>
      <c r="B924" s="3" t="s">
        <v>467</v>
      </c>
      <c r="C924" s="3" t="s">
        <v>100</v>
      </c>
      <c r="D924" s="15" t="n">
        <v>2206.45</v>
      </c>
    </row>
    <row r="925" customFormat="false" ht="15" hidden="false" customHeight="false" outlineLevel="0" collapsed="false">
      <c r="A925" s="3" t="n">
        <v>3</v>
      </c>
      <c r="B925" s="3" t="s">
        <v>467</v>
      </c>
      <c r="C925" s="3" t="s">
        <v>99</v>
      </c>
      <c r="D925" s="15" t="n">
        <v>539.4</v>
      </c>
    </row>
    <row r="926" customFormat="false" ht="15" hidden="false" customHeight="false" outlineLevel="0" collapsed="false">
      <c r="A926" s="3" t="n">
        <v>3</v>
      </c>
      <c r="B926" s="3" t="s">
        <v>467</v>
      </c>
      <c r="C926" s="3" t="s">
        <v>98</v>
      </c>
      <c r="D926" s="15" t="n">
        <v>3414</v>
      </c>
    </row>
    <row r="927" customFormat="false" ht="15" hidden="false" customHeight="false" outlineLevel="0" collapsed="false">
      <c r="A927" s="3" t="n">
        <v>3</v>
      </c>
      <c r="B927" s="3" t="s">
        <v>467</v>
      </c>
      <c r="C927" s="3" t="s">
        <v>82</v>
      </c>
      <c r="D927" s="15" t="n">
        <v>2075.55</v>
      </c>
    </row>
    <row r="928" customFormat="false" ht="15" hidden="false" customHeight="false" outlineLevel="0" collapsed="false">
      <c r="A928" s="3" t="n">
        <v>3</v>
      </c>
      <c r="B928" s="3" t="s">
        <v>468</v>
      </c>
      <c r="C928" s="3" t="s">
        <v>103</v>
      </c>
      <c r="D928" s="15" t="n">
        <v>-1830.88</v>
      </c>
    </row>
    <row r="929" customFormat="false" ht="15" hidden="false" customHeight="false" outlineLevel="0" collapsed="false">
      <c r="A929" s="3" t="n">
        <v>3</v>
      </c>
      <c r="B929" s="3" t="s">
        <v>468</v>
      </c>
      <c r="C929" s="3" t="s">
        <v>102</v>
      </c>
      <c r="D929" s="15" t="n">
        <v>184.67</v>
      </c>
    </row>
    <row r="930" customFormat="false" ht="15" hidden="false" customHeight="false" outlineLevel="0" collapsed="false">
      <c r="A930" s="3" t="n">
        <v>3</v>
      </c>
      <c r="B930" s="3" t="s">
        <v>468</v>
      </c>
      <c r="C930" s="3" t="s">
        <v>100</v>
      </c>
      <c r="D930" s="15" t="n">
        <v>4715.55</v>
      </c>
    </row>
    <row r="931" customFormat="false" ht="15" hidden="false" customHeight="false" outlineLevel="0" collapsed="false">
      <c r="A931" s="3" t="n">
        <v>3</v>
      </c>
      <c r="B931" s="3" t="s">
        <v>468</v>
      </c>
      <c r="C931" s="3" t="s">
        <v>99</v>
      </c>
      <c r="D931" s="15" t="n">
        <v>1915.36</v>
      </c>
    </row>
    <row r="932" customFormat="false" ht="15" hidden="false" customHeight="false" outlineLevel="0" collapsed="false">
      <c r="A932" s="3" t="n">
        <v>3</v>
      </c>
      <c r="B932" s="3" t="s">
        <v>468</v>
      </c>
      <c r="C932" s="3" t="s">
        <v>98</v>
      </c>
      <c r="D932" s="15" t="n">
        <v>6646.1</v>
      </c>
    </row>
    <row r="933" customFormat="false" ht="15" hidden="false" customHeight="false" outlineLevel="0" collapsed="false">
      <c r="A933" s="3" t="n">
        <v>3</v>
      </c>
      <c r="B933" s="3" t="s">
        <v>468</v>
      </c>
      <c r="C933" s="3" t="s">
        <v>82</v>
      </c>
      <c r="D933" s="15" t="n">
        <v>4228.83</v>
      </c>
    </row>
    <row r="934" customFormat="false" ht="15" hidden="false" customHeight="false" outlineLevel="0" collapsed="false">
      <c r="A934" s="3" t="n">
        <v>3</v>
      </c>
      <c r="B934" s="3" t="s">
        <v>469</v>
      </c>
      <c r="C934" s="3" t="s">
        <v>103</v>
      </c>
      <c r="D934" s="15" t="n">
        <v>-948.16</v>
      </c>
    </row>
    <row r="935" customFormat="false" ht="15" hidden="false" customHeight="false" outlineLevel="0" collapsed="false">
      <c r="A935" s="3" t="n">
        <v>3</v>
      </c>
      <c r="B935" s="3" t="s">
        <v>469</v>
      </c>
      <c r="C935" s="3" t="s">
        <v>100</v>
      </c>
      <c r="D935" s="15" t="n">
        <v>4501.94</v>
      </c>
    </row>
    <row r="936" customFormat="false" ht="15" hidden="false" customHeight="false" outlineLevel="0" collapsed="false">
      <c r="A936" s="3" t="n">
        <v>3</v>
      </c>
      <c r="B936" s="3" t="s">
        <v>469</v>
      </c>
      <c r="C936" s="3" t="s">
        <v>99</v>
      </c>
      <c r="D936" s="15" t="n">
        <v>1404.32</v>
      </c>
    </row>
    <row r="937" customFormat="false" ht="15" hidden="false" customHeight="false" outlineLevel="0" collapsed="false">
      <c r="A937" s="3" t="n">
        <v>3</v>
      </c>
      <c r="B937" s="3" t="s">
        <v>469</v>
      </c>
      <c r="C937" s="3" t="s">
        <v>98</v>
      </c>
      <c r="D937" s="15" t="n">
        <v>6828</v>
      </c>
    </row>
    <row r="938" customFormat="false" ht="15" hidden="false" customHeight="false" outlineLevel="0" collapsed="false">
      <c r="A938" s="3" t="n">
        <v>3</v>
      </c>
      <c r="B938" s="3" t="s">
        <v>469</v>
      </c>
      <c r="C938" s="3" t="s">
        <v>82</v>
      </c>
      <c r="D938" s="15" t="n">
        <v>4192.62</v>
      </c>
    </row>
    <row r="939" customFormat="false" ht="15" hidden="false" customHeight="false" outlineLevel="0" collapsed="false">
      <c r="A939" s="3" t="n">
        <v>3</v>
      </c>
      <c r="B939" s="3" t="s">
        <v>470</v>
      </c>
      <c r="C939" s="3" t="s">
        <v>103</v>
      </c>
      <c r="D939" s="15" t="n">
        <v>-9290.62</v>
      </c>
    </row>
    <row r="940" customFormat="false" ht="15" hidden="false" customHeight="false" outlineLevel="0" collapsed="false">
      <c r="A940" s="3" t="n">
        <v>3</v>
      </c>
      <c r="B940" s="3" t="s">
        <v>470</v>
      </c>
      <c r="C940" s="3" t="s">
        <v>102</v>
      </c>
      <c r="D940" s="15" t="n">
        <v>692.19</v>
      </c>
    </row>
    <row r="941" customFormat="false" ht="15" hidden="false" customHeight="false" outlineLevel="0" collapsed="false">
      <c r="A941" s="3" t="n">
        <v>3</v>
      </c>
      <c r="B941" s="3" t="s">
        <v>470</v>
      </c>
      <c r="C941" s="3" t="s">
        <v>100</v>
      </c>
      <c r="D941" s="15" t="n">
        <v>34988.65</v>
      </c>
    </row>
    <row r="942" customFormat="false" ht="15" hidden="false" customHeight="false" outlineLevel="0" collapsed="false">
      <c r="A942" s="3" t="n">
        <v>3</v>
      </c>
      <c r="B942" s="3" t="s">
        <v>470</v>
      </c>
      <c r="C942" s="3" t="s">
        <v>99</v>
      </c>
      <c r="D942" s="15" t="n">
        <v>2059.06</v>
      </c>
    </row>
    <row r="943" customFormat="false" ht="15" hidden="false" customHeight="false" outlineLevel="0" collapsed="false">
      <c r="A943" s="3" t="n">
        <v>3</v>
      </c>
      <c r="B943" s="3" t="s">
        <v>470</v>
      </c>
      <c r="C943" s="3" t="s">
        <v>98</v>
      </c>
      <c r="D943" s="15" t="n">
        <v>65168.4</v>
      </c>
    </row>
    <row r="944" customFormat="false" ht="15" hidden="false" customHeight="false" outlineLevel="0" collapsed="false">
      <c r="A944" s="3" t="n">
        <v>3</v>
      </c>
      <c r="B944" s="3" t="s">
        <v>470</v>
      </c>
      <c r="C944" s="3" t="s">
        <v>82</v>
      </c>
      <c r="D944" s="15" t="n">
        <v>32972.02</v>
      </c>
    </row>
    <row r="945" customFormat="false" ht="15" hidden="false" customHeight="false" outlineLevel="0" collapsed="false">
      <c r="A945" s="3" t="n">
        <v>3</v>
      </c>
      <c r="B945" s="3" t="s">
        <v>472</v>
      </c>
      <c r="C945" s="3" t="s">
        <v>103</v>
      </c>
      <c r="D945" s="15" t="n">
        <v>-352.44</v>
      </c>
    </row>
    <row r="946" customFormat="false" ht="15" hidden="false" customHeight="false" outlineLevel="0" collapsed="false">
      <c r="A946" s="3" t="n">
        <v>3</v>
      </c>
      <c r="B946" s="3" t="s">
        <v>472</v>
      </c>
      <c r="C946" s="3" t="s">
        <v>102</v>
      </c>
      <c r="D946" s="15" t="n">
        <v>480</v>
      </c>
    </row>
    <row r="947" customFormat="false" ht="15" hidden="false" customHeight="false" outlineLevel="0" collapsed="false">
      <c r="A947" s="3" t="n">
        <v>3</v>
      </c>
      <c r="B947" s="3" t="s">
        <v>472</v>
      </c>
      <c r="C947" s="3" t="s">
        <v>100</v>
      </c>
      <c r="D947" s="15" t="n">
        <v>12138.48</v>
      </c>
    </row>
    <row r="948" customFormat="false" ht="15" hidden="false" customHeight="false" outlineLevel="0" collapsed="false">
      <c r="A948" s="3" t="n">
        <v>3</v>
      </c>
      <c r="B948" s="3" t="s">
        <v>472</v>
      </c>
      <c r="C948" s="3" t="s">
        <v>98</v>
      </c>
      <c r="D948" s="15" t="n">
        <v>21568</v>
      </c>
    </row>
    <row r="949" customFormat="false" ht="15" hidden="false" customHeight="false" outlineLevel="0" collapsed="false">
      <c r="A949" s="3" t="n">
        <v>3</v>
      </c>
      <c r="B949" s="3" t="s">
        <v>472</v>
      </c>
      <c r="C949" s="3" t="s">
        <v>82</v>
      </c>
      <c r="D949" s="15" t="n">
        <v>10196.56</v>
      </c>
    </row>
    <row r="950" customFormat="false" ht="15" hidden="false" customHeight="false" outlineLevel="0" collapsed="false">
      <c r="A950" s="3" t="n">
        <v>3</v>
      </c>
      <c r="B950" s="3" t="s">
        <v>473</v>
      </c>
      <c r="C950" s="3" t="s">
        <v>101</v>
      </c>
      <c r="D950" s="15" t="n">
        <v>43176.63</v>
      </c>
    </row>
    <row r="951" customFormat="false" ht="15" hidden="false" customHeight="false" outlineLevel="0" collapsed="false">
      <c r="A951" s="3" t="n">
        <v>3</v>
      </c>
      <c r="B951" s="3" t="s">
        <v>473</v>
      </c>
      <c r="C951" s="3" t="s">
        <v>102</v>
      </c>
      <c r="D951" s="15" t="n">
        <v>1570</v>
      </c>
    </row>
    <row r="952" customFormat="false" ht="15" hidden="false" customHeight="false" outlineLevel="0" collapsed="false">
      <c r="A952" s="3" t="n">
        <v>3</v>
      </c>
      <c r="B952" s="3" t="s">
        <v>474</v>
      </c>
      <c r="C952" s="3" t="s">
        <v>101</v>
      </c>
      <c r="D952" s="15" t="n">
        <v>213266.96</v>
      </c>
    </row>
    <row r="953" customFormat="false" ht="15" hidden="false" customHeight="false" outlineLevel="0" collapsed="false">
      <c r="A953" s="3" t="n">
        <v>3</v>
      </c>
      <c r="B953" s="3" t="s">
        <v>474</v>
      </c>
      <c r="C953" s="3" t="s">
        <v>102</v>
      </c>
      <c r="D953" s="15" t="n">
        <v>14014.5</v>
      </c>
    </row>
    <row r="954" customFormat="false" ht="15" hidden="false" customHeight="false" outlineLevel="0" collapsed="false">
      <c r="A954" s="3" t="n">
        <v>3</v>
      </c>
      <c r="B954" s="3" t="s">
        <v>475</v>
      </c>
      <c r="C954" s="3" t="s">
        <v>101</v>
      </c>
      <c r="D954" s="15" t="n">
        <v>1422.54</v>
      </c>
    </row>
    <row r="955" customFormat="false" ht="15" hidden="false" customHeight="false" outlineLevel="0" collapsed="false">
      <c r="A955" s="3" t="n">
        <v>3</v>
      </c>
      <c r="B955" s="3" t="s">
        <v>476</v>
      </c>
      <c r="C955" s="3" t="s">
        <v>101</v>
      </c>
      <c r="D955" s="15" t="n">
        <v>29684.08</v>
      </c>
    </row>
    <row r="956" customFormat="false" ht="15" hidden="false" customHeight="false" outlineLevel="0" collapsed="false">
      <c r="A956" s="3" t="n">
        <v>3</v>
      </c>
      <c r="B956" s="3" t="s">
        <v>476</v>
      </c>
      <c r="C956" s="3" t="s">
        <v>102</v>
      </c>
      <c r="D956" s="15" t="n">
        <v>3072.99</v>
      </c>
    </row>
    <row r="957" customFormat="false" ht="15" hidden="false" customHeight="false" outlineLevel="0" collapsed="false">
      <c r="A957" s="3" t="n">
        <v>3</v>
      </c>
      <c r="B957" s="3" t="s">
        <v>477</v>
      </c>
      <c r="C957" s="3" t="s">
        <v>101</v>
      </c>
      <c r="D957" s="15" t="n">
        <v>3524.4</v>
      </c>
    </row>
    <row r="958" customFormat="false" ht="15" hidden="false" customHeight="false" outlineLevel="0" collapsed="false">
      <c r="A958" s="3" t="n">
        <v>3</v>
      </c>
      <c r="B958" s="3" t="s">
        <v>477</v>
      </c>
      <c r="C958" s="3" t="s">
        <v>102</v>
      </c>
      <c r="D958" s="15" t="n">
        <v>2334.57</v>
      </c>
    </row>
    <row r="959" customFormat="false" ht="15" hidden="false" customHeight="false" outlineLevel="0" collapsed="false">
      <c r="A959" s="3" t="n">
        <v>3</v>
      </c>
      <c r="B959" s="3" t="s">
        <v>478</v>
      </c>
      <c r="C959" s="3" t="s">
        <v>101</v>
      </c>
      <c r="D959" s="15" t="n">
        <v>8497.45</v>
      </c>
    </row>
    <row r="960" customFormat="false" ht="15" hidden="false" customHeight="false" outlineLevel="0" collapsed="false">
      <c r="A960" s="3" t="n">
        <v>3</v>
      </c>
      <c r="B960" s="3" t="s">
        <v>478</v>
      </c>
      <c r="C960" s="3" t="s">
        <v>102</v>
      </c>
      <c r="D960" s="15" t="n">
        <v>414.4</v>
      </c>
    </row>
    <row r="961" customFormat="false" ht="15" hidden="false" customHeight="false" outlineLevel="0" collapsed="false">
      <c r="A961" s="3" t="n">
        <v>3</v>
      </c>
      <c r="B961" s="3" t="s">
        <v>479</v>
      </c>
      <c r="C961" s="3" t="s">
        <v>101</v>
      </c>
      <c r="D961" s="15" t="n">
        <v>5221.15</v>
      </c>
    </row>
    <row r="962" customFormat="false" ht="15" hidden="false" customHeight="false" outlineLevel="0" collapsed="false">
      <c r="A962" s="3" t="n">
        <v>3</v>
      </c>
      <c r="B962" s="3" t="s">
        <v>479</v>
      </c>
      <c r="C962" s="3" t="s">
        <v>103</v>
      </c>
      <c r="D962" s="15" t="n">
        <v>-1933</v>
      </c>
    </row>
    <row r="963" customFormat="false" ht="15" hidden="false" customHeight="false" outlineLevel="0" collapsed="false">
      <c r="A963" s="3" t="n">
        <v>3</v>
      </c>
      <c r="B963" s="3" t="s">
        <v>479</v>
      </c>
      <c r="C963" s="3" t="s">
        <v>102</v>
      </c>
      <c r="D963" s="15" t="n">
        <v>2137.35</v>
      </c>
    </row>
    <row r="964" customFormat="false" ht="15" hidden="false" customHeight="false" outlineLevel="0" collapsed="false">
      <c r="A964" s="3" t="n">
        <v>3</v>
      </c>
      <c r="B964" s="3" t="s">
        <v>480</v>
      </c>
      <c r="C964" s="3" t="s">
        <v>101</v>
      </c>
      <c r="D964" s="15" t="n">
        <v>2730.65</v>
      </c>
    </row>
    <row r="965" customFormat="false" ht="15" hidden="false" customHeight="false" outlineLevel="0" collapsed="false">
      <c r="A965" s="3" t="n">
        <v>3</v>
      </c>
      <c r="B965" s="3" t="s">
        <v>480</v>
      </c>
      <c r="C965" s="3" t="s">
        <v>102</v>
      </c>
      <c r="D965" s="15" t="n">
        <v>190.7</v>
      </c>
    </row>
    <row r="966" customFormat="false" ht="15" hidden="false" customHeight="false" outlineLevel="0" collapsed="false">
      <c r="A966" s="3" t="n">
        <v>3</v>
      </c>
      <c r="B966" s="3" t="s">
        <v>481</v>
      </c>
      <c r="C966" s="3" t="s">
        <v>101</v>
      </c>
      <c r="D966" s="15" t="n">
        <v>4711.37</v>
      </c>
    </row>
    <row r="967" customFormat="false" ht="15" hidden="false" customHeight="false" outlineLevel="0" collapsed="false">
      <c r="A967" s="3" t="n">
        <v>3</v>
      </c>
      <c r="B967" s="3" t="s">
        <v>481</v>
      </c>
      <c r="C967" s="3" t="s">
        <v>102</v>
      </c>
      <c r="D967" s="15" t="n">
        <v>293</v>
      </c>
    </row>
    <row r="968" customFormat="false" ht="15" hidden="false" customHeight="false" outlineLevel="0" collapsed="false">
      <c r="A968" s="3" t="n">
        <v>3</v>
      </c>
      <c r="B968" s="3" t="s">
        <v>482</v>
      </c>
      <c r="C968" s="3" t="s">
        <v>101</v>
      </c>
      <c r="D968" s="15" t="n">
        <v>27028.98</v>
      </c>
    </row>
    <row r="969" customFormat="false" ht="15" hidden="false" customHeight="false" outlineLevel="0" collapsed="false">
      <c r="A969" s="3" t="n">
        <v>3</v>
      </c>
      <c r="B969" s="3" t="s">
        <v>482</v>
      </c>
      <c r="C969" s="3" t="s">
        <v>102</v>
      </c>
      <c r="D969" s="15" t="n">
        <v>2551.2</v>
      </c>
    </row>
    <row r="970" customFormat="false" ht="15" hidden="false" customHeight="false" outlineLevel="0" collapsed="false">
      <c r="A970" s="3" t="n">
        <v>3</v>
      </c>
      <c r="B970" s="3" t="s">
        <v>483</v>
      </c>
      <c r="C970" s="3" t="s">
        <v>101</v>
      </c>
      <c r="D970" s="15" t="n">
        <v>1422.52</v>
      </c>
    </row>
    <row r="971" customFormat="false" ht="15" hidden="false" customHeight="false" outlineLevel="0" collapsed="false">
      <c r="A971" s="3" t="n">
        <v>3</v>
      </c>
      <c r="B971" s="3" t="s">
        <v>483</v>
      </c>
      <c r="C971" s="3" t="s">
        <v>102</v>
      </c>
      <c r="D971" s="15" t="n">
        <v>2079.33</v>
      </c>
    </row>
    <row r="972" customFormat="false" ht="15" hidden="false" customHeight="false" outlineLevel="0" collapsed="false">
      <c r="A972" s="3" t="n">
        <v>3</v>
      </c>
      <c r="B972" s="3" t="s">
        <v>484</v>
      </c>
      <c r="C972" s="3" t="s">
        <v>101</v>
      </c>
      <c r="D972" s="15" t="n">
        <v>6928.14</v>
      </c>
    </row>
    <row r="973" customFormat="false" ht="15" hidden="false" customHeight="false" outlineLevel="0" collapsed="false">
      <c r="A973" s="3" t="n">
        <v>3</v>
      </c>
      <c r="B973" s="3" t="s">
        <v>484</v>
      </c>
      <c r="C973" s="3" t="s">
        <v>102</v>
      </c>
      <c r="D973" s="15" t="n">
        <v>25847.33</v>
      </c>
    </row>
    <row r="974" customFormat="false" ht="15" hidden="false" customHeight="false" outlineLevel="0" collapsed="false">
      <c r="A974" s="3" t="n">
        <v>3</v>
      </c>
      <c r="B974" s="3" t="s">
        <v>485</v>
      </c>
      <c r="C974" s="3" t="s">
        <v>101</v>
      </c>
      <c r="D974" s="15" t="n">
        <v>6986.3</v>
      </c>
    </row>
    <row r="975" customFormat="false" ht="15" hidden="false" customHeight="false" outlineLevel="0" collapsed="false">
      <c r="A975" s="3" t="n">
        <v>3</v>
      </c>
      <c r="B975" s="3" t="s">
        <v>485</v>
      </c>
      <c r="C975" s="3" t="s">
        <v>103</v>
      </c>
      <c r="D975" s="15" t="n">
        <v>-162.7</v>
      </c>
    </row>
    <row r="976" customFormat="false" ht="15" hidden="false" customHeight="false" outlineLevel="0" collapsed="false">
      <c r="A976" s="3" t="n">
        <v>3</v>
      </c>
      <c r="B976" s="3" t="s">
        <v>485</v>
      </c>
      <c r="C976" s="3" t="s">
        <v>102</v>
      </c>
      <c r="D976" s="15" t="n">
        <v>11262.11</v>
      </c>
    </row>
    <row r="977" customFormat="false" ht="15" hidden="false" customHeight="false" outlineLevel="0" collapsed="false">
      <c r="A977" s="3" t="n">
        <v>3</v>
      </c>
      <c r="B977" s="3" t="s">
        <v>486</v>
      </c>
      <c r="C977" s="3" t="s">
        <v>101</v>
      </c>
      <c r="D977" s="15" t="n">
        <v>7344.9</v>
      </c>
    </row>
    <row r="978" customFormat="false" ht="15" hidden="false" customHeight="false" outlineLevel="0" collapsed="false">
      <c r="A978" s="3" t="n">
        <v>3</v>
      </c>
      <c r="B978" s="3" t="s">
        <v>486</v>
      </c>
      <c r="C978" s="3" t="s">
        <v>102</v>
      </c>
      <c r="D978" s="15" t="n">
        <v>166.2</v>
      </c>
    </row>
    <row r="979" customFormat="false" ht="15" hidden="false" customHeight="false" outlineLevel="0" collapsed="false">
      <c r="A979" s="3" t="n">
        <v>3</v>
      </c>
      <c r="B979" s="3" t="s">
        <v>487</v>
      </c>
      <c r="C979" s="3" t="s">
        <v>101</v>
      </c>
      <c r="D979" s="15" t="n">
        <v>52194.35</v>
      </c>
    </row>
    <row r="980" customFormat="false" ht="15" hidden="false" customHeight="false" outlineLevel="0" collapsed="false">
      <c r="A980" s="3" t="n">
        <v>3</v>
      </c>
      <c r="B980" s="3" t="s">
        <v>487</v>
      </c>
      <c r="C980" s="3" t="s">
        <v>102</v>
      </c>
      <c r="D980" s="15" t="n">
        <v>416.5</v>
      </c>
    </row>
    <row r="981" customFormat="false" ht="15" hidden="false" customHeight="false" outlineLevel="0" collapsed="false">
      <c r="A981" s="3" t="n">
        <v>3</v>
      </c>
      <c r="B981" s="3" t="s">
        <v>488</v>
      </c>
      <c r="C981" s="3" t="s">
        <v>101</v>
      </c>
      <c r="D981" s="15" t="n">
        <v>1880.98</v>
      </c>
    </row>
    <row r="982" customFormat="false" ht="15" hidden="false" customHeight="false" outlineLevel="0" collapsed="false">
      <c r="A982" s="3" t="n">
        <v>3</v>
      </c>
      <c r="B982" s="3" t="s">
        <v>488</v>
      </c>
      <c r="C982" s="3" t="s">
        <v>102</v>
      </c>
      <c r="D982" s="15" t="n">
        <v>17</v>
      </c>
    </row>
    <row r="983" customFormat="false" ht="15" hidden="false" customHeight="false" outlineLevel="0" collapsed="false">
      <c r="A983" s="3" t="n">
        <v>3</v>
      </c>
      <c r="B983" s="3" t="s">
        <v>489</v>
      </c>
      <c r="C983" s="3" t="s">
        <v>101</v>
      </c>
      <c r="D983" s="15" t="n">
        <v>3227.03</v>
      </c>
    </row>
    <row r="984" customFormat="false" ht="15" hidden="false" customHeight="false" outlineLevel="0" collapsed="false">
      <c r="A984" s="3" t="n">
        <v>3</v>
      </c>
      <c r="B984" s="3" t="s">
        <v>489</v>
      </c>
      <c r="C984" s="3" t="s">
        <v>102</v>
      </c>
      <c r="D984" s="15" t="n">
        <v>216.5</v>
      </c>
    </row>
    <row r="985" customFormat="false" ht="15" hidden="false" customHeight="false" outlineLevel="0" collapsed="false">
      <c r="A985" s="3" t="n">
        <v>3</v>
      </c>
      <c r="B985" s="3" t="s">
        <v>490</v>
      </c>
      <c r="C985" s="3" t="s">
        <v>101</v>
      </c>
      <c r="D985" s="15" t="n">
        <v>7676.03</v>
      </c>
    </row>
    <row r="986" customFormat="false" ht="15" hidden="false" customHeight="false" outlineLevel="0" collapsed="false">
      <c r="A986" s="3" t="n">
        <v>3</v>
      </c>
      <c r="B986" s="3" t="s">
        <v>490</v>
      </c>
      <c r="C986" s="3" t="s">
        <v>102</v>
      </c>
      <c r="D986" s="15" t="n">
        <v>40</v>
      </c>
    </row>
    <row r="987" customFormat="false" ht="15" hidden="false" customHeight="false" outlineLevel="0" collapsed="false">
      <c r="A987" s="3" t="n">
        <v>3</v>
      </c>
      <c r="B987" s="3" t="s">
        <v>491</v>
      </c>
      <c r="C987" s="3" t="s">
        <v>101</v>
      </c>
      <c r="D987" s="15" t="n">
        <v>16984.88</v>
      </c>
    </row>
    <row r="988" customFormat="false" ht="15" hidden="false" customHeight="false" outlineLevel="0" collapsed="false">
      <c r="A988" s="3" t="n">
        <v>3</v>
      </c>
      <c r="B988" s="3" t="s">
        <v>491</v>
      </c>
      <c r="C988" s="3" t="s">
        <v>102</v>
      </c>
      <c r="D988" s="15" t="n">
        <v>395.5</v>
      </c>
    </row>
    <row r="989" customFormat="false" ht="15" hidden="false" customHeight="false" outlineLevel="0" collapsed="false">
      <c r="A989" s="3" t="n">
        <v>3</v>
      </c>
      <c r="B989" s="3" t="s">
        <v>492</v>
      </c>
      <c r="C989" s="3" t="s">
        <v>101</v>
      </c>
      <c r="D989" s="15" t="n">
        <v>5230.3</v>
      </c>
    </row>
    <row r="990" customFormat="false" ht="15" hidden="false" customHeight="false" outlineLevel="0" collapsed="false">
      <c r="A990" s="3" t="n">
        <v>3</v>
      </c>
      <c r="B990" s="3" t="s">
        <v>492</v>
      </c>
      <c r="C990" s="3" t="s">
        <v>102</v>
      </c>
      <c r="D990" s="15" t="n">
        <v>37.5</v>
      </c>
    </row>
    <row r="991" customFormat="false" ht="15" hidden="false" customHeight="false" outlineLevel="0" collapsed="false">
      <c r="A991" s="3" t="n">
        <v>3</v>
      </c>
      <c r="B991" s="3" t="s">
        <v>493</v>
      </c>
      <c r="C991" s="3" t="s">
        <v>101</v>
      </c>
      <c r="D991" s="15" t="n">
        <v>10100.86</v>
      </c>
    </row>
    <row r="992" customFormat="false" ht="15" hidden="false" customHeight="false" outlineLevel="0" collapsed="false">
      <c r="A992" s="3" t="n">
        <v>3</v>
      </c>
      <c r="B992" s="3" t="s">
        <v>493</v>
      </c>
      <c r="C992" s="3" t="s">
        <v>102</v>
      </c>
      <c r="D992" s="15" t="n">
        <v>38.5</v>
      </c>
    </row>
    <row r="993" customFormat="false" ht="15" hidden="false" customHeight="false" outlineLevel="0" collapsed="false">
      <c r="A993" s="3" t="n">
        <v>3</v>
      </c>
      <c r="B993" s="3" t="s">
        <v>494</v>
      </c>
      <c r="C993" s="3" t="s">
        <v>101</v>
      </c>
      <c r="D993" s="15" t="n">
        <v>3827.84</v>
      </c>
    </row>
    <row r="994" customFormat="false" ht="15" hidden="false" customHeight="false" outlineLevel="0" collapsed="false">
      <c r="A994" s="3" t="n">
        <v>3</v>
      </c>
      <c r="B994" s="3" t="s">
        <v>494</v>
      </c>
      <c r="C994" s="3" t="s">
        <v>102</v>
      </c>
      <c r="D994" s="15" t="n">
        <v>14</v>
      </c>
    </row>
    <row r="995" customFormat="false" ht="15" hidden="false" customHeight="false" outlineLevel="0" collapsed="false">
      <c r="A995" s="3" t="n">
        <v>3</v>
      </c>
      <c r="B995" s="3" t="s">
        <v>495</v>
      </c>
      <c r="C995" s="3" t="s">
        <v>101</v>
      </c>
      <c r="D995" s="15" t="n">
        <v>12033.55</v>
      </c>
    </row>
    <row r="996" customFormat="false" ht="15" hidden="false" customHeight="false" outlineLevel="0" collapsed="false">
      <c r="A996" s="3" t="n">
        <v>3</v>
      </c>
      <c r="B996" s="3" t="s">
        <v>495</v>
      </c>
      <c r="C996" s="3" t="s">
        <v>102</v>
      </c>
      <c r="D996" s="15" t="n">
        <v>42</v>
      </c>
    </row>
    <row r="997" customFormat="false" ht="15" hidden="false" customHeight="false" outlineLevel="0" collapsed="false">
      <c r="A997" s="3" t="n">
        <v>3</v>
      </c>
      <c r="B997" s="3" t="s">
        <v>496</v>
      </c>
      <c r="C997" s="3" t="s">
        <v>101</v>
      </c>
      <c r="D997" s="15" t="n">
        <v>355.63</v>
      </c>
    </row>
    <row r="998" customFormat="false" ht="15" hidden="false" customHeight="false" outlineLevel="0" collapsed="false">
      <c r="A998" s="3" t="n">
        <v>3</v>
      </c>
      <c r="B998" s="3" t="s">
        <v>496</v>
      </c>
      <c r="C998" s="3" t="s">
        <v>102</v>
      </c>
      <c r="D998" s="15" t="n">
        <v>45</v>
      </c>
    </row>
    <row r="999" customFormat="false" ht="15" hidden="false" customHeight="false" outlineLevel="0" collapsed="false">
      <c r="A999" s="3" t="n">
        <v>3</v>
      </c>
      <c r="B999" s="3" t="s">
        <v>497</v>
      </c>
      <c r="C999" s="3" t="s">
        <v>101</v>
      </c>
      <c r="D999" s="15" t="n">
        <v>8890.75</v>
      </c>
    </row>
    <row r="1000" customFormat="false" ht="15" hidden="false" customHeight="false" outlineLevel="0" collapsed="false">
      <c r="A1000" s="3" t="n">
        <v>3</v>
      </c>
      <c r="B1000" s="3" t="s">
        <v>497</v>
      </c>
      <c r="C1000" s="3" t="s">
        <v>103</v>
      </c>
      <c r="D1000" s="15" t="n">
        <v>-1933.33</v>
      </c>
    </row>
    <row r="1001" customFormat="false" ht="15" hidden="false" customHeight="false" outlineLevel="0" collapsed="false">
      <c r="A1001" s="3" t="n">
        <v>3</v>
      </c>
      <c r="B1001" s="3" t="s">
        <v>497</v>
      </c>
      <c r="C1001" s="3" t="s">
        <v>102</v>
      </c>
      <c r="D1001" s="15" t="n">
        <v>30865.24</v>
      </c>
    </row>
    <row r="1002" customFormat="false" ht="15" hidden="false" customHeight="false" outlineLevel="0" collapsed="false">
      <c r="A1002" s="3" t="n">
        <v>3</v>
      </c>
      <c r="B1002" s="3" t="s">
        <v>498</v>
      </c>
      <c r="C1002" s="3" t="s">
        <v>101</v>
      </c>
      <c r="D1002" s="15" t="n">
        <v>11832.78</v>
      </c>
    </row>
    <row r="1003" customFormat="false" ht="15" hidden="false" customHeight="false" outlineLevel="0" collapsed="false">
      <c r="A1003" s="3" t="n">
        <v>3</v>
      </c>
      <c r="B1003" s="3" t="s">
        <v>498</v>
      </c>
      <c r="C1003" s="3" t="s">
        <v>103</v>
      </c>
      <c r="D1003" s="15" t="n">
        <v>-1933.33</v>
      </c>
    </row>
    <row r="1004" customFormat="false" ht="15" hidden="false" customHeight="false" outlineLevel="0" collapsed="false">
      <c r="A1004" s="3" t="n">
        <v>3</v>
      </c>
      <c r="B1004" s="3" t="s">
        <v>498</v>
      </c>
      <c r="C1004" s="3" t="s">
        <v>102</v>
      </c>
      <c r="D1004" s="15" t="n">
        <v>45557.41</v>
      </c>
    </row>
    <row r="1005" customFormat="false" ht="15" hidden="false" customHeight="false" outlineLevel="0" collapsed="false">
      <c r="A1005" s="3" t="n">
        <v>3</v>
      </c>
      <c r="B1005" s="3" t="s">
        <v>499</v>
      </c>
      <c r="C1005" s="3" t="s">
        <v>101</v>
      </c>
      <c r="D1005" s="15" t="n">
        <v>14842.59</v>
      </c>
    </row>
    <row r="1006" customFormat="false" ht="15" hidden="false" customHeight="false" outlineLevel="0" collapsed="false">
      <c r="A1006" s="3" t="n">
        <v>3</v>
      </c>
      <c r="B1006" s="3" t="s">
        <v>499</v>
      </c>
      <c r="C1006" s="3" t="s">
        <v>102</v>
      </c>
      <c r="D1006" s="15" t="n">
        <v>295.5</v>
      </c>
    </row>
    <row r="1007" customFormat="false" ht="15" hidden="false" customHeight="false" outlineLevel="0" collapsed="false">
      <c r="A1007" s="3" t="n">
        <v>3</v>
      </c>
      <c r="B1007" s="3" t="s">
        <v>500</v>
      </c>
      <c r="C1007" s="3" t="s">
        <v>101</v>
      </c>
      <c r="D1007" s="15" t="n">
        <v>9482.43</v>
      </c>
    </row>
    <row r="1008" customFormat="false" ht="15" hidden="false" customHeight="false" outlineLevel="0" collapsed="false">
      <c r="A1008" s="3" t="n">
        <v>3</v>
      </c>
      <c r="B1008" s="3" t="s">
        <v>500</v>
      </c>
      <c r="C1008" s="3" t="s">
        <v>102</v>
      </c>
      <c r="D1008" s="15" t="n">
        <v>35</v>
      </c>
    </row>
    <row r="1009" customFormat="false" ht="15" hidden="false" customHeight="false" outlineLevel="0" collapsed="false">
      <c r="A1009" s="3" t="n">
        <v>3</v>
      </c>
      <c r="B1009" s="3" t="s">
        <v>501</v>
      </c>
      <c r="C1009" s="3" t="s">
        <v>101</v>
      </c>
      <c r="D1009" s="15" t="n">
        <v>2791.68</v>
      </c>
    </row>
    <row r="1010" customFormat="false" ht="15" hidden="false" customHeight="false" outlineLevel="0" collapsed="false">
      <c r="A1010" s="3" t="n">
        <v>3</v>
      </c>
      <c r="B1010" s="3" t="s">
        <v>501</v>
      </c>
      <c r="C1010" s="3" t="s">
        <v>102</v>
      </c>
      <c r="D1010" s="15" t="n">
        <v>10.5</v>
      </c>
    </row>
    <row r="1011" customFormat="false" ht="15" hidden="false" customHeight="false" outlineLevel="0" collapsed="false">
      <c r="A1011" s="3" t="n">
        <v>3</v>
      </c>
      <c r="B1011" s="3" t="s">
        <v>502</v>
      </c>
      <c r="C1011" s="3" t="s">
        <v>101</v>
      </c>
      <c r="D1011" s="15" t="n">
        <v>14995.75</v>
      </c>
    </row>
    <row r="1012" customFormat="false" ht="15" hidden="false" customHeight="false" outlineLevel="0" collapsed="false">
      <c r="A1012" s="3" t="n">
        <v>3</v>
      </c>
      <c r="B1012" s="3" t="s">
        <v>502</v>
      </c>
      <c r="C1012" s="3" t="s">
        <v>103</v>
      </c>
      <c r="D1012" s="15" t="n">
        <v>-1018.59</v>
      </c>
    </row>
    <row r="1013" customFormat="false" ht="15" hidden="false" customHeight="false" outlineLevel="0" collapsed="false">
      <c r="A1013" s="3" t="n">
        <v>3</v>
      </c>
      <c r="B1013" s="3" t="s">
        <v>502</v>
      </c>
      <c r="C1013" s="3" t="s">
        <v>102</v>
      </c>
      <c r="D1013" s="15" t="n">
        <v>3327.31</v>
      </c>
    </row>
    <row r="1014" customFormat="false" ht="15" hidden="false" customHeight="false" outlineLevel="0" collapsed="false">
      <c r="A1014" s="3" t="n">
        <v>3</v>
      </c>
      <c r="B1014" s="3" t="s">
        <v>503</v>
      </c>
      <c r="C1014" s="3" t="s">
        <v>101</v>
      </c>
      <c r="D1014" s="15" t="n">
        <v>964.26</v>
      </c>
    </row>
    <row r="1015" customFormat="false" ht="15" hidden="false" customHeight="false" outlineLevel="0" collapsed="false">
      <c r="A1015" s="3" t="n">
        <v>3</v>
      </c>
      <c r="B1015" s="3" t="s">
        <v>503</v>
      </c>
      <c r="C1015" s="3" t="s">
        <v>102</v>
      </c>
      <c r="D1015" s="15" t="n">
        <v>10.5</v>
      </c>
    </row>
    <row r="1016" customFormat="false" ht="15" hidden="false" customHeight="false" outlineLevel="0" collapsed="false">
      <c r="A1016" s="3" t="n">
        <v>3</v>
      </c>
      <c r="B1016" s="3" t="s">
        <v>504</v>
      </c>
      <c r="C1016" s="3" t="s">
        <v>101</v>
      </c>
      <c r="D1016" s="15" t="n">
        <v>1054.46</v>
      </c>
    </row>
    <row r="1017" customFormat="false" ht="15" hidden="false" customHeight="false" outlineLevel="0" collapsed="false">
      <c r="A1017" s="3" t="n">
        <v>3</v>
      </c>
      <c r="B1017" s="3" t="s">
        <v>504</v>
      </c>
      <c r="C1017" s="3" t="s">
        <v>102</v>
      </c>
      <c r="D1017" s="15" t="n">
        <v>98.7</v>
      </c>
    </row>
    <row r="1018" customFormat="false" ht="15" hidden="false" customHeight="false" outlineLevel="0" collapsed="false">
      <c r="A1018" s="3" t="n">
        <v>3</v>
      </c>
      <c r="B1018" s="3" t="s">
        <v>505</v>
      </c>
      <c r="C1018" s="3" t="s">
        <v>101</v>
      </c>
      <c r="D1018" s="15" t="n">
        <v>2845.04</v>
      </c>
    </row>
    <row r="1019" customFormat="false" ht="15" hidden="false" customHeight="false" outlineLevel="0" collapsed="false">
      <c r="A1019" s="3" t="n">
        <v>3</v>
      </c>
      <c r="B1019" s="3" t="s">
        <v>505</v>
      </c>
      <c r="C1019" s="3" t="s">
        <v>102</v>
      </c>
      <c r="D1019" s="15" t="n">
        <v>1052.94</v>
      </c>
    </row>
    <row r="1020" customFormat="false" ht="15" hidden="false" customHeight="false" outlineLevel="0" collapsed="false">
      <c r="A1020" s="3" t="n">
        <v>3</v>
      </c>
      <c r="B1020" s="3" t="s">
        <v>506</v>
      </c>
      <c r="C1020" s="3" t="s">
        <v>101</v>
      </c>
      <c r="D1020" s="15" t="n">
        <v>2343.72</v>
      </c>
    </row>
    <row r="1021" customFormat="false" ht="15" hidden="false" customHeight="false" outlineLevel="0" collapsed="false">
      <c r="A1021" s="3" t="n">
        <v>3</v>
      </c>
      <c r="B1021" s="3" t="s">
        <v>506</v>
      </c>
      <c r="C1021" s="3" t="s">
        <v>102</v>
      </c>
      <c r="D1021" s="15" t="n">
        <v>10.5</v>
      </c>
    </row>
    <row r="1022" customFormat="false" ht="15" hidden="false" customHeight="false" outlineLevel="0" collapsed="false">
      <c r="A1022" s="3" t="n">
        <v>3</v>
      </c>
      <c r="B1022" s="3" t="s">
        <v>507</v>
      </c>
      <c r="C1022" s="3" t="s">
        <v>101</v>
      </c>
      <c r="D1022" s="15" t="n">
        <v>5055.9</v>
      </c>
    </row>
    <row r="1023" customFormat="false" ht="15" hidden="false" customHeight="false" outlineLevel="0" collapsed="false">
      <c r="A1023" s="3" t="n">
        <v>3</v>
      </c>
      <c r="B1023" s="3" t="s">
        <v>507</v>
      </c>
      <c r="C1023" s="3" t="s">
        <v>102</v>
      </c>
      <c r="D1023" s="15" t="n">
        <v>28</v>
      </c>
    </row>
    <row r="1024" customFormat="false" ht="15" hidden="false" customHeight="false" outlineLevel="0" collapsed="false">
      <c r="A1024" s="3" t="n">
        <v>3</v>
      </c>
      <c r="B1024" s="3" t="s">
        <v>508</v>
      </c>
      <c r="C1024" s="3" t="s">
        <v>101</v>
      </c>
      <c r="D1024" s="15" t="n">
        <v>1818.52</v>
      </c>
    </row>
    <row r="1025" customFormat="false" ht="15" hidden="false" customHeight="false" outlineLevel="0" collapsed="false">
      <c r="A1025" s="3" t="n">
        <v>3</v>
      </c>
      <c r="B1025" s="3" t="s">
        <v>508</v>
      </c>
      <c r="C1025" s="3" t="s">
        <v>102</v>
      </c>
      <c r="D1025" s="15" t="n">
        <v>7</v>
      </c>
    </row>
    <row r="1026" customFormat="false" ht="15" hidden="false" customHeight="false" outlineLevel="0" collapsed="false">
      <c r="A1026" s="3" t="n">
        <v>3</v>
      </c>
      <c r="B1026" s="3" t="s">
        <v>509</v>
      </c>
      <c r="C1026" s="3" t="s">
        <v>101</v>
      </c>
      <c r="D1026" s="15" t="n">
        <v>826.6</v>
      </c>
    </row>
    <row r="1027" customFormat="false" ht="15" hidden="false" customHeight="false" outlineLevel="0" collapsed="false">
      <c r="A1027" s="3" t="n">
        <v>3</v>
      </c>
      <c r="B1027" s="3" t="s">
        <v>509</v>
      </c>
      <c r="C1027" s="3" t="s">
        <v>102</v>
      </c>
      <c r="D1027" s="15" t="n">
        <v>77.5</v>
      </c>
    </row>
    <row r="1028" customFormat="false" ht="15" hidden="false" customHeight="false" outlineLevel="0" collapsed="false">
      <c r="A1028" s="3" t="n">
        <v>3</v>
      </c>
      <c r="B1028" s="3" t="s">
        <v>510</v>
      </c>
      <c r="C1028" s="3" t="s">
        <v>101</v>
      </c>
      <c r="D1028" s="15" t="n">
        <v>4078.04</v>
      </c>
    </row>
    <row r="1029" customFormat="false" ht="15" hidden="false" customHeight="false" outlineLevel="0" collapsed="false">
      <c r="A1029" s="3" t="n">
        <v>3</v>
      </c>
      <c r="B1029" s="3" t="s">
        <v>510</v>
      </c>
      <c r="C1029" s="3" t="s">
        <v>102</v>
      </c>
      <c r="D1029" s="15" t="n">
        <v>14</v>
      </c>
    </row>
    <row r="1030" customFormat="false" ht="15" hidden="false" customHeight="false" outlineLevel="0" collapsed="false">
      <c r="A1030" s="3" t="n">
        <v>3</v>
      </c>
      <c r="B1030" s="3" t="s">
        <v>511</v>
      </c>
      <c r="C1030" s="3" t="s">
        <v>101</v>
      </c>
      <c r="D1030" s="15" t="n">
        <v>3785.84</v>
      </c>
    </row>
    <row r="1031" customFormat="false" ht="15" hidden="false" customHeight="false" outlineLevel="0" collapsed="false">
      <c r="A1031" s="3" t="n">
        <v>3</v>
      </c>
      <c r="B1031" s="3" t="s">
        <v>511</v>
      </c>
      <c r="C1031" s="3" t="s">
        <v>102</v>
      </c>
      <c r="D1031" s="15" t="n">
        <v>17.5</v>
      </c>
    </row>
    <row r="1032" customFormat="false" ht="15" hidden="false" customHeight="false" outlineLevel="0" collapsed="false">
      <c r="A1032" s="3" t="n">
        <v>3</v>
      </c>
      <c r="B1032" s="3" t="s">
        <v>512</v>
      </c>
      <c r="C1032" s="3" t="s">
        <v>101</v>
      </c>
      <c r="D1032" s="15" t="n">
        <v>2126.52</v>
      </c>
    </row>
    <row r="1033" customFormat="false" ht="15" hidden="false" customHeight="false" outlineLevel="0" collapsed="false">
      <c r="A1033" s="3" t="n">
        <v>3</v>
      </c>
      <c r="B1033" s="3" t="s">
        <v>512</v>
      </c>
      <c r="C1033" s="3" t="s">
        <v>102</v>
      </c>
      <c r="D1033" s="15" t="n">
        <v>7</v>
      </c>
    </row>
    <row r="1034" customFormat="false" ht="15" hidden="false" customHeight="false" outlineLevel="0" collapsed="false">
      <c r="A1034" s="3" t="n">
        <v>3</v>
      </c>
      <c r="B1034" s="3" t="s">
        <v>513</v>
      </c>
      <c r="C1034" s="3" t="s">
        <v>101</v>
      </c>
      <c r="D1034" s="15" t="n">
        <v>2066.52</v>
      </c>
    </row>
    <row r="1035" customFormat="false" ht="15" hidden="false" customHeight="false" outlineLevel="0" collapsed="false">
      <c r="A1035" s="3" t="n">
        <v>3</v>
      </c>
      <c r="B1035" s="3" t="s">
        <v>513</v>
      </c>
      <c r="C1035" s="3" t="s">
        <v>102</v>
      </c>
      <c r="D1035" s="15" t="n">
        <v>7</v>
      </c>
    </row>
    <row r="1036" customFormat="false" ht="15" hidden="false" customHeight="false" outlineLevel="0" collapsed="false">
      <c r="A1036" s="3" t="n">
        <v>3</v>
      </c>
      <c r="B1036" s="3" t="s">
        <v>514</v>
      </c>
      <c r="C1036" s="3" t="s">
        <v>101</v>
      </c>
      <c r="D1036" s="15" t="n">
        <v>1897.52</v>
      </c>
    </row>
    <row r="1037" customFormat="false" ht="15" hidden="false" customHeight="false" outlineLevel="0" collapsed="false">
      <c r="A1037" s="3" t="n">
        <v>3</v>
      </c>
      <c r="B1037" s="3" t="s">
        <v>514</v>
      </c>
      <c r="C1037" s="3" t="s">
        <v>102</v>
      </c>
      <c r="D1037" s="15" t="n">
        <v>7</v>
      </c>
    </row>
    <row r="1038" customFormat="false" ht="15" hidden="false" customHeight="false" outlineLevel="0" collapsed="false">
      <c r="A1038" s="3" t="n">
        <v>3</v>
      </c>
      <c r="B1038" s="3" t="s">
        <v>515</v>
      </c>
      <c r="C1038" s="3" t="s">
        <v>101</v>
      </c>
      <c r="D1038" s="15" t="n">
        <v>4835</v>
      </c>
    </row>
    <row r="1039" customFormat="false" ht="15" hidden="false" customHeight="false" outlineLevel="0" collapsed="false">
      <c r="A1039" s="3" t="n">
        <v>3</v>
      </c>
      <c r="B1039" s="3" t="s">
        <v>515</v>
      </c>
      <c r="C1039" s="3" t="s">
        <v>102</v>
      </c>
      <c r="D1039" s="15" t="n">
        <v>17.5</v>
      </c>
    </row>
    <row r="1040" customFormat="false" ht="15" hidden="false" customHeight="false" outlineLevel="0" collapsed="false">
      <c r="A1040" s="3" t="n">
        <v>3</v>
      </c>
      <c r="B1040" s="3" t="s">
        <v>516</v>
      </c>
      <c r="C1040" s="3" t="s">
        <v>101</v>
      </c>
      <c r="D1040" s="15" t="n">
        <v>2247.35</v>
      </c>
    </row>
    <row r="1041" customFormat="false" ht="15" hidden="false" customHeight="false" outlineLevel="0" collapsed="false">
      <c r="A1041" s="3" t="n">
        <v>3</v>
      </c>
      <c r="B1041" s="3" t="s">
        <v>516</v>
      </c>
      <c r="C1041" s="3" t="s">
        <v>102</v>
      </c>
      <c r="D1041" s="15" t="n">
        <v>7</v>
      </c>
    </row>
    <row r="1042" customFormat="false" ht="15" hidden="false" customHeight="false" outlineLevel="0" collapsed="false">
      <c r="A1042" s="3" t="n">
        <v>3</v>
      </c>
      <c r="B1042" s="3" t="s">
        <v>517</v>
      </c>
      <c r="C1042" s="3" t="s">
        <v>101</v>
      </c>
      <c r="D1042" s="15" t="n">
        <v>4899.5</v>
      </c>
    </row>
    <row r="1043" customFormat="false" ht="15" hidden="false" customHeight="false" outlineLevel="0" collapsed="false">
      <c r="A1043" s="3" t="n">
        <v>3</v>
      </c>
      <c r="B1043" s="3" t="s">
        <v>517</v>
      </c>
      <c r="C1043" s="3" t="s">
        <v>102</v>
      </c>
      <c r="D1043" s="15" t="n">
        <v>29.5</v>
      </c>
    </row>
    <row r="1044" customFormat="false" ht="15" hidden="false" customHeight="false" outlineLevel="0" collapsed="false">
      <c r="A1044" s="3" t="n">
        <v>3</v>
      </c>
      <c r="B1044" s="3" t="s">
        <v>518</v>
      </c>
      <c r="C1044" s="3" t="s">
        <v>101</v>
      </c>
      <c r="D1044" s="15" t="n">
        <v>1301.49</v>
      </c>
    </row>
    <row r="1045" customFormat="false" ht="15" hidden="false" customHeight="false" outlineLevel="0" collapsed="false">
      <c r="A1045" s="3" t="n">
        <v>3</v>
      </c>
      <c r="B1045" s="3" t="s">
        <v>518</v>
      </c>
      <c r="C1045" s="3" t="s">
        <v>102</v>
      </c>
      <c r="D1045" s="15" t="n">
        <v>24</v>
      </c>
    </row>
    <row r="1046" customFormat="false" ht="15" hidden="false" customHeight="false" outlineLevel="0" collapsed="false">
      <c r="A1046" s="3" t="n">
        <v>3</v>
      </c>
      <c r="B1046" s="3" t="s">
        <v>519</v>
      </c>
      <c r="C1046" s="3" t="s">
        <v>101</v>
      </c>
      <c r="D1046" s="15" t="n">
        <v>1620.52</v>
      </c>
    </row>
    <row r="1047" customFormat="false" ht="15" hidden="false" customHeight="false" outlineLevel="0" collapsed="false">
      <c r="A1047" s="3" t="n">
        <v>3</v>
      </c>
      <c r="B1047" s="3" t="s">
        <v>519</v>
      </c>
      <c r="C1047" s="3" t="s">
        <v>102</v>
      </c>
      <c r="D1047" s="15" t="n">
        <v>31</v>
      </c>
    </row>
    <row r="1048" customFormat="false" ht="15" hidden="false" customHeight="false" outlineLevel="0" collapsed="false">
      <c r="A1048" s="3" t="n">
        <v>3</v>
      </c>
      <c r="B1048" s="3" t="s">
        <v>520</v>
      </c>
      <c r="C1048" s="3" t="s">
        <v>101</v>
      </c>
      <c r="D1048" s="15" t="n">
        <v>4310.67</v>
      </c>
    </row>
    <row r="1049" customFormat="false" ht="15" hidden="false" customHeight="false" outlineLevel="0" collapsed="false">
      <c r="A1049" s="3" t="n">
        <v>3</v>
      </c>
      <c r="B1049" s="3" t="s">
        <v>520</v>
      </c>
      <c r="C1049" s="3" t="s">
        <v>102</v>
      </c>
      <c r="D1049" s="15" t="n">
        <v>14</v>
      </c>
    </row>
    <row r="1050" customFormat="false" ht="15" hidden="false" customHeight="false" outlineLevel="0" collapsed="false">
      <c r="A1050" s="3" t="n">
        <v>3</v>
      </c>
      <c r="B1050" s="3" t="s">
        <v>521</v>
      </c>
      <c r="C1050" s="3" t="s">
        <v>101</v>
      </c>
      <c r="D1050" s="15" t="n">
        <v>3733.04</v>
      </c>
    </row>
    <row r="1051" customFormat="false" ht="15" hidden="false" customHeight="false" outlineLevel="0" collapsed="false">
      <c r="A1051" s="3" t="n">
        <v>3</v>
      </c>
      <c r="B1051" s="3" t="s">
        <v>521</v>
      </c>
      <c r="C1051" s="3" t="s">
        <v>102</v>
      </c>
      <c r="D1051" s="15" t="n">
        <v>14</v>
      </c>
    </row>
    <row r="1052" customFormat="false" ht="15" hidden="false" customHeight="false" outlineLevel="0" collapsed="false">
      <c r="A1052" s="3" t="n">
        <v>3</v>
      </c>
      <c r="B1052" s="3" t="s">
        <v>522</v>
      </c>
      <c r="C1052" s="3" t="s">
        <v>101</v>
      </c>
      <c r="D1052" s="15" t="n">
        <v>11512.5</v>
      </c>
    </row>
    <row r="1053" customFormat="false" ht="15" hidden="false" customHeight="false" outlineLevel="0" collapsed="false">
      <c r="A1053" s="3" t="n">
        <v>3</v>
      </c>
      <c r="B1053" s="3" t="s">
        <v>522</v>
      </c>
      <c r="C1053" s="3" t="s">
        <v>102</v>
      </c>
      <c r="D1053" s="15" t="n">
        <v>3303.5</v>
      </c>
    </row>
    <row r="1054" customFormat="false" ht="15" hidden="false" customHeight="false" outlineLevel="0" collapsed="false">
      <c r="A1054" s="3" t="n">
        <v>3</v>
      </c>
      <c r="B1054" s="3" t="s">
        <v>523</v>
      </c>
      <c r="C1054" s="3" t="s">
        <v>102</v>
      </c>
      <c r="D1054" s="15" t="n">
        <v>4544.68</v>
      </c>
    </row>
    <row r="1055" customFormat="false" ht="15" hidden="false" customHeight="false" outlineLevel="0" collapsed="false">
      <c r="A1055" s="3" t="n">
        <v>3</v>
      </c>
      <c r="B1055" s="3" t="s">
        <v>524</v>
      </c>
      <c r="C1055" s="3" t="s">
        <v>102</v>
      </c>
      <c r="D1055" s="15" t="n">
        <v>37379.56</v>
      </c>
    </row>
    <row r="1056" customFormat="false" ht="15" hidden="false" customHeight="false" outlineLevel="0" collapsed="false">
      <c r="A1056" s="3" t="n">
        <v>3</v>
      </c>
      <c r="B1056" s="3" t="s">
        <v>525</v>
      </c>
      <c r="C1056" s="3" t="s">
        <v>102</v>
      </c>
      <c r="D1056" s="15" t="n">
        <v>8368.92</v>
      </c>
    </row>
    <row r="1057" customFormat="false" ht="15" hidden="false" customHeight="false" outlineLevel="0" collapsed="false">
      <c r="A1057" s="3" t="n">
        <v>3</v>
      </c>
      <c r="B1057" s="3" t="s">
        <v>526</v>
      </c>
      <c r="C1057" s="3" t="s">
        <v>102</v>
      </c>
      <c r="D1057" s="15" t="n">
        <v>4718.55</v>
      </c>
    </row>
    <row r="1058" customFormat="false" ht="15" hidden="false" customHeight="false" outlineLevel="0" collapsed="false">
      <c r="A1058" s="3" t="n">
        <v>4</v>
      </c>
      <c r="B1058" s="3" t="s">
        <v>527</v>
      </c>
      <c r="C1058" s="3" t="s">
        <v>103</v>
      </c>
      <c r="D1058" s="15" t="n">
        <v>-30446.96</v>
      </c>
    </row>
    <row r="1059" customFormat="false" ht="15" hidden="false" customHeight="false" outlineLevel="0" collapsed="false">
      <c r="A1059" s="3" t="n">
        <v>4</v>
      </c>
      <c r="B1059" s="3" t="s">
        <v>527</v>
      </c>
      <c r="C1059" s="3" t="s">
        <v>102</v>
      </c>
      <c r="D1059" s="15" t="n">
        <v>633.37</v>
      </c>
    </row>
    <row r="1060" customFormat="false" ht="15" hidden="false" customHeight="false" outlineLevel="0" collapsed="false">
      <c r="A1060" s="3" t="n">
        <v>4</v>
      </c>
      <c r="B1060" s="3" t="s">
        <v>527</v>
      </c>
      <c r="C1060" s="3" t="s">
        <v>100</v>
      </c>
      <c r="D1060" s="15" t="n">
        <v>80126.97</v>
      </c>
    </row>
    <row r="1061" customFormat="false" ht="15" hidden="false" customHeight="false" outlineLevel="0" collapsed="false">
      <c r="A1061" s="3" t="n">
        <v>4</v>
      </c>
      <c r="B1061" s="3" t="s">
        <v>527</v>
      </c>
      <c r="C1061" s="3" t="s">
        <v>99</v>
      </c>
      <c r="D1061" s="15" t="n">
        <v>13011.43</v>
      </c>
    </row>
    <row r="1062" customFormat="false" ht="15" hidden="false" customHeight="false" outlineLevel="0" collapsed="false">
      <c r="A1062" s="3" t="n">
        <v>4</v>
      </c>
      <c r="B1062" s="3" t="s">
        <v>527</v>
      </c>
      <c r="C1062" s="3" t="s">
        <v>98</v>
      </c>
      <c r="D1062" s="15" t="n">
        <v>136421.23</v>
      </c>
    </row>
    <row r="1063" customFormat="false" ht="15" hidden="false" customHeight="false" outlineLevel="0" collapsed="false">
      <c r="A1063" s="3" t="n">
        <v>4</v>
      </c>
      <c r="B1063" s="3" t="s">
        <v>527</v>
      </c>
      <c r="C1063" s="3" t="s">
        <v>82</v>
      </c>
      <c r="D1063" s="15" t="n">
        <v>61872.88</v>
      </c>
    </row>
    <row r="1064" customFormat="false" ht="15" hidden="false" customHeight="false" outlineLevel="0" collapsed="false">
      <c r="A1064" s="3" t="n">
        <v>4</v>
      </c>
      <c r="B1064" s="3" t="s">
        <v>528</v>
      </c>
      <c r="C1064" s="3" t="s">
        <v>103</v>
      </c>
      <c r="D1064" s="15" t="n">
        <v>-175.79</v>
      </c>
    </row>
    <row r="1065" customFormat="false" ht="15" hidden="false" customHeight="false" outlineLevel="0" collapsed="false">
      <c r="A1065" s="3" t="n">
        <v>4</v>
      </c>
      <c r="B1065" s="3" t="s">
        <v>528</v>
      </c>
      <c r="C1065" s="3" t="s">
        <v>100</v>
      </c>
      <c r="D1065" s="15" t="n">
        <v>1216.82</v>
      </c>
    </row>
    <row r="1066" customFormat="false" ht="15" hidden="false" customHeight="false" outlineLevel="0" collapsed="false">
      <c r="A1066" s="3" t="n">
        <v>4</v>
      </c>
      <c r="B1066" s="3" t="s">
        <v>528</v>
      </c>
      <c r="C1066" s="3" t="s">
        <v>99</v>
      </c>
      <c r="D1066" s="15" t="n">
        <v>200.57</v>
      </c>
    </row>
    <row r="1067" customFormat="false" ht="15" hidden="false" customHeight="false" outlineLevel="0" collapsed="false">
      <c r="A1067" s="3" t="n">
        <v>4</v>
      </c>
      <c r="B1067" s="3" t="s">
        <v>528</v>
      </c>
      <c r="C1067" s="3" t="s">
        <v>98</v>
      </c>
      <c r="D1067" s="15" t="n">
        <v>1707</v>
      </c>
    </row>
    <row r="1068" customFormat="false" ht="15" hidden="false" customHeight="false" outlineLevel="0" collapsed="false">
      <c r="A1068" s="3" t="n">
        <v>4</v>
      </c>
      <c r="B1068" s="3" t="s">
        <v>528</v>
      </c>
      <c r="C1068" s="3" t="s">
        <v>82</v>
      </c>
      <c r="D1068" s="15" t="n">
        <v>1048.09</v>
      </c>
    </row>
    <row r="1069" customFormat="false" ht="15" hidden="false" customHeight="false" outlineLevel="0" collapsed="false">
      <c r="A1069" s="3" t="n">
        <v>4</v>
      </c>
      <c r="B1069" s="3" t="s">
        <v>529</v>
      </c>
      <c r="C1069" s="3" t="s">
        <v>103</v>
      </c>
      <c r="D1069" s="15" t="n">
        <v>-1084.5</v>
      </c>
    </row>
    <row r="1070" customFormat="false" ht="15" hidden="false" customHeight="false" outlineLevel="0" collapsed="false">
      <c r="A1070" s="3" t="n">
        <v>4</v>
      </c>
      <c r="B1070" s="3" t="s">
        <v>529</v>
      </c>
      <c r="C1070" s="3" t="s">
        <v>100</v>
      </c>
      <c r="D1070" s="15" t="n">
        <v>2396.05</v>
      </c>
    </row>
    <row r="1071" customFormat="false" ht="15" hidden="false" customHeight="false" outlineLevel="0" collapsed="false">
      <c r="A1071" s="3" t="n">
        <v>4</v>
      </c>
      <c r="B1071" s="3" t="s">
        <v>529</v>
      </c>
      <c r="C1071" s="3" t="s">
        <v>99</v>
      </c>
      <c r="D1071" s="15" t="n">
        <v>121.92</v>
      </c>
    </row>
    <row r="1072" customFormat="false" ht="15" hidden="false" customHeight="false" outlineLevel="0" collapsed="false">
      <c r="A1072" s="3" t="n">
        <v>4</v>
      </c>
      <c r="B1072" s="3" t="s">
        <v>529</v>
      </c>
      <c r="C1072" s="3" t="s">
        <v>98</v>
      </c>
      <c r="D1072" s="15" t="n">
        <v>4160.56</v>
      </c>
    </row>
    <row r="1073" customFormat="false" ht="15" hidden="false" customHeight="false" outlineLevel="0" collapsed="false">
      <c r="A1073" s="3" t="n">
        <v>4</v>
      </c>
      <c r="B1073" s="3" t="s">
        <v>529</v>
      </c>
      <c r="C1073" s="3" t="s">
        <v>82</v>
      </c>
      <c r="D1073" s="15" t="n">
        <v>2098.46</v>
      </c>
    </row>
    <row r="1074" customFormat="false" ht="15" hidden="false" customHeight="false" outlineLevel="0" collapsed="false">
      <c r="A1074" s="3" t="n">
        <v>4</v>
      </c>
      <c r="B1074" s="3" t="s">
        <v>530</v>
      </c>
      <c r="C1074" s="3" t="s">
        <v>103</v>
      </c>
      <c r="D1074" s="15" t="n">
        <v>-850.72</v>
      </c>
    </row>
    <row r="1075" customFormat="false" ht="15" hidden="false" customHeight="false" outlineLevel="0" collapsed="false">
      <c r="A1075" s="3" t="n">
        <v>4</v>
      </c>
      <c r="B1075" s="3" t="s">
        <v>530</v>
      </c>
      <c r="C1075" s="3" t="s">
        <v>102</v>
      </c>
      <c r="D1075" s="15" t="n">
        <v>729.44</v>
      </c>
    </row>
    <row r="1076" customFormat="false" ht="15" hidden="false" customHeight="false" outlineLevel="0" collapsed="false">
      <c r="A1076" s="3" t="n">
        <v>4</v>
      </c>
      <c r="B1076" s="3" t="s">
        <v>530</v>
      </c>
      <c r="C1076" s="3" t="s">
        <v>100</v>
      </c>
      <c r="D1076" s="15" t="n">
        <v>3650.66</v>
      </c>
    </row>
    <row r="1077" customFormat="false" ht="15" hidden="false" customHeight="false" outlineLevel="0" collapsed="false">
      <c r="A1077" s="3" t="n">
        <v>4</v>
      </c>
      <c r="B1077" s="3" t="s">
        <v>530</v>
      </c>
      <c r="C1077" s="3" t="s">
        <v>98</v>
      </c>
      <c r="D1077" s="15" t="n">
        <v>6543.5</v>
      </c>
    </row>
    <row r="1078" customFormat="false" ht="15" hidden="false" customHeight="false" outlineLevel="0" collapsed="false">
      <c r="A1078" s="3" t="n">
        <v>4</v>
      </c>
      <c r="B1078" s="3" t="s">
        <v>530</v>
      </c>
      <c r="C1078" s="3" t="s">
        <v>82</v>
      </c>
      <c r="D1078" s="15" t="n">
        <v>3610.71</v>
      </c>
    </row>
    <row r="1079" customFormat="false" ht="15" hidden="false" customHeight="false" outlineLevel="0" collapsed="false">
      <c r="A1079" s="3" t="n">
        <v>4</v>
      </c>
      <c r="B1079" s="3" t="s">
        <v>531</v>
      </c>
      <c r="C1079" s="3" t="s">
        <v>103</v>
      </c>
      <c r="D1079" s="15" t="n">
        <v>-1477.31</v>
      </c>
    </row>
    <row r="1080" customFormat="false" ht="15" hidden="false" customHeight="false" outlineLevel="0" collapsed="false">
      <c r="A1080" s="3" t="n">
        <v>4</v>
      </c>
      <c r="B1080" s="3" t="s">
        <v>531</v>
      </c>
      <c r="C1080" s="3" t="s">
        <v>102</v>
      </c>
      <c r="D1080" s="15" t="n">
        <v>642.73</v>
      </c>
    </row>
    <row r="1081" customFormat="false" ht="15" hidden="false" customHeight="false" outlineLevel="0" collapsed="false">
      <c r="A1081" s="3" t="n">
        <v>4</v>
      </c>
      <c r="B1081" s="3" t="s">
        <v>531</v>
      </c>
      <c r="C1081" s="3" t="s">
        <v>100</v>
      </c>
      <c r="D1081" s="15" t="n">
        <v>2274.79</v>
      </c>
    </row>
    <row r="1082" customFormat="false" ht="15" hidden="false" customHeight="false" outlineLevel="0" collapsed="false">
      <c r="A1082" s="3" t="n">
        <v>4</v>
      </c>
      <c r="B1082" s="3" t="s">
        <v>531</v>
      </c>
      <c r="C1082" s="3" t="s">
        <v>99</v>
      </c>
      <c r="D1082" s="15" t="n">
        <v>3.21</v>
      </c>
    </row>
    <row r="1083" customFormat="false" ht="15" hidden="false" customHeight="false" outlineLevel="0" collapsed="false">
      <c r="A1083" s="3" t="n">
        <v>4</v>
      </c>
      <c r="B1083" s="3" t="s">
        <v>531</v>
      </c>
      <c r="C1083" s="3" t="s">
        <v>98</v>
      </c>
      <c r="D1083" s="15" t="n">
        <v>4381.3</v>
      </c>
    </row>
    <row r="1084" customFormat="false" ht="15" hidden="false" customHeight="false" outlineLevel="0" collapsed="false">
      <c r="A1084" s="3" t="n">
        <v>4</v>
      </c>
      <c r="B1084" s="3" t="s">
        <v>531</v>
      </c>
      <c r="C1084" s="3" t="s">
        <v>82</v>
      </c>
      <c r="D1084" s="15" t="n">
        <v>2092.87</v>
      </c>
    </row>
    <row r="1085" customFormat="false" ht="15" hidden="false" customHeight="false" outlineLevel="0" collapsed="false">
      <c r="A1085" s="3" t="n">
        <v>4</v>
      </c>
      <c r="B1085" s="3" t="s">
        <v>532</v>
      </c>
      <c r="C1085" s="3" t="s">
        <v>103</v>
      </c>
      <c r="D1085" s="15" t="n">
        <v>-1281.25</v>
      </c>
    </row>
    <row r="1086" customFormat="false" ht="15" hidden="false" customHeight="false" outlineLevel="0" collapsed="false">
      <c r="A1086" s="3" t="n">
        <v>4</v>
      </c>
      <c r="B1086" s="3" t="s">
        <v>532</v>
      </c>
      <c r="C1086" s="3" t="s">
        <v>102</v>
      </c>
      <c r="D1086" s="15" t="n">
        <v>363.35</v>
      </c>
    </row>
    <row r="1087" customFormat="false" ht="15" hidden="false" customHeight="false" outlineLevel="0" collapsed="false">
      <c r="A1087" s="3" t="n">
        <v>4</v>
      </c>
      <c r="B1087" s="3" t="s">
        <v>532</v>
      </c>
      <c r="C1087" s="3" t="s">
        <v>100</v>
      </c>
      <c r="D1087" s="15" t="n">
        <v>17611.38</v>
      </c>
    </row>
    <row r="1088" customFormat="false" ht="15" hidden="false" customHeight="false" outlineLevel="0" collapsed="false">
      <c r="A1088" s="3" t="n">
        <v>4</v>
      </c>
      <c r="B1088" s="3" t="s">
        <v>532</v>
      </c>
      <c r="C1088" s="3" t="s">
        <v>98</v>
      </c>
      <c r="D1088" s="15" t="n">
        <v>31371.2</v>
      </c>
    </row>
    <row r="1089" customFormat="false" ht="15" hidden="false" customHeight="false" outlineLevel="0" collapsed="false">
      <c r="A1089" s="3" t="n">
        <v>4</v>
      </c>
      <c r="B1089" s="3" t="s">
        <v>532</v>
      </c>
      <c r="C1089" s="3" t="s">
        <v>82</v>
      </c>
      <c r="D1089" s="15" t="n">
        <v>16802.931179</v>
      </c>
    </row>
    <row r="1090" customFormat="false" ht="15" hidden="false" customHeight="false" outlineLevel="0" collapsed="false">
      <c r="A1090" s="3" t="n">
        <v>4</v>
      </c>
      <c r="B1090" s="3" t="s">
        <v>533</v>
      </c>
      <c r="C1090" s="3" t="s">
        <v>103</v>
      </c>
      <c r="D1090" s="15" t="n">
        <v>-1976.73</v>
      </c>
    </row>
    <row r="1091" customFormat="false" ht="15" hidden="false" customHeight="false" outlineLevel="0" collapsed="false">
      <c r="A1091" s="3" t="n">
        <v>4</v>
      </c>
      <c r="B1091" s="3" t="s">
        <v>533</v>
      </c>
      <c r="C1091" s="3" t="s">
        <v>100</v>
      </c>
      <c r="D1091" s="15" t="n">
        <v>6217.06</v>
      </c>
    </row>
    <row r="1092" customFormat="false" ht="15" hidden="false" customHeight="false" outlineLevel="0" collapsed="false">
      <c r="A1092" s="3" t="n">
        <v>4</v>
      </c>
      <c r="B1092" s="3" t="s">
        <v>533</v>
      </c>
      <c r="C1092" s="3" t="s">
        <v>99</v>
      </c>
      <c r="D1092" s="15" t="n">
        <v>26.7</v>
      </c>
    </row>
    <row r="1093" customFormat="false" ht="15" hidden="false" customHeight="false" outlineLevel="0" collapsed="false">
      <c r="A1093" s="3" t="n">
        <v>4</v>
      </c>
      <c r="B1093" s="3" t="s">
        <v>533</v>
      </c>
      <c r="C1093" s="3" t="s">
        <v>98</v>
      </c>
      <c r="D1093" s="15" t="n">
        <v>11184.88</v>
      </c>
    </row>
    <row r="1094" customFormat="false" ht="15" hidden="false" customHeight="false" outlineLevel="0" collapsed="false">
      <c r="A1094" s="3" t="n">
        <v>4</v>
      </c>
      <c r="B1094" s="3" t="s">
        <v>533</v>
      </c>
      <c r="C1094" s="3" t="s">
        <v>82</v>
      </c>
      <c r="D1094" s="15" t="n">
        <v>5627.62</v>
      </c>
    </row>
    <row r="1095" customFormat="false" ht="15" hidden="false" customHeight="false" outlineLevel="0" collapsed="false">
      <c r="A1095" s="3" t="n">
        <v>4</v>
      </c>
      <c r="B1095" s="3" t="s">
        <v>534</v>
      </c>
      <c r="C1095" s="3" t="s">
        <v>103</v>
      </c>
      <c r="D1095" s="15" t="n">
        <v>-34905.45</v>
      </c>
    </row>
    <row r="1096" customFormat="false" ht="15" hidden="false" customHeight="false" outlineLevel="0" collapsed="false">
      <c r="A1096" s="3" t="n">
        <v>4</v>
      </c>
      <c r="B1096" s="3" t="s">
        <v>534</v>
      </c>
      <c r="C1096" s="3" t="s">
        <v>102</v>
      </c>
      <c r="D1096" s="15" t="n">
        <v>11691.16</v>
      </c>
    </row>
    <row r="1097" customFormat="false" ht="15" hidden="false" customHeight="false" outlineLevel="0" collapsed="false">
      <c r="A1097" s="3" t="n">
        <v>4</v>
      </c>
      <c r="B1097" s="3" t="s">
        <v>534</v>
      </c>
      <c r="C1097" s="3" t="s">
        <v>100</v>
      </c>
      <c r="D1097" s="15" t="n">
        <v>7253.5</v>
      </c>
    </row>
    <row r="1098" customFormat="false" ht="15" hidden="false" customHeight="false" outlineLevel="0" collapsed="false">
      <c r="A1098" s="3" t="n">
        <v>4</v>
      </c>
      <c r="B1098" s="3" t="s">
        <v>534</v>
      </c>
      <c r="C1098" s="3" t="s">
        <v>99</v>
      </c>
      <c r="D1098" s="15" t="n">
        <v>1328.26</v>
      </c>
    </row>
    <row r="1099" customFormat="false" ht="15" hidden="false" customHeight="false" outlineLevel="0" collapsed="false">
      <c r="A1099" s="3" t="n">
        <v>4</v>
      </c>
      <c r="B1099" s="3" t="s">
        <v>534</v>
      </c>
      <c r="C1099" s="3" t="s">
        <v>98</v>
      </c>
      <c r="D1099" s="15" t="n">
        <v>15183.33</v>
      </c>
    </row>
    <row r="1100" customFormat="false" ht="15" hidden="false" customHeight="false" outlineLevel="0" collapsed="false">
      <c r="A1100" s="3" t="n">
        <v>4</v>
      </c>
      <c r="B1100" s="3" t="s">
        <v>534</v>
      </c>
      <c r="C1100" s="3" t="s">
        <v>82</v>
      </c>
      <c r="D1100" s="15" t="n">
        <v>1053.62</v>
      </c>
    </row>
    <row r="1101" customFormat="false" ht="15" hidden="false" customHeight="false" outlineLevel="0" collapsed="false">
      <c r="A1101" s="3" t="n">
        <v>4</v>
      </c>
      <c r="B1101" s="3" t="s">
        <v>535</v>
      </c>
      <c r="C1101" s="3" t="s">
        <v>103</v>
      </c>
      <c r="D1101" s="15" t="n">
        <v>-129.32</v>
      </c>
    </row>
    <row r="1102" customFormat="false" ht="15" hidden="false" customHeight="false" outlineLevel="0" collapsed="false">
      <c r="A1102" s="3" t="n">
        <v>4</v>
      </c>
      <c r="B1102" s="3" t="s">
        <v>535</v>
      </c>
      <c r="C1102" s="3" t="s">
        <v>100</v>
      </c>
      <c r="D1102" s="15" t="n">
        <v>8009.76</v>
      </c>
    </row>
    <row r="1103" customFormat="false" ht="15" hidden="false" customHeight="false" outlineLevel="0" collapsed="false">
      <c r="A1103" s="3" t="n">
        <v>4</v>
      </c>
      <c r="B1103" s="3" t="s">
        <v>535</v>
      </c>
      <c r="C1103" s="3" t="s">
        <v>98</v>
      </c>
      <c r="D1103" s="15" t="n">
        <v>14232</v>
      </c>
    </row>
    <row r="1104" customFormat="false" ht="15" hidden="false" customHeight="false" outlineLevel="0" collapsed="false">
      <c r="A1104" s="3" t="n">
        <v>4</v>
      </c>
      <c r="B1104" s="3" t="s">
        <v>535</v>
      </c>
      <c r="C1104" s="3" t="s">
        <v>82</v>
      </c>
      <c r="D1104" s="15" t="n">
        <v>7683.28</v>
      </c>
    </row>
    <row r="1105" customFormat="false" ht="15" hidden="false" customHeight="false" outlineLevel="0" collapsed="false">
      <c r="A1105" s="3" t="n">
        <v>4</v>
      </c>
      <c r="B1105" s="3" t="s">
        <v>536</v>
      </c>
      <c r="C1105" s="3" t="s">
        <v>103</v>
      </c>
      <c r="D1105" s="15" t="n">
        <v>-5914.99</v>
      </c>
    </row>
    <row r="1106" customFormat="false" ht="15" hidden="false" customHeight="false" outlineLevel="0" collapsed="false">
      <c r="A1106" s="3" t="n">
        <v>4</v>
      </c>
      <c r="B1106" s="3" t="s">
        <v>536</v>
      </c>
      <c r="C1106" s="3" t="s">
        <v>100</v>
      </c>
      <c r="D1106" s="15" t="n">
        <v>12489.4</v>
      </c>
    </row>
    <row r="1107" customFormat="false" ht="15" hidden="false" customHeight="false" outlineLevel="0" collapsed="false">
      <c r="A1107" s="3" t="n">
        <v>4</v>
      </c>
      <c r="B1107" s="3" t="s">
        <v>536</v>
      </c>
      <c r="C1107" s="3" t="s">
        <v>98</v>
      </c>
      <c r="D1107" s="15" t="n">
        <v>22112.26</v>
      </c>
    </row>
    <row r="1108" customFormat="false" ht="15" hidden="false" customHeight="false" outlineLevel="0" collapsed="false">
      <c r="A1108" s="3" t="n">
        <v>4</v>
      </c>
      <c r="B1108" s="3" t="s">
        <v>536</v>
      </c>
      <c r="C1108" s="3" t="s">
        <v>82</v>
      </c>
      <c r="D1108" s="15" t="n">
        <v>10042.2</v>
      </c>
    </row>
    <row r="1109" customFormat="false" ht="15" hidden="false" customHeight="false" outlineLevel="0" collapsed="false">
      <c r="A1109" s="3" t="n">
        <v>4</v>
      </c>
      <c r="B1109" s="3" t="s">
        <v>537</v>
      </c>
      <c r="C1109" s="3" t="s">
        <v>103</v>
      </c>
      <c r="D1109" s="15" t="n">
        <v>-519.2</v>
      </c>
    </row>
    <row r="1110" customFormat="false" ht="15" hidden="false" customHeight="false" outlineLevel="0" collapsed="false">
      <c r="A1110" s="3" t="n">
        <v>4</v>
      </c>
      <c r="B1110" s="3" t="s">
        <v>537</v>
      </c>
      <c r="C1110" s="3" t="s">
        <v>100</v>
      </c>
      <c r="D1110" s="15" t="n">
        <v>17280.24</v>
      </c>
    </row>
    <row r="1111" customFormat="false" ht="15" hidden="false" customHeight="false" outlineLevel="0" collapsed="false">
      <c r="A1111" s="3" t="n">
        <v>4</v>
      </c>
      <c r="B1111" s="3" t="s">
        <v>537</v>
      </c>
      <c r="C1111" s="3" t="s">
        <v>98</v>
      </c>
      <c r="D1111" s="15" t="n">
        <v>30704</v>
      </c>
    </row>
    <row r="1112" customFormat="false" ht="15" hidden="false" customHeight="false" outlineLevel="0" collapsed="false">
      <c r="A1112" s="3" t="n">
        <v>4</v>
      </c>
      <c r="B1112" s="3" t="s">
        <v>537</v>
      </c>
      <c r="C1112" s="3" t="s">
        <v>82</v>
      </c>
      <c r="D1112" s="15" t="n">
        <v>16528.8</v>
      </c>
    </row>
    <row r="1113" customFormat="false" ht="15" hidden="false" customHeight="false" outlineLevel="0" collapsed="false">
      <c r="A1113" s="3" t="n">
        <v>4</v>
      </c>
      <c r="B1113" s="3" t="s">
        <v>538</v>
      </c>
      <c r="C1113" s="3" t="s">
        <v>103</v>
      </c>
      <c r="D1113" s="15" t="n">
        <v>-1302.99</v>
      </c>
    </row>
    <row r="1114" customFormat="false" ht="15" hidden="false" customHeight="false" outlineLevel="0" collapsed="false">
      <c r="A1114" s="3" t="n">
        <v>4</v>
      </c>
      <c r="B1114" s="3" t="s">
        <v>538</v>
      </c>
      <c r="C1114" s="3" t="s">
        <v>100</v>
      </c>
      <c r="D1114" s="15" t="n">
        <v>5554.62</v>
      </c>
    </row>
    <row r="1115" customFormat="false" ht="15" hidden="false" customHeight="false" outlineLevel="0" collapsed="false">
      <c r="A1115" s="3" t="n">
        <v>4</v>
      </c>
      <c r="B1115" s="3" t="s">
        <v>538</v>
      </c>
      <c r="C1115" s="3" t="s">
        <v>99</v>
      </c>
      <c r="D1115" s="15" t="n">
        <v>1143.9</v>
      </c>
    </row>
    <row r="1116" customFormat="false" ht="15" hidden="false" customHeight="false" outlineLevel="0" collapsed="false">
      <c r="A1116" s="3" t="n">
        <v>4</v>
      </c>
      <c r="B1116" s="3" t="s">
        <v>538</v>
      </c>
      <c r="C1116" s="3" t="s">
        <v>98</v>
      </c>
      <c r="D1116" s="15" t="n">
        <v>8969.53</v>
      </c>
    </row>
    <row r="1117" customFormat="false" ht="15" hidden="false" customHeight="false" outlineLevel="0" collapsed="false">
      <c r="A1117" s="3" t="n">
        <v>4</v>
      </c>
      <c r="B1117" s="3" t="s">
        <v>538</v>
      </c>
      <c r="C1117" s="3" t="s">
        <v>82</v>
      </c>
      <c r="D1117" s="15" t="n">
        <v>5135.84</v>
      </c>
    </row>
    <row r="1118" customFormat="false" ht="15" hidden="false" customHeight="false" outlineLevel="0" collapsed="false">
      <c r="A1118" s="3" t="n">
        <v>4</v>
      </c>
      <c r="B1118" s="3" t="s">
        <v>539</v>
      </c>
      <c r="C1118" s="3" t="s">
        <v>103</v>
      </c>
      <c r="D1118" s="15" t="n">
        <v>-129.8</v>
      </c>
    </row>
    <row r="1119" customFormat="false" ht="15" hidden="false" customHeight="false" outlineLevel="0" collapsed="false">
      <c r="A1119" s="3" t="n">
        <v>4</v>
      </c>
      <c r="B1119" s="3" t="s">
        <v>539</v>
      </c>
      <c r="C1119" s="3" t="s">
        <v>100</v>
      </c>
      <c r="D1119" s="15" t="n">
        <v>3696.48</v>
      </c>
    </row>
    <row r="1120" customFormat="false" ht="15" hidden="false" customHeight="false" outlineLevel="0" collapsed="false">
      <c r="A1120" s="3" t="n">
        <v>4</v>
      </c>
      <c r="B1120" s="3" t="s">
        <v>539</v>
      </c>
      <c r="C1120" s="3" t="s">
        <v>98</v>
      </c>
      <c r="D1120" s="15" t="n">
        <v>6568</v>
      </c>
    </row>
    <row r="1121" customFormat="false" ht="15" hidden="false" customHeight="false" outlineLevel="0" collapsed="false">
      <c r="A1121" s="3" t="n">
        <v>4</v>
      </c>
      <c r="B1121" s="3" t="s">
        <v>539</v>
      </c>
      <c r="C1121" s="3" t="s">
        <v>82</v>
      </c>
      <c r="D1121" s="15" t="n">
        <v>3532.06</v>
      </c>
    </row>
    <row r="1122" customFormat="false" ht="15" hidden="false" customHeight="false" outlineLevel="0" collapsed="false">
      <c r="A1122" s="3" t="n">
        <v>4</v>
      </c>
      <c r="B1122" s="3" t="s">
        <v>540</v>
      </c>
      <c r="C1122" s="3" t="s">
        <v>103</v>
      </c>
      <c r="D1122" s="15" t="n">
        <v>-1379.09</v>
      </c>
    </row>
    <row r="1123" customFormat="false" ht="15" hidden="false" customHeight="false" outlineLevel="0" collapsed="false">
      <c r="A1123" s="3" t="n">
        <v>4</v>
      </c>
      <c r="B1123" s="3" t="s">
        <v>540</v>
      </c>
      <c r="C1123" s="3" t="s">
        <v>100</v>
      </c>
      <c r="D1123" s="15" t="n">
        <v>7029.48</v>
      </c>
    </row>
    <row r="1124" customFormat="false" ht="15" hidden="false" customHeight="false" outlineLevel="0" collapsed="false">
      <c r="A1124" s="3" t="n">
        <v>4</v>
      </c>
      <c r="B1124" s="3" t="s">
        <v>540</v>
      </c>
      <c r="C1124" s="3" t="s">
        <v>99</v>
      </c>
      <c r="D1124" s="15" t="n">
        <v>444.99</v>
      </c>
    </row>
    <row r="1125" customFormat="false" ht="15" hidden="false" customHeight="false" outlineLevel="0" collapsed="false">
      <c r="A1125" s="3" t="n">
        <v>4</v>
      </c>
      <c r="B1125" s="3" t="s">
        <v>540</v>
      </c>
      <c r="C1125" s="3" t="s">
        <v>98</v>
      </c>
      <c r="D1125" s="15" t="n">
        <v>12176.6</v>
      </c>
    </row>
    <row r="1126" customFormat="false" ht="15" hidden="false" customHeight="false" outlineLevel="0" collapsed="false">
      <c r="A1126" s="3" t="n">
        <v>4</v>
      </c>
      <c r="B1126" s="3" t="s">
        <v>540</v>
      </c>
      <c r="C1126" s="3" t="s">
        <v>82</v>
      </c>
      <c r="D1126" s="15" t="n">
        <v>6513.55</v>
      </c>
    </row>
    <row r="1127" customFormat="false" ht="15" hidden="false" customHeight="false" outlineLevel="0" collapsed="false">
      <c r="A1127" s="3" t="n">
        <v>4</v>
      </c>
      <c r="B1127" s="3" t="s">
        <v>541</v>
      </c>
      <c r="C1127" s="3" t="s">
        <v>103</v>
      </c>
      <c r="D1127" s="15" t="n">
        <v>-4595.87</v>
      </c>
    </row>
    <row r="1128" customFormat="false" ht="15" hidden="false" customHeight="false" outlineLevel="0" collapsed="false">
      <c r="A1128" s="3" t="n">
        <v>4</v>
      </c>
      <c r="B1128" s="3" t="s">
        <v>541</v>
      </c>
      <c r="C1128" s="3" t="s">
        <v>102</v>
      </c>
      <c r="D1128" s="15" t="n">
        <v>108.06</v>
      </c>
    </row>
    <row r="1129" customFormat="false" ht="15" hidden="false" customHeight="false" outlineLevel="0" collapsed="false">
      <c r="A1129" s="3" t="n">
        <v>4</v>
      </c>
      <c r="B1129" s="3" t="s">
        <v>541</v>
      </c>
      <c r="C1129" s="3" t="s">
        <v>100</v>
      </c>
      <c r="D1129" s="15" t="n">
        <v>9096.93</v>
      </c>
    </row>
    <row r="1130" customFormat="false" ht="15" hidden="false" customHeight="false" outlineLevel="0" collapsed="false">
      <c r="A1130" s="3" t="n">
        <v>4</v>
      </c>
      <c r="B1130" s="3" t="s">
        <v>541</v>
      </c>
      <c r="C1130" s="3" t="s">
        <v>99</v>
      </c>
      <c r="D1130" s="15" t="n">
        <v>782.94</v>
      </c>
    </row>
    <row r="1131" customFormat="false" ht="15" hidden="false" customHeight="false" outlineLevel="0" collapsed="false">
      <c r="A1131" s="3" t="n">
        <v>4</v>
      </c>
      <c r="B1131" s="3" t="s">
        <v>541</v>
      </c>
      <c r="C1131" s="3" t="s">
        <v>98</v>
      </c>
      <c r="D1131" s="15" t="n">
        <v>13562.35</v>
      </c>
    </row>
    <row r="1132" customFormat="false" ht="15" hidden="false" customHeight="false" outlineLevel="0" collapsed="false">
      <c r="A1132" s="3" t="n">
        <v>4</v>
      </c>
      <c r="B1132" s="3" t="s">
        <v>541</v>
      </c>
      <c r="C1132" s="3" t="s">
        <v>82</v>
      </c>
      <c r="D1132" s="15" t="n">
        <v>7014.16</v>
      </c>
    </row>
    <row r="1133" customFormat="false" ht="15" hidden="false" customHeight="false" outlineLevel="0" collapsed="false">
      <c r="A1133" s="3" t="n">
        <v>4</v>
      </c>
      <c r="B1133" s="3" t="s">
        <v>542</v>
      </c>
      <c r="C1133" s="3" t="s">
        <v>103</v>
      </c>
      <c r="D1133" s="15" t="n">
        <v>-337.77</v>
      </c>
    </row>
    <row r="1134" customFormat="false" ht="15" hidden="false" customHeight="false" outlineLevel="0" collapsed="false">
      <c r="A1134" s="3" t="n">
        <v>4</v>
      </c>
      <c r="B1134" s="3" t="s">
        <v>542</v>
      </c>
      <c r="C1134" s="3" t="s">
        <v>100</v>
      </c>
      <c r="D1134" s="15" t="n">
        <v>2192.32</v>
      </c>
    </row>
    <row r="1135" customFormat="false" ht="15" hidden="false" customHeight="false" outlineLevel="0" collapsed="false">
      <c r="A1135" s="3" t="n">
        <v>4</v>
      </c>
      <c r="B1135" s="3" t="s">
        <v>542</v>
      </c>
      <c r="C1135" s="3" t="s">
        <v>99</v>
      </c>
      <c r="D1135" s="15" t="n">
        <v>81.25</v>
      </c>
    </row>
    <row r="1136" customFormat="false" ht="15" hidden="false" customHeight="false" outlineLevel="0" collapsed="false">
      <c r="A1136" s="3" t="n">
        <v>4</v>
      </c>
      <c r="B1136" s="3" t="s">
        <v>542</v>
      </c>
      <c r="C1136" s="3" t="s">
        <v>98</v>
      </c>
      <c r="D1136" s="15" t="n">
        <v>3414</v>
      </c>
    </row>
    <row r="1137" customFormat="false" ht="15" hidden="false" customHeight="false" outlineLevel="0" collapsed="false">
      <c r="A1137" s="3" t="n">
        <v>4</v>
      </c>
      <c r="B1137" s="3" t="s">
        <v>542</v>
      </c>
      <c r="C1137" s="3" t="s">
        <v>82</v>
      </c>
      <c r="D1137" s="15" t="n">
        <v>1904.51</v>
      </c>
    </row>
    <row r="1138" customFormat="false" ht="15" hidden="false" customHeight="false" outlineLevel="0" collapsed="false">
      <c r="A1138" s="3" t="n">
        <v>4</v>
      </c>
      <c r="B1138" s="3" t="s">
        <v>543</v>
      </c>
      <c r="C1138" s="3" t="s">
        <v>103</v>
      </c>
      <c r="D1138" s="15" t="n">
        <v>-1567.15</v>
      </c>
    </row>
    <row r="1139" customFormat="false" ht="15" hidden="false" customHeight="false" outlineLevel="0" collapsed="false">
      <c r="A1139" s="3" t="n">
        <v>4</v>
      </c>
      <c r="B1139" s="3" t="s">
        <v>543</v>
      </c>
      <c r="C1139" s="3" t="s">
        <v>100</v>
      </c>
      <c r="D1139" s="15" t="n">
        <v>5388.12</v>
      </c>
    </row>
    <row r="1140" customFormat="false" ht="15" hidden="false" customHeight="false" outlineLevel="0" collapsed="false">
      <c r="A1140" s="3" t="n">
        <v>4</v>
      </c>
      <c r="B1140" s="3" t="s">
        <v>543</v>
      </c>
      <c r="C1140" s="3" t="s">
        <v>99</v>
      </c>
      <c r="D1140" s="15" t="n">
        <v>285.54</v>
      </c>
    </row>
    <row r="1141" customFormat="false" ht="15" hidden="false" customHeight="false" outlineLevel="0" collapsed="false">
      <c r="A1141" s="3" t="n">
        <v>4</v>
      </c>
      <c r="B1141" s="3" t="s">
        <v>543</v>
      </c>
      <c r="C1141" s="3" t="s">
        <v>98</v>
      </c>
      <c r="D1141" s="15" t="n">
        <v>6484</v>
      </c>
    </row>
    <row r="1142" customFormat="false" ht="15" hidden="false" customHeight="false" outlineLevel="0" collapsed="false">
      <c r="A1142" s="3" t="n">
        <v>4</v>
      </c>
      <c r="B1142" s="3" t="s">
        <v>543</v>
      </c>
      <c r="C1142" s="3" t="s">
        <v>82</v>
      </c>
      <c r="D1142" s="15" t="n">
        <v>3847.61</v>
      </c>
    </row>
    <row r="1143" customFormat="false" ht="15" hidden="false" customHeight="false" outlineLevel="0" collapsed="false">
      <c r="A1143" s="3" t="n">
        <v>4</v>
      </c>
      <c r="B1143" s="3" t="s">
        <v>544</v>
      </c>
      <c r="C1143" s="3" t="s">
        <v>103</v>
      </c>
      <c r="D1143" s="15" t="n">
        <v>-167.08</v>
      </c>
    </row>
    <row r="1144" customFormat="false" ht="15" hidden="false" customHeight="false" outlineLevel="0" collapsed="false">
      <c r="A1144" s="3" t="n">
        <v>4</v>
      </c>
      <c r="B1144" s="3" t="s">
        <v>544</v>
      </c>
      <c r="C1144" s="3" t="s">
        <v>100</v>
      </c>
      <c r="D1144" s="15" t="n">
        <v>1012.87</v>
      </c>
    </row>
    <row r="1145" customFormat="false" ht="15" hidden="false" customHeight="false" outlineLevel="0" collapsed="false">
      <c r="A1145" s="3" t="n">
        <v>4</v>
      </c>
      <c r="B1145" s="3" t="s">
        <v>544</v>
      </c>
      <c r="C1145" s="3" t="s">
        <v>99</v>
      </c>
      <c r="D1145" s="15" t="n">
        <v>92.7</v>
      </c>
    </row>
    <row r="1146" customFormat="false" ht="15" hidden="false" customHeight="false" outlineLevel="0" collapsed="false">
      <c r="A1146" s="3" t="n">
        <v>4</v>
      </c>
      <c r="B1146" s="3" t="s">
        <v>544</v>
      </c>
      <c r="C1146" s="3" t="s">
        <v>98</v>
      </c>
      <c r="D1146" s="15" t="n">
        <v>1707</v>
      </c>
    </row>
    <row r="1147" customFormat="false" ht="15" hidden="false" customHeight="false" outlineLevel="0" collapsed="false">
      <c r="A1147" s="3" t="n">
        <v>4</v>
      </c>
      <c r="B1147" s="3" t="s">
        <v>544</v>
      </c>
      <c r="C1147" s="3" t="s">
        <v>82</v>
      </c>
      <c r="D1147" s="15" t="n">
        <v>942.05</v>
      </c>
    </row>
    <row r="1148" customFormat="false" ht="15" hidden="false" customHeight="false" outlineLevel="0" collapsed="false">
      <c r="A1148" s="3" t="n">
        <v>4</v>
      </c>
      <c r="B1148" s="3" t="s">
        <v>545</v>
      </c>
      <c r="C1148" s="3" t="s">
        <v>103</v>
      </c>
      <c r="D1148" s="15" t="n">
        <v>-818.41</v>
      </c>
    </row>
    <row r="1149" customFormat="false" ht="15" hidden="false" customHeight="false" outlineLevel="0" collapsed="false">
      <c r="A1149" s="3" t="n">
        <v>4</v>
      </c>
      <c r="B1149" s="3" t="s">
        <v>545</v>
      </c>
      <c r="C1149" s="3" t="s">
        <v>100</v>
      </c>
      <c r="D1149" s="15" t="n">
        <v>4300.82</v>
      </c>
    </row>
    <row r="1150" customFormat="false" ht="15" hidden="false" customHeight="false" outlineLevel="0" collapsed="false">
      <c r="A1150" s="3" t="n">
        <v>4</v>
      </c>
      <c r="B1150" s="3" t="s">
        <v>545</v>
      </c>
      <c r="C1150" s="3" t="s">
        <v>99</v>
      </c>
      <c r="D1150" s="15" t="n">
        <v>128.11</v>
      </c>
    </row>
    <row r="1151" customFormat="false" ht="15" hidden="false" customHeight="false" outlineLevel="0" collapsed="false">
      <c r="A1151" s="3" t="n">
        <v>4</v>
      </c>
      <c r="B1151" s="3" t="s">
        <v>545</v>
      </c>
      <c r="C1151" s="3" t="s">
        <v>98</v>
      </c>
      <c r="D1151" s="15" t="n">
        <v>7564.66</v>
      </c>
    </row>
    <row r="1152" customFormat="false" ht="15" hidden="false" customHeight="false" outlineLevel="0" collapsed="false">
      <c r="A1152" s="3" t="n">
        <v>4</v>
      </c>
      <c r="B1152" s="3" t="s">
        <v>545</v>
      </c>
      <c r="C1152" s="3" t="s">
        <v>82</v>
      </c>
      <c r="D1152" s="15" t="n">
        <v>3988.78</v>
      </c>
    </row>
    <row r="1153" customFormat="false" ht="15" hidden="false" customHeight="false" outlineLevel="0" collapsed="false">
      <c r="A1153" s="3" t="n">
        <v>4</v>
      </c>
      <c r="B1153" s="3" t="s">
        <v>546</v>
      </c>
      <c r="C1153" s="3" t="s">
        <v>103</v>
      </c>
      <c r="D1153" s="15" t="n">
        <v>-1229.86</v>
      </c>
    </row>
    <row r="1154" customFormat="false" ht="15" hidden="false" customHeight="false" outlineLevel="0" collapsed="false">
      <c r="A1154" s="3" t="n">
        <v>4</v>
      </c>
      <c r="B1154" s="3" t="s">
        <v>546</v>
      </c>
      <c r="C1154" s="3" t="s">
        <v>102</v>
      </c>
      <c r="D1154" s="15" t="n">
        <v>1015.21</v>
      </c>
    </row>
    <row r="1155" customFormat="false" ht="15" hidden="false" customHeight="false" outlineLevel="0" collapsed="false">
      <c r="A1155" s="3" t="n">
        <v>4</v>
      </c>
      <c r="B1155" s="3" t="s">
        <v>546</v>
      </c>
      <c r="C1155" s="3" t="s">
        <v>100</v>
      </c>
      <c r="D1155" s="15" t="n">
        <v>11613.94</v>
      </c>
    </row>
    <row r="1156" customFormat="false" ht="15" hidden="false" customHeight="false" outlineLevel="0" collapsed="false">
      <c r="A1156" s="3" t="n">
        <v>4</v>
      </c>
      <c r="B1156" s="3" t="s">
        <v>546</v>
      </c>
      <c r="C1156" s="3" t="s">
        <v>98</v>
      </c>
      <c r="D1156" s="15" t="n">
        <v>20635.98</v>
      </c>
    </row>
    <row r="1157" customFormat="false" ht="15" hidden="false" customHeight="false" outlineLevel="0" collapsed="false">
      <c r="A1157" s="3" t="n">
        <v>4</v>
      </c>
      <c r="B1157" s="3" t="s">
        <v>546</v>
      </c>
      <c r="C1157" s="3" t="s">
        <v>82</v>
      </c>
      <c r="D1157" s="15" t="n">
        <v>11153.319092</v>
      </c>
    </row>
    <row r="1158" customFormat="false" ht="15" hidden="false" customHeight="false" outlineLevel="0" collapsed="false">
      <c r="A1158" s="3" t="n">
        <v>4</v>
      </c>
      <c r="B1158" s="3" t="s">
        <v>547</v>
      </c>
      <c r="C1158" s="3" t="s">
        <v>103</v>
      </c>
      <c r="D1158" s="15" t="n">
        <v>-335.76</v>
      </c>
    </row>
    <row r="1159" customFormat="false" ht="15" hidden="false" customHeight="false" outlineLevel="0" collapsed="false">
      <c r="A1159" s="3" t="n">
        <v>4</v>
      </c>
      <c r="B1159" s="3" t="s">
        <v>547</v>
      </c>
      <c r="C1159" s="3" t="s">
        <v>100</v>
      </c>
      <c r="D1159" s="15" t="n">
        <v>2013.53</v>
      </c>
    </row>
    <row r="1160" customFormat="false" ht="15" hidden="false" customHeight="false" outlineLevel="0" collapsed="false">
      <c r="A1160" s="3" t="n">
        <v>4</v>
      </c>
      <c r="B1160" s="3" t="s">
        <v>547</v>
      </c>
      <c r="C1160" s="3" t="s">
        <v>99</v>
      </c>
      <c r="D1160" s="15" t="n">
        <v>165.31</v>
      </c>
    </row>
    <row r="1161" customFormat="false" ht="15" hidden="false" customHeight="false" outlineLevel="0" collapsed="false">
      <c r="A1161" s="3" t="n">
        <v>4</v>
      </c>
      <c r="B1161" s="3" t="s">
        <v>547</v>
      </c>
      <c r="C1161" s="3" t="s">
        <v>98</v>
      </c>
      <c r="D1161" s="15" t="n">
        <v>3414</v>
      </c>
    </row>
    <row r="1162" customFormat="false" ht="15" hidden="false" customHeight="false" outlineLevel="0" collapsed="false">
      <c r="A1162" s="3" t="n">
        <v>4</v>
      </c>
      <c r="B1162" s="3" t="s">
        <v>547</v>
      </c>
      <c r="C1162" s="3" t="s">
        <v>82</v>
      </c>
      <c r="D1162" s="15" t="n">
        <v>1872.36</v>
      </c>
    </row>
    <row r="1163" customFormat="false" ht="15" hidden="false" customHeight="false" outlineLevel="0" collapsed="false">
      <c r="A1163" s="3" t="n">
        <v>4</v>
      </c>
      <c r="B1163" s="3" t="s">
        <v>548</v>
      </c>
      <c r="C1163" s="3" t="s">
        <v>103</v>
      </c>
      <c r="D1163" s="15" t="n">
        <v>-1500.2</v>
      </c>
    </row>
    <row r="1164" customFormat="false" ht="15" hidden="false" customHeight="false" outlineLevel="0" collapsed="false">
      <c r="A1164" s="3" t="n">
        <v>4</v>
      </c>
      <c r="B1164" s="3" t="s">
        <v>548</v>
      </c>
      <c r="C1164" s="3" t="s">
        <v>100</v>
      </c>
      <c r="D1164" s="15" t="n">
        <v>4210.71</v>
      </c>
    </row>
    <row r="1165" customFormat="false" ht="15" hidden="false" customHeight="false" outlineLevel="0" collapsed="false">
      <c r="A1165" s="3" t="n">
        <v>4</v>
      </c>
      <c r="B1165" s="3" t="s">
        <v>548</v>
      </c>
      <c r="C1165" s="3" t="s">
        <v>99</v>
      </c>
      <c r="D1165" s="15" t="n">
        <v>1279.54</v>
      </c>
    </row>
    <row r="1166" customFormat="false" ht="15" hidden="false" customHeight="false" outlineLevel="0" collapsed="false">
      <c r="A1166" s="3" t="n">
        <v>4</v>
      </c>
      <c r="B1166" s="3" t="s">
        <v>548</v>
      </c>
      <c r="C1166" s="3" t="s">
        <v>98</v>
      </c>
      <c r="D1166" s="15" t="n">
        <v>4971.06</v>
      </c>
    </row>
    <row r="1167" customFormat="false" ht="15" hidden="false" customHeight="false" outlineLevel="0" collapsed="false">
      <c r="A1167" s="3" t="n">
        <v>4</v>
      </c>
      <c r="B1167" s="3" t="s">
        <v>548</v>
      </c>
      <c r="C1167" s="3" t="s">
        <v>82</v>
      </c>
      <c r="D1167" s="15" t="n">
        <v>3331.73</v>
      </c>
    </row>
    <row r="1168" customFormat="false" ht="15" hidden="false" customHeight="false" outlineLevel="0" collapsed="false">
      <c r="A1168" s="3" t="n">
        <v>4</v>
      </c>
      <c r="B1168" s="3" t="s">
        <v>549</v>
      </c>
      <c r="C1168" s="3" t="s">
        <v>103</v>
      </c>
      <c r="D1168" s="15" t="n">
        <v>-167.08</v>
      </c>
    </row>
    <row r="1169" customFormat="false" ht="15" hidden="false" customHeight="false" outlineLevel="0" collapsed="false">
      <c r="A1169" s="3" t="n">
        <v>4</v>
      </c>
      <c r="B1169" s="3" t="s">
        <v>549</v>
      </c>
      <c r="C1169" s="3" t="s">
        <v>100</v>
      </c>
      <c r="D1169" s="15" t="n">
        <v>998.67</v>
      </c>
    </row>
    <row r="1170" customFormat="false" ht="15" hidden="false" customHeight="false" outlineLevel="0" collapsed="false">
      <c r="A1170" s="3" t="n">
        <v>4</v>
      </c>
      <c r="B1170" s="3" t="s">
        <v>549</v>
      </c>
      <c r="C1170" s="3" t="s">
        <v>99</v>
      </c>
      <c r="D1170" s="15" t="n">
        <v>67.47</v>
      </c>
    </row>
    <row r="1171" customFormat="false" ht="15" hidden="false" customHeight="false" outlineLevel="0" collapsed="false">
      <c r="A1171" s="3" t="n">
        <v>4</v>
      </c>
      <c r="B1171" s="3" t="s">
        <v>549</v>
      </c>
      <c r="C1171" s="3" t="s">
        <v>98</v>
      </c>
      <c r="D1171" s="15" t="n">
        <v>1707</v>
      </c>
    </row>
    <row r="1172" customFormat="false" ht="15" hidden="false" customHeight="false" outlineLevel="0" collapsed="false">
      <c r="A1172" s="3" t="n">
        <v>4</v>
      </c>
      <c r="B1172" s="3" t="s">
        <v>549</v>
      </c>
      <c r="C1172" s="3" t="s">
        <v>82</v>
      </c>
      <c r="D1172" s="15" t="n">
        <v>928.4</v>
      </c>
    </row>
    <row r="1173" customFormat="false" ht="15" hidden="false" customHeight="false" outlineLevel="0" collapsed="false">
      <c r="A1173" s="3" t="n">
        <v>4</v>
      </c>
      <c r="B1173" s="3" t="s">
        <v>550</v>
      </c>
      <c r="C1173" s="3" t="s">
        <v>103</v>
      </c>
      <c r="D1173" s="15" t="n">
        <v>-163.29</v>
      </c>
    </row>
    <row r="1174" customFormat="false" ht="15" hidden="false" customHeight="false" outlineLevel="0" collapsed="false">
      <c r="A1174" s="3" t="n">
        <v>4</v>
      </c>
      <c r="B1174" s="3" t="s">
        <v>550</v>
      </c>
      <c r="C1174" s="3" t="s">
        <v>100</v>
      </c>
      <c r="D1174" s="15" t="n">
        <v>934.28</v>
      </c>
    </row>
    <row r="1175" customFormat="false" ht="15" hidden="false" customHeight="false" outlineLevel="0" collapsed="false">
      <c r="A1175" s="3" t="n">
        <v>4</v>
      </c>
      <c r="B1175" s="3" t="s">
        <v>550</v>
      </c>
      <c r="C1175" s="3" t="s">
        <v>99</v>
      </c>
      <c r="D1175" s="15" t="n">
        <v>40.42</v>
      </c>
    </row>
    <row r="1176" customFormat="false" ht="15" hidden="false" customHeight="false" outlineLevel="0" collapsed="false">
      <c r="A1176" s="3" t="n">
        <v>4</v>
      </c>
      <c r="B1176" s="3" t="s">
        <v>550</v>
      </c>
      <c r="C1176" s="3" t="s">
        <v>98</v>
      </c>
      <c r="D1176" s="15" t="n">
        <v>1621</v>
      </c>
    </row>
    <row r="1177" customFormat="false" ht="15" hidden="false" customHeight="false" outlineLevel="0" collapsed="false">
      <c r="A1177" s="3" t="n">
        <v>4</v>
      </c>
      <c r="B1177" s="3" t="s">
        <v>550</v>
      </c>
      <c r="C1177" s="3" t="s">
        <v>82</v>
      </c>
      <c r="D1177" s="15" t="n">
        <v>867.44</v>
      </c>
    </row>
    <row r="1178" customFormat="false" ht="15" hidden="false" customHeight="false" outlineLevel="0" collapsed="false">
      <c r="A1178" s="3" t="n">
        <v>4</v>
      </c>
      <c r="B1178" s="3" t="s">
        <v>551</v>
      </c>
      <c r="C1178" s="3" t="s">
        <v>103</v>
      </c>
      <c r="D1178" s="15" t="n">
        <v>-438.41</v>
      </c>
    </row>
    <row r="1179" customFormat="false" ht="15" hidden="false" customHeight="false" outlineLevel="0" collapsed="false">
      <c r="A1179" s="3" t="n">
        <v>4</v>
      </c>
      <c r="B1179" s="3" t="s">
        <v>551</v>
      </c>
      <c r="C1179" s="3" t="s">
        <v>100</v>
      </c>
      <c r="D1179" s="15" t="n">
        <v>2738.24</v>
      </c>
    </row>
    <row r="1180" customFormat="false" ht="15" hidden="false" customHeight="false" outlineLevel="0" collapsed="false">
      <c r="A1180" s="3" t="n">
        <v>4</v>
      </c>
      <c r="B1180" s="3" t="s">
        <v>551</v>
      </c>
      <c r="C1180" s="3" t="s">
        <v>99</v>
      </c>
      <c r="D1180" s="15" t="n">
        <v>396.01</v>
      </c>
    </row>
    <row r="1181" customFormat="false" ht="15" hidden="false" customHeight="false" outlineLevel="0" collapsed="false">
      <c r="A1181" s="3" t="n">
        <v>4</v>
      </c>
      <c r="B1181" s="3" t="s">
        <v>551</v>
      </c>
      <c r="C1181" s="3" t="s">
        <v>98</v>
      </c>
      <c r="D1181" s="15" t="n">
        <v>4267.5</v>
      </c>
    </row>
    <row r="1182" customFormat="false" ht="15" hidden="false" customHeight="false" outlineLevel="0" collapsed="false">
      <c r="A1182" s="3" t="n">
        <v>4</v>
      </c>
      <c r="B1182" s="3" t="s">
        <v>551</v>
      </c>
      <c r="C1182" s="3" t="s">
        <v>82</v>
      </c>
      <c r="D1182" s="15" t="n">
        <v>2475.52</v>
      </c>
    </row>
    <row r="1183" customFormat="false" ht="15" hidden="false" customHeight="false" outlineLevel="0" collapsed="false">
      <c r="A1183" s="3" t="n">
        <v>4</v>
      </c>
      <c r="B1183" s="3" t="s">
        <v>552</v>
      </c>
      <c r="C1183" s="3" t="s">
        <v>103</v>
      </c>
      <c r="D1183" s="15" t="n">
        <v>-4772.65</v>
      </c>
    </row>
    <row r="1184" customFormat="false" ht="15" hidden="false" customHeight="false" outlineLevel="0" collapsed="false">
      <c r="A1184" s="3" t="n">
        <v>4</v>
      </c>
      <c r="B1184" s="3" t="s">
        <v>552</v>
      </c>
      <c r="C1184" s="3" t="s">
        <v>100</v>
      </c>
      <c r="D1184" s="15" t="n">
        <v>2203.45</v>
      </c>
    </row>
    <row r="1185" customFormat="false" ht="15" hidden="false" customHeight="false" outlineLevel="0" collapsed="false">
      <c r="A1185" s="3" t="n">
        <v>4</v>
      </c>
      <c r="B1185" s="3" t="s">
        <v>552</v>
      </c>
      <c r="C1185" s="3" t="s">
        <v>99</v>
      </c>
      <c r="D1185" s="15" t="n">
        <v>184.36</v>
      </c>
    </row>
    <row r="1186" customFormat="false" ht="15" hidden="false" customHeight="false" outlineLevel="0" collapsed="false">
      <c r="A1186" s="3" t="n">
        <v>4</v>
      </c>
      <c r="B1186" s="3" t="s">
        <v>552</v>
      </c>
      <c r="C1186" s="3" t="s">
        <v>98</v>
      </c>
      <c r="D1186" s="15" t="n">
        <v>2863.76</v>
      </c>
    </row>
    <row r="1187" customFormat="false" ht="15" hidden="false" customHeight="false" outlineLevel="0" collapsed="false">
      <c r="A1187" s="3" t="n">
        <v>4</v>
      </c>
      <c r="B1187" s="3" t="s">
        <v>552</v>
      </c>
      <c r="C1187" s="3" t="s">
        <v>82</v>
      </c>
      <c r="D1187" s="15" t="n">
        <v>334.39</v>
      </c>
    </row>
    <row r="1188" customFormat="false" ht="15" hidden="false" customHeight="false" outlineLevel="0" collapsed="false">
      <c r="A1188" s="3" t="n">
        <v>4</v>
      </c>
      <c r="B1188" s="3" t="s">
        <v>553</v>
      </c>
      <c r="C1188" s="3" t="s">
        <v>103</v>
      </c>
      <c r="D1188" s="15" t="n">
        <v>-248.99</v>
      </c>
    </row>
    <row r="1189" customFormat="false" ht="15" hidden="false" customHeight="false" outlineLevel="0" collapsed="false">
      <c r="A1189" s="3" t="n">
        <v>4</v>
      </c>
      <c r="B1189" s="3" t="s">
        <v>553</v>
      </c>
      <c r="C1189" s="3" t="s">
        <v>100</v>
      </c>
      <c r="D1189" s="15" t="n">
        <v>1123.04</v>
      </c>
    </row>
    <row r="1190" customFormat="false" ht="15" hidden="false" customHeight="false" outlineLevel="0" collapsed="false">
      <c r="A1190" s="3" t="n">
        <v>4</v>
      </c>
      <c r="B1190" s="3" t="s">
        <v>553</v>
      </c>
      <c r="C1190" s="3" t="s">
        <v>99</v>
      </c>
      <c r="D1190" s="15" t="n">
        <v>48.52</v>
      </c>
    </row>
    <row r="1191" customFormat="false" ht="15" hidden="false" customHeight="false" outlineLevel="0" collapsed="false">
      <c r="A1191" s="3" t="n">
        <v>4</v>
      </c>
      <c r="B1191" s="3" t="s">
        <v>553</v>
      </c>
      <c r="C1191" s="3" t="s">
        <v>98</v>
      </c>
      <c r="D1191" s="15" t="n">
        <v>1934.6</v>
      </c>
    </row>
    <row r="1192" customFormat="false" ht="15" hidden="false" customHeight="false" outlineLevel="0" collapsed="false">
      <c r="A1192" s="3" t="n">
        <v>4</v>
      </c>
      <c r="B1192" s="3" t="s">
        <v>553</v>
      </c>
      <c r="C1192" s="3" t="s">
        <v>82</v>
      </c>
      <c r="D1192" s="15" t="n">
        <v>1025.26</v>
      </c>
    </row>
    <row r="1193" customFormat="false" ht="15" hidden="false" customHeight="false" outlineLevel="0" collapsed="false">
      <c r="A1193" s="3" t="n">
        <v>4</v>
      </c>
      <c r="B1193" s="3" t="s">
        <v>554</v>
      </c>
      <c r="C1193" s="3" t="s">
        <v>103</v>
      </c>
      <c r="D1193" s="15" t="n">
        <v>-426.82</v>
      </c>
    </row>
    <row r="1194" customFormat="false" ht="15" hidden="false" customHeight="false" outlineLevel="0" collapsed="false">
      <c r="A1194" s="3" t="n">
        <v>4</v>
      </c>
      <c r="B1194" s="3" t="s">
        <v>554</v>
      </c>
      <c r="C1194" s="3" t="s">
        <v>100</v>
      </c>
      <c r="D1194" s="15" t="n">
        <v>1534.19</v>
      </c>
    </row>
    <row r="1195" customFormat="false" ht="15" hidden="false" customHeight="false" outlineLevel="0" collapsed="false">
      <c r="A1195" s="3" t="n">
        <v>4</v>
      </c>
      <c r="B1195" s="3" t="s">
        <v>554</v>
      </c>
      <c r="C1195" s="3" t="s">
        <v>99</v>
      </c>
      <c r="D1195" s="15" t="n">
        <v>385.61</v>
      </c>
    </row>
    <row r="1196" customFormat="false" ht="15" hidden="false" customHeight="false" outlineLevel="0" collapsed="false">
      <c r="A1196" s="3" t="n">
        <v>4</v>
      </c>
      <c r="B1196" s="3" t="s">
        <v>554</v>
      </c>
      <c r="C1196" s="3" t="s">
        <v>98</v>
      </c>
      <c r="D1196" s="15" t="n">
        <v>2161.33</v>
      </c>
    </row>
    <row r="1197" customFormat="false" ht="15" hidden="false" customHeight="false" outlineLevel="0" collapsed="false">
      <c r="A1197" s="3" t="n">
        <v>4</v>
      </c>
      <c r="B1197" s="3" t="s">
        <v>554</v>
      </c>
      <c r="C1197" s="3" t="s">
        <v>82</v>
      </c>
      <c r="D1197" s="15" t="n">
        <v>1330.79</v>
      </c>
    </row>
    <row r="1198" customFormat="false" ht="15" hidden="false" customHeight="false" outlineLevel="0" collapsed="false">
      <c r="A1198" s="3" t="n">
        <v>4</v>
      </c>
      <c r="B1198" s="3" t="s">
        <v>555</v>
      </c>
      <c r="C1198" s="3" t="s">
        <v>103</v>
      </c>
      <c r="D1198" s="15" t="n">
        <v>-200.57</v>
      </c>
    </row>
    <row r="1199" customFormat="false" ht="15" hidden="false" customHeight="false" outlineLevel="0" collapsed="false">
      <c r="A1199" s="3" t="n">
        <v>4</v>
      </c>
      <c r="B1199" s="3" t="s">
        <v>555</v>
      </c>
      <c r="C1199" s="3" t="s">
        <v>100</v>
      </c>
      <c r="D1199" s="15" t="n">
        <v>1239.96</v>
      </c>
    </row>
    <row r="1200" customFormat="false" ht="15" hidden="false" customHeight="false" outlineLevel="0" collapsed="false">
      <c r="A1200" s="3" t="n">
        <v>4</v>
      </c>
      <c r="B1200" s="3" t="s">
        <v>555</v>
      </c>
      <c r="C1200" s="3" t="s">
        <v>99</v>
      </c>
      <c r="D1200" s="15" t="n">
        <v>105.28</v>
      </c>
    </row>
    <row r="1201" customFormat="false" ht="15" hidden="false" customHeight="false" outlineLevel="0" collapsed="false">
      <c r="A1201" s="3" t="n">
        <v>4</v>
      </c>
      <c r="B1201" s="3" t="s">
        <v>555</v>
      </c>
      <c r="C1201" s="3" t="s">
        <v>98</v>
      </c>
      <c r="D1201" s="15" t="n">
        <v>1707</v>
      </c>
    </row>
    <row r="1202" customFormat="false" ht="15" hidden="false" customHeight="false" outlineLevel="0" collapsed="false">
      <c r="A1202" s="3" t="n">
        <v>4</v>
      </c>
      <c r="B1202" s="3" t="s">
        <v>555</v>
      </c>
      <c r="C1202" s="3" t="s">
        <v>82</v>
      </c>
      <c r="D1202" s="15" t="n">
        <v>1013.51</v>
      </c>
    </row>
    <row r="1203" customFormat="false" ht="15" hidden="false" customHeight="false" outlineLevel="0" collapsed="false">
      <c r="A1203" s="3" t="n">
        <v>4</v>
      </c>
      <c r="B1203" s="3" t="s">
        <v>556</v>
      </c>
      <c r="C1203" s="3" t="s">
        <v>103</v>
      </c>
      <c r="D1203" s="15" t="n">
        <v>-539.23</v>
      </c>
    </row>
    <row r="1204" customFormat="false" ht="15" hidden="false" customHeight="false" outlineLevel="0" collapsed="false">
      <c r="A1204" s="3" t="n">
        <v>4</v>
      </c>
      <c r="B1204" s="3" t="s">
        <v>556</v>
      </c>
      <c r="C1204" s="3" t="s">
        <v>100</v>
      </c>
      <c r="D1204" s="15" t="n">
        <v>2486.03</v>
      </c>
    </row>
    <row r="1205" customFormat="false" ht="15" hidden="false" customHeight="false" outlineLevel="0" collapsed="false">
      <c r="A1205" s="3" t="n">
        <v>4</v>
      </c>
      <c r="B1205" s="3" t="s">
        <v>556</v>
      </c>
      <c r="C1205" s="3" t="s">
        <v>99</v>
      </c>
      <c r="D1205" s="15" t="n">
        <v>86.65</v>
      </c>
    </row>
    <row r="1206" customFormat="false" ht="15" hidden="false" customHeight="false" outlineLevel="0" collapsed="false">
      <c r="A1206" s="3" t="n">
        <v>4</v>
      </c>
      <c r="B1206" s="3" t="s">
        <v>556</v>
      </c>
      <c r="C1206" s="3" t="s">
        <v>98</v>
      </c>
      <c r="D1206" s="15" t="n">
        <v>4052.5</v>
      </c>
    </row>
    <row r="1207" customFormat="false" ht="15" hidden="false" customHeight="false" outlineLevel="0" collapsed="false">
      <c r="A1207" s="3" t="n">
        <v>4</v>
      </c>
      <c r="B1207" s="3" t="s">
        <v>556</v>
      </c>
      <c r="C1207" s="3" t="s">
        <v>82</v>
      </c>
      <c r="D1207" s="15" t="n">
        <v>2187.21</v>
      </c>
    </row>
    <row r="1208" customFormat="false" ht="15" hidden="false" customHeight="false" outlineLevel="0" collapsed="false">
      <c r="A1208" s="3" t="n">
        <v>4</v>
      </c>
      <c r="B1208" s="3" t="s">
        <v>557</v>
      </c>
      <c r="C1208" s="3" t="s">
        <v>103</v>
      </c>
      <c r="D1208" s="15" t="n">
        <v>-537.92</v>
      </c>
    </row>
    <row r="1209" customFormat="false" ht="15" hidden="false" customHeight="false" outlineLevel="0" collapsed="false">
      <c r="A1209" s="3" t="n">
        <v>4</v>
      </c>
      <c r="B1209" s="3" t="s">
        <v>557</v>
      </c>
      <c r="C1209" s="3" t="s">
        <v>100</v>
      </c>
      <c r="D1209" s="15" t="n">
        <v>1365.51</v>
      </c>
    </row>
    <row r="1210" customFormat="false" ht="15" hidden="false" customHeight="false" outlineLevel="0" collapsed="false">
      <c r="A1210" s="3" t="n">
        <v>4</v>
      </c>
      <c r="B1210" s="3" t="s">
        <v>557</v>
      </c>
      <c r="C1210" s="3" t="s">
        <v>99</v>
      </c>
      <c r="D1210" s="15" t="n">
        <v>70.64</v>
      </c>
    </row>
    <row r="1211" customFormat="false" ht="15" hidden="false" customHeight="false" outlineLevel="0" collapsed="false">
      <c r="A1211" s="3" t="n">
        <v>4</v>
      </c>
      <c r="B1211" s="3" t="s">
        <v>557</v>
      </c>
      <c r="C1211" s="3" t="s">
        <v>98</v>
      </c>
      <c r="D1211" s="15" t="n">
        <v>1621</v>
      </c>
    </row>
    <row r="1212" customFormat="false" ht="15" hidden="false" customHeight="false" outlineLevel="0" collapsed="false">
      <c r="A1212" s="3" t="n">
        <v>4</v>
      </c>
      <c r="B1212" s="3" t="s">
        <v>557</v>
      </c>
      <c r="C1212" s="3" t="s">
        <v>82</v>
      </c>
      <c r="D1212" s="15" t="n">
        <v>917.21</v>
      </c>
    </row>
    <row r="1213" customFormat="false" ht="15" hidden="false" customHeight="false" outlineLevel="0" collapsed="false">
      <c r="A1213" s="3" t="n">
        <v>4</v>
      </c>
      <c r="B1213" s="3" t="s">
        <v>558</v>
      </c>
      <c r="C1213" s="3" t="s">
        <v>103</v>
      </c>
      <c r="D1213" s="15" t="n">
        <v>-0.8</v>
      </c>
    </row>
    <row r="1214" customFormat="false" ht="15" hidden="false" customHeight="false" outlineLevel="0" collapsed="false">
      <c r="A1214" s="3" t="n">
        <v>4</v>
      </c>
      <c r="B1214" s="3" t="s">
        <v>558</v>
      </c>
      <c r="C1214" s="3" t="s">
        <v>100</v>
      </c>
      <c r="D1214" s="15" t="n">
        <v>184.28</v>
      </c>
    </row>
    <row r="1215" customFormat="false" ht="15" hidden="false" customHeight="false" outlineLevel="0" collapsed="false">
      <c r="A1215" s="3" t="n">
        <v>4</v>
      </c>
      <c r="B1215" s="3" t="s">
        <v>558</v>
      </c>
      <c r="C1215" s="3" t="s">
        <v>99</v>
      </c>
      <c r="D1215" s="15" t="n">
        <v>25.28</v>
      </c>
    </row>
    <row r="1216" customFormat="false" ht="15" hidden="false" customHeight="false" outlineLevel="0" collapsed="false">
      <c r="A1216" s="3" t="n">
        <v>4</v>
      </c>
      <c r="B1216" s="3" t="s">
        <v>558</v>
      </c>
      <c r="C1216" s="3" t="s">
        <v>82</v>
      </c>
      <c r="D1216" s="15" t="n">
        <v>72.36</v>
      </c>
    </row>
    <row r="1217" customFormat="false" ht="15" hidden="false" customHeight="false" outlineLevel="0" collapsed="false">
      <c r="A1217" s="3" t="n">
        <v>4</v>
      </c>
      <c r="B1217" s="3" t="s">
        <v>559</v>
      </c>
      <c r="C1217" s="3" t="s">
        <v>103</v>
      </c>
      <c r="D1217" s="15" t="n">
        <v>-416.66</v>
      </c>
    </row>
    <row r="1218" customFormat="false" ht="15" hidden="false" customHeight="false" outlineLevel="0" collapsed="false">
      <c r="A1218" s="3" t="n">
        <v>4</v>
      </c>
      <c r="B1218" s="3" t="s">
        <v>559</v>
      </c>
      <c r="C1218" s="3" t="s">
        <v>100</v>
      </c>
      <c r="D1218" s="15" t="n">
        <v>1708.38</v>
      </c>
    </row>
    <row r="1219" customFormat="false" ht="15" hidden="false" customHeight="false" outlineLevel="0" collapsed="false">
      <c r="A1219" s="3" t="n">
        <v>4</v>
      </c>
      <c r="B1219" s="3" t="s">
        <v>559</v>
      </c>
      <c r="C1219" s="3" t="s">
        <v>99</v>
      </c>
      <c r="D1219" s="15" t="n">
        <v>420.75</v>
      </c>
    </row>
    <row r="1220" customFormat="false" ht="15" hidden="false" customHeight="false" outlineLevel="0" collapsed="false">
      <c r="A1220" s="3" t="n">
        <v>4</v>
      </c>
      <c r="B1220" s="3" t="s">
        <v>559</v>
      </c>
      <c r="C1220" s="3" t="s">
        <v>98</v>
      </c>
      <c r="D1220" s="15" t="n">
        <v>2503.6</v>
      </c>
    </row>
    <row r="1221" customFormat="false" ht="15" hidden="false" customHeight="false" outlineLevel="0" collapsed="false">
      <c r="A1221" s="3" t="n">
        <v>4</v>
      </c>
      <c r="B1221" s="3" t="s">
        <v>559</v>
      </c>
      <c r="C1221" s="3" t="s">
        <v>82</v>
      </c>
      <c r="D1221" s="15" t="n">
        <v>1512.22</v>
      </c>
    </row>
    <row r="1222" customFormat="false" ht="15" hidden="false" customHeight="false" outlineLevel="0" collapsed="false">
      <c r="A1222" s="3" t="n">
        <v>4</v>
      </c>
      <c r="B1222" s="3" t="s">
        <v>560</v>
      </c>
      <c r="C1222" s="3" t="s">
        <v>103</v>
      </c>
      <c r="D1222" s="15" t="n">
        <v>-168.02</v>
      </c>
    </row>
    <row r="1223" customFormat="false" ht="15" hidden="false" customHeight="false" outlineLevel="0" collapsed="false">
      <c r="A1223" s="3" t="n">
        <v>4</v>
      </c>
      <c r="B1223" s="3" t="s">
        <v>560</v>
      </c>
      <c r="C1223" s="3" t="s">
        <v>100</v>
      </c>
      <c r="D1223" s="15" t="n">
        <v>927.33</v>
      </c>
    </row>
    <row r="1224" customFormat="false" ht="15" hidden="false" customHeight="false" outlineLevel="0" collapsed="false">
      <c r="A1224" s="3" t="n">
        <v>4</v>
      </c>
      <c r="B1224" s="3" t="s">
        <v>560</v>
      </c>
      <c r="C1224" s="3" t="s">
        <v>99</v>
      </c>
      <c r="D1224" s="15" t="n">
        <v>32.79</v>
      </c>
    </row>
    <row r="1225" customFormat="false" ht="15" hidden="false" customHeight="false" outlineLevel="0" collapsed="false">
      <c r="A1225" s="3" t="n">
        <v>4</v>
      </c>
      <c r="B1225" s="3" t="s">
        <v>560</v>
      </c>
      <c r="C1225" s="3" t="s">
        <v>98</v>
      </c>
      <c r="D1225" s="15" t="n">
        <v>1621</v>
      </c>
    </row>
    <row r="1226" customFormat="false" ht="15" hidden="false" customHeight="false" outlineLevel="0" collapsed="false">
      <c r="A1226" s="3" t="n">
        <v>4</v>
      </c>
      <c r="B1226" s="3" t="s">
        <v>560</v>
      </c>
      <c r="C1226" s="3" t="s">
        <v>82</v>
      </c>
      <c r="D1226" s="15" t="n">
        <v>860.75</v>
      </c>
    </row>
    <row r="1227" customFormat="false" ht="15" hidden="false" customHeight="false" outlineLevel="0" collapsed="false">
      <c r="A1227" s="3" t="n">
        <v>4</v>
      </c>
      <c r="B1227" s="3" t="s">
        <v>561</v>
      </c>
      <c r="C1227" s="3" t="s">
        <v>103</v>
      </c>
      <c r="D1227" s="15" t="n">
        <v>-1118.63</v>
      </c>
    </row>
    <row r="1228" customFormat="false" ht="15" hidden="false" customHeight="false" outlineLevel="0" collapsed="false">
      <c r="A1228" s="3" t="n">
        <v>4</v>
      </c>
      <c r="B1228" s="3" t="s">
        <v>561</v>
      </c>
      <c r="C1228" s="3" t="s">
        <v>100</v>
      </c>
      <c r="D1228" s="15" t="n">
        <v>1376.05</v>
      </c>
    </row>
    <row r="1229" customFormat="false" ht="15" hidden="false" customHeight="false" outlineLevel="0" collapsed="false">
      <c r="A1229" s="3" t="n">
        <v>4</v>
      </c>
      <c r="B1229" s="3" t="s">
        <v>561</v>
      </c>
      <c r="C1229" s="3" t="s">
        <v>99</v>
      </c>
      <c r="D1229" s="15" t="n">
        <v>310.36</v>
      </c>
    </row>
    <row r="1230" customFormat="false" ht="15" hidden="false" customHeight="false" outlineLevel="0" collapsed="false">
      <c r="A1230" s="3" t="n">
        <v>4</v>
      </c>
      <c r="B1230" s="3" t="s">
        <v>561</v>
      </c>
      <c r="C1230" s="3" t="s">
        <v>98</v>
      </c>
      <c r="D1230" s="15" t="n">
        <v>1621</v>
      </c>
    </row>
    <row r="1231" customFormat="false" ht="15" hidden="false" customHeight="false" outlineLevel="0" collapsed="false">
      <c r="A1231" s="3" t="n">
        <v>4</v>
      </c>
      <c r="B1231" s="3" t="s">
        <v>561</v>
      </c>
      <c r="C1231" s="3" t="s">
        <v>82</v>
      </c>
      <c r="D1231" s="15" t="n">
        <v>866.25</v>
      </c>
    </row>
    <row r="1232" customFormat="false" ht="15" hidden="false" customHeight="false" outlineLevel="0" collapsed="false">
      <c r="A1232" s="3" t="n">
        <v>4</v>
      </c>
      <c r="B1232" s="3" t="s">
        <v>562</v>
      </c>
      <c r="C1232" s="3" t="s">
        <v>103</v>
      </c>
      <c r="D1232" s="15" t="n">
        <v>-1497.87</v>
      </c>
    </row>
    <row r="1233" customFormat="false" ht="15" hidden="false" customHeight="false" outlineLevel="0" collapsed="false">
      <c r="A1233" s="3" t="n">
        <v>4</v>
      </c>
      <c r="B1233" s="3" t="s">
        <v>562</v>
      </c>
      <c r="C1233" s="3" t="s">
        <v>100</v>
      </c>
      <c r="D1233" s="15" t="n">
        <v>888.17</v>
      </c>
    </row>
    <row r="1234" customFormat="false" ht="15" hidden="false" customHeight="false" outlineLevel="0" collapsed="false">
      <c r="A1234" s="3" t="n">
        <v>4</v>
      </c>
      <c r="B1234" s="3" t="s">
        <v>562</v>
      </c>
      <c r="C1234" s="3" t="s">
        <v>99</v>
      </c>
      <c r="D1234" s="15" t="n">
        <v>21.68</v>
      </c>
    </row>
    <row r="1235" customFormat="false" ht="15" hidden="false" customHeight="false" outlineLevel="0" collapsed="false">
      <c r="A1235" s="3" t="n">
        <v>4</v>
      </c>
      <c r="B1235" s="3" t="s">
        <v>562</v>
      </c>
      <c r="C1235" s="3" t="s">
        <v>98</v>
      </c>
      <c r="D1235" s="15" t="n">
        <v>1707</v>
      </c>
    </row>
    <row r="1236" customFormat="false" ht="15" hidden="false" customHeight="false" outlineLevel="0" collapsed="false">
      <c r="A1236" s="3" t="n">
        <v>4</v>
      </c>
      <c r="B1236" s="3" t="s">
        <v>562</v>
      </c>
      <c r="C1236" s="3" t="s">
        <v>82</v>
      </c>
      <c r="D1236" s="15" t="n">
        <v>510.45</v>
      </c>
    </row>
    <row r="1237" customFormat="false" ht="15" hidden="false" customHeight="false" outlineLevel="0" collapsed="false">
      <c r="A1237" s="3" t="n">
        <v>4</v>
      </c>
      <c r="B1237" s="3" t="s">
        <v>563</v>
      </c>
      <c r="C1237" s="3" t="s">
        <v>103</v>
      </c>
      <c r="D1237" s="15" t="n">
        <v>-7272.09</v>
      </c>
    </row>
    <row r="1238" customFormat="false" ht="15" hidden="false" customHeight="false" outlineLevel="0" collapsed="false">
      <c r="A1238" s="3" t="n">
        <v>4</v>
      </c>
      <c r="B1238" s="3" t="s">
        <v>563</v>
      </c>
      <c r="C1238" s="3" t="s">
        <v>100</v>
      </c>
      <c r="D1238" s="15" t="n">
        <v>8031.51</v>
      </c>
    </row>
    <row r="1239" customFormat="false" ht="15" hidden="false" customHeight="false" outlineLevel="0" collapsed="false">
      <c r="A1239" s="3" t="n">
        <v>4</v>
      </c>
      <c r="B1239" s="3" t="s">
        <v>563</v>
      </c>
      <c r="C1239" s="3" t="s">
        <v>99</v>
      </c>
      <c r="D1239" s="15" t="n">
        <v>1659.09</v>
      </c>
    </row>
    <row r="1240" customFormat="false" ht="15" hidden="false" customHeight="false" outlineLevel="0" collapsed="false">
      <c r="A1240" s="3" t="n">
        <v>4</v>
      </c>
      <c r="B1240" s="3" t="s">
        <v>563</v>
      </c>
      <c r="C1240" s="3" t="s">
        <v>98</v>
      </c>
      <c r="D1240" s="15" t="n">
        <v>9401.79</v>
      </c>
    </row>
    <row r="1241" customFormat="false" ht="15" hidden="false" customHeight="false" outlineLevel="0" collapsed="false">
      <c r="A1241" s="3" t="n">
        <v>4</v>
      </c>
      <c r="B1241" s="3" t="s">
        <v>563</v>
      </c>
      <c r="C1241" s="3" t="s">
        <v>82</v>
      </c>
      <c r="D1241" s="15" t="n">
        <v>4576.37</v>
      </c>
    </row>
    <row r="1242" customFormat="false" ht="15" hidden="false" customHeight="false" outlineLevel="0" collapsed="false">
      <c r="A1242" s="3" t="n">
        <v>4</v>
      </c>
      <c r="B1242" s="3" t="s">
        <v>564</v>
      </c>
      <c r="C1242" s="3" t="s">
        <v>103</v>
      </c>
      <c r="D1242" s="15" t="n">
        <v>-827.65</v>
      </c>
    </row>
    <row r="1243" customFormat="false" ht="15" hidden="false" customHeight="false" outlineLevel="0" collapsed="false">
      <c r="A1243" s="3" t="n">
        <v>4</v>
      </c>
      <c r="B1243" s="3" t="s">
        <v>564</v>
      </c>
      <c r="C1243" s="3" t="s">
        <v>100</v>
      </c>
      <c r="D1243" s="15" t="n">
        <v>27787.74</v>
      </c>
    </row>
    <row r="1244" customFormat="false" ht="15" hidden="false" customHeight="false" outlineLevel="0" collapsed="false">
      <c r="A1244" s="3" t="n">
        <v>4</v>
      </c>
      <c r="B1244" s="3" t="s">
        <v>564</v>
      </c>
      <c r="C1244" s="3" t="s">
        <v>98</v>
      </c>
      <c r="D1244" s="15" t="n">
        <v>49374</v>
      </c>
    </row>
    <row r="1245" customFormat="false" ht="15" hidden="false" customHeight="false" outlineLevel="0" collapsed="false">
      <c r="A1245" s="3" t="n">
        <v>4</v>
      </c>
      <c r="B1245" s="3" t="s">
        <v>564</v>
      </c>
      <c r="C1245" s="3" t="s">
        <v>82</v>
      </c>
      <c r="D1245" s="15" t="n">
        <v>26580.82</v>
      </c>
    </row>
    <row r="1246" customFormat="false" ht="15" hidden="false" customHeight="false" outlineLevel="0" collapsed="false">
      <c r="A1246" s="3" t="n">
        <v>4</v>
      </c>
      <c r="B1246" s="3" t="s">
        <v>565</v>
      </c>
      <c r="C1246" s="3" t="s">
        <v>103</v>
      </c>
      <c r="D1246" s="15" t="n">
        <v>-51.73</v>
      </c>
    </row>
    <row r="1247" customFormat="false" ht="15" hidden="false" customHeight="false" outlineLevel="0" collapsed="false">
      <c r="A1247" s="3" t="n">
        <v>4</v>
      </c>
      <c r="B1247" s="3" t="s">
        <v>565</v>
      </c>
      <c r="C1247" s="3" t="s">
        <v>100</v>
      </c>
      <c r="D1247" s="15" t="n">
        <v>2367.96</v>
      </c>
    </row>
    <row r="1248" customFormat="false" ht="15" hidden="false" customHeight="false" outlineLevel="0" collapsed="false">
      <c r="A1248" s="3" t="n">
        <v>4</v>
      </c>
      <c r="B1248" s="3" t="s">
        <v>565</v>
      </c>
      <c r="C1248" s="3" t="s">
        <v>98</v>
      </c>
      <c r="D1248" s="15" t="n">
        <v>4207.46</v>
      </c>
    </row>
    <row r="1249" customFormat="false" ht="15" hidden="false" customHeight="false" outlineLevel="0" collapsed="false">
      <c r="A1249" s="3" t="n">
        <v>4</v>
      </c>
      <c r="B1249" s="3" t="s">
        <v>565</v>
      </c>
      <c r="C1249" s="3" t="s">
        <v>82</v>
      </c>
      <c r="D1249" s="15" t="n">
        <v>2268.79</v>
      </c>
    </row>
    <row r="1250" customFormat="false" ht="15" hidden="false" customHeight="false" outlineLevel="0" collapsed="false">
      <c r="A1250" s="3" t="n">
        <v>4</v>
      </c>
      <c r="B1250" s="3" t="s">
        <v>566</v>
      </c>
      <c r="C1250" s="3" t="s">
        <v>103</v>
      </c>
      <c r="D1250" s="15" t="n">
        <v>-3823.05</v>
      </c>
    </row>
    <row r="1251" customFormat="false" ht="15" hidden="false" customHeight="false" outlineLevel="0" collapsed="false">
      <c r="A1251" s="3" t="n">
        <v>4</v>
      </c>
      <c r="B1251" s="3" t="s">
        <v>566</v>
      </c>
      <c r="C1251" s="3" t="s">
        <v>100</v>
      </c>
      <c r="D1251" s="15" t="n">
        <v>12676.48</v>
      </c>
    </row>
    <row r="1252" customFormat="false" ht="15" hidden="false" customHeight="false" outlineLevel="0" collapsed="false">
      <c r="A1252" s="3" t="n">
        <v>4</v>
      </c>
      <c r="B1252" s="3" t="s">
        <v>566</v>
      </c>
      <c r="C1252" s="3" t="s">
        <v>99</v>
      </c>
      <c r="D1252" s="15" t="n">
        <v>1128.4</v>
      </c>
    </row>
    <row r="1253" customFormat="false" ht="15" hidden="false" customHeight="false" outlineLevel="0" collapsed="false">
      <c r="A1253" s="3" t="n">
        <v>4</v>
      </c>
      <c r="B1253" s="3" t="s">
        <v>566</v>
      </c>
      <c r="C1253" s="3" t="s">
        <v>98</v>
      </c>
      <c r="D1253" s="15" t="n">
        <v>22179.06</v>
      </c>
    </row>
    <row r="1254" customFormat="false" ht="15" hidden="false" customHeight="false" outlineLevel="0" collapsed="false">
      <c r="A1254" s="3" t="n">
        <v>4</v>
      </c>
      <c r="B1254" s="3" t="s">
        <v>566</v>
      </c>
      <c r="C1254" s="3" t="s">
        <v>82</v>
      </c>
      <c r="D1254" s="15" t="n">
        <v>11573.66</v>
      </c>
    </row>
    <row r="1255" customFormat="false" ht="15" hidden="false" customHeight="false" outlineLevel="0" collapsed="false">
      <c r="A1255" s="3" t="n">
        <v>4</v>
      </c>
      <c r="B1255" s="3" t="s">
        <v>567</v>
      </c>
      <c r="C1255" s="3" t="s">
        <v>101</v>
      </c>
      <c r="D1255" s="15" t="n">
        <v>90</v>
      </c>
    </row>
    <row r="1256" customFormat="false" ht="15" hidden="false" customHeight="false" outlineLevel="0" collapsed="false">
      <c r="A1256" s="3" t="n">
        <v>4</v>
      </c>
      <c r="B1256" s="3" t="s">
        <v>567</v>
      </c>
      <c r="C1256" s="3" t="s">
        <v>103</v>
      </c>
      <c r="D1256" s="15" t="n">
        <v>-4176.84</v>
      </c>
    </row>
    <row r="1257" customFormat="false" ht="15" hidden="false" customHeight="false" outlineLevel="0" collapsed="false">
      <c r="A1257" s="3" t="n">
        <v>4</v>
      </c>
      <c r="B1257" s="3" t="s">
        <v>567</v>
      </c>
      <c r="C1257" s="3" t="s">
        <v>102</v>
      </c>
      <c r="D1257" s="15" t="n">
        <v>2776.95</v>
      </c>
    </row>
    <row r="1258" customFormat="false" ht="15" hidden="false" customHeight="false" outlineLevel="0" collapsed="false">
      <c r="A1258" s="3" t="n">
        <v>4</v>
      </c>
      <c r="B1258" s="3" t="s">
        <v>567</v>
      </c>
      <c r="C1258" s="3" t="s">
        <v>100</v>
      </c>
      <c r="D1258" s="15" t="n">
        <v>43124.04</v>
      </c>
    </row>
    <row r="1259" customFormat="false" ht="15" hidden="false" customHeight="false" outlineLevel="0" collapsed="false">
      <c r="A1259" s="3" t="n">
        <v>4</v>
      </c>
      <c r="B1259" s="3" t="s">
        <v>567</v>
      </c>
      <c r="C1259" s="3" t="s">
        <v>98</v>
      </c>
      <c r="D1259" s="15" t="n">
        <v>76624</v>
      </c>
    </row>
    <row r="1260" customFormat="false" ht="15" hidden="false" customHeight="false" outlineLevel="0" collapsed="false">
      <c r="A1260" s="3" t="n">
        <v>4</v>
      </c>
      <c r="B1260" s="3" t="s">
        <v>567</v>
      </c>
      <c r="C1260" s="3" t="s">
        <v>82</v>
      </c>
      <c r="D1260" s="15" t="n">
        <v>40841.196633906</v>
      </c>
    </row>
    <row r="1261" customFormat="false" ht="15" hidden="false" customHeight="false" outlineLevel="0" collapsed="false">
      <c r="A1261" s="3" t="n">
        <v>4</v>
      </c>
      <c r="B1261" s="3" t="s">
        <v>568</v>
      </c>
      <c r="C1261" s="3" t="s">
        <v>103</v>
      </c>
      <c r="D1261" s="15" t="n">
        <v>-5452.75</v>
      </c>
    </row>
    <row r="1262" customFormat="false" ht="15" hidden="false" customHeight="false" outlineLevel="0" collapsed="false">
      <c r="A1262" s="3" t="n">
        <v>4</v>
      </c>
      <c r="B1262" s="3" t="s">
        <v>568</v>
      </c>
      <c r="C1262" s="3" t="s">
        <v>100</v>
      </c>
      <c r="D1262" s="15" t="n">
        <v>5582.46</v>
      </c>
    </row>
    <row r="1263" customFormat="false" ht="15" hidden="false" customHeight="false" outlineLevel="0" collapsed="false">
      <c r="A1263" s="3" t="n">
        <v>4</v>
      </c>
      <c r="B1263" s="3" t="s">
        <v>568</v>
      </c>
      <c r="C1263" s="3" t="s">
        <v>99</v>
      </c>
      <c r="D1263" s="15" t="n">
        <v>994.91</v>
      </c>
    </row>
    <row r="1264" customFormat="false" ht="15" hidden="false" customHeight="false" outlineLevel="0" collapsed="false">
      <c r="A1264" s="3" t="n">
        <v>4</v>
      </c>
      <c r="B1264" s="3" t="s">
        <v>568</v>
      </c>
      <c r="C1264" s="3" t="s">
        <v>98</v>
      </c>
      <c r="D1264" s="15" t="n">
        <v>8079.8</v>
      </c>
    </row>
    <row r="1265" customFormat="false" ht="15" hidden="false" customHeight="false" outlineLevel="0" collapsed="false">
      <c r="A1265" s="3" t="n">
        <v>4</v>
      </c>
      <c r="B1265" s="3" t="s">
        <v>568</v>
      </c>
      <c r="C1265" s="3" t="s">
        <v>82</v>
      </c>
      <c r="D1265" s="15" t="n">
        <v>3494.05</v>
      </c>
    </row>
    <row r="1266" customFormat="false" ht="15" hidden="false" customHeight="false" outlineLevel="0" collapsed="false">
      <c r="A1266" s="3" t="n">
        <v>4</v>
      </c>
      <c r="B1266" s="3" t="s">
        <v>569</v>
      </c>
      <c r="C1266" s="3" t="s">
        <v>103</v>
      </c>
      <c r="D1266" s="15" t="n">
        <v>-614.04</v>
      </c>
    </row>
    <row r="1267" customFormat="false" ht="15" hidden="false" customHeight="false" outlineLevel="0" collapsed="false">
      <c r="A1267" s="3" t="n">
        <v>4</v>
      </c>
      <c r="B1267" s="3" t="s">
        <v>569</v>
      </c>
      <c r="C1267" s="3" t="s">
        <v>100</v>
      </c>
      <c r="D1267" s="15" t="n">
        <v>5876.88</v>
      </c>
    </row>
    <row r="1268" customFormat="false" ht="15" hidden="false" customHeight="false" outlineLevel="0" collapsed="false">
      <c r="A1268" s="3" t="n">
        <v>4</v>
      </c>
      <c r="B1268" s="3" t="s">
        <v>569</v>
      </c>
      <c r="C1268" s="3" t="s">
        <v>99</v>
      </c>
      <c r="D1268" s="15" t="n">
        <v>2047.42</v>
      </c>
    </row>
    <row r="1269" customFormat="false" ht="15" hidden="false" customHeight="false" outlineLevel="0" collapsed="false">
      <c r="A1269" s="3" t="n">
        <v>4</v>
      </c>
      <c r="B1269" s="3" t="s">
        <v>569</v>
      </c>
      <c r="C1269" s="3" t="s">
        <v>98</v>
      </c>
      <c r="D1269" s="15" t="n">
        <v>8449</v>
      </c>
    </row>
    <row r="1270" customFormat="false" ht="15" hidden="false" customHeight="false" outlineLevel="0" collapsed="false">
      <c r="A1270" s="3" t="n">
        <v>4</v>
      </c>
      <c r="B1270" s="3" t="s">
        <v>569</v>
      </c>
      <c r="C1270" s="3" t="s">
        <v>82</v>
      </c>
      <c r="D1270" s="15" t="n">
        <v>5546.26</v>
      </c>
    </row>
    <row r="1271" customFormat="false" ht="15" hidden="false" customHeight="false" outlineLevel="0" collapsed="false">
      <c r="A1271" s="3" t="n">
        <v>4</v>
      </c>
      <c r="B1271" s="3" t="s">
        <v>570</v>
      </c>
      <c r="C1271" s="3" t="s">
        <v>103</v>
      </c>
      <c r="D1271" s="15" t="n">
        <v>-64239.18</v>
      </c>
    </row>
    <row r="1272" customFormat="false" ht="15" hidden="false" customHeight="false" outlineLevel="0" collapsed="false">
      <c r="A1272" s="3" t="n">
        <v>4</v>
      </c>
      <c r="B1272" s="3" t="s">
        <v>570</v>
      </c>
      <c r="C1272" s="3" t="s">
        <v>102</v>
      </c>
      <c r="D1272" s="15" t="n">
        <v>1475.87</v>
      </c>
    </row>
    <row r="1273" customFormat="false" ht="15" hidden="false" customHeight="false" outlineLevel="0" collapsed="false">
      <c r="A1273" s="3" t="n">
        <v>4</v>
      </c>
      <c r="B1273" s="3" t="s">
        <v>570</v>
      </c>
      <c r="C1273" s="3" t="s">
        <v>100</v>
      </c>
      <c r="D1273" s="15" t="n">
        <v>219852.7</v>
      </c>
    </row>
    <row r="1274" customFormat="false" ht="15" hidden="false" customHeight="false" outlineLevel="0" collapsed="false">
      <c r="A1274" s="3" t="n">
        <v>4</v>
      </c>
      <c r="B1274" s="3" t="s">
        <v>570</v>
      </c>
      <c r="C1274" s="3" t="s">
        <v>99</v>
      </c>
      <c r="D1274" s="15" t="n">
        <v>81322.36</v>
      </c>
    </row>
    <row r="1275" customFormat="false" ht="15" hidden="false" customHeight="false" outlineLevel="0" collapsed="false">
      <c r="A1275" s="3" t="n">
        <v>4</v>
      </c>
      <c r="B1275" s="3" t="s">
        <v>570</v>
      </c>
      <c r="C1275" s="3" t="s">
        <v>98</v>
      </c>
      <c r="D1275" s="15" t="n">
        <v>265813.36</v>
      </c>
    </row>
    <row r="1276" customFormat="false" ht="15" hidden="false" customHeight="false" outlineLevel="0" collapsed="false">
      <c r="A1276" s="3" t="n">
        <v>4</v>
      </c>
      <c r="B1276" s="3" t="s">
        <v>570</v>
      </c>
      <c r="C1276" s="3" t="s">
        <v>82</v>
      </c>
      <c r="D1276" s="15" t="n">
        <v>178315.22</v>
      </c>
    </row>
    <row r="1277" customFormat="false" ht="15" hidden="false" customHeight="false" outlineLevel="0" collapsed="false">
      <c r="A1277" s="3" t="n">
        <v>4</v>
      </c>
      <c r="B1277" s="3" t="s">
        <v>571</v>
      </c>
      <c r="C1277" s="3" t="s">
        <v>103</v>
      </c>
      <c r="D1277" s="15" t="n">
        <v>-398861.22</v>
      </c>
    </row>
    <row r="1278" customFormat="false" ht="15" hidden="false" customHeight="false" outlineLevel="0" collapsed="false">
      <c r="A1278" s="3" t="n">
        <v>4</v>
      </c>
      <c r="B1278" s="3" t="s">
        <v>571</v>
      </c>
      <c r="C1278" s="3" t="s">
        <v>102</v>
      </c>
      <c r="D1278" s="15" t="n">
        <v>28217.59</v>
      </c>
    </row>
    <row r="1279" customFormat="false" ht="15" hidden="false" customHeight="false" outlineLevel="0" collapsed="false">
      <c r="A1279" s="3" t="n">
        <v>4</v>
      </c>
      <c r="B1279" s="3" t="s">
        <v>571</v>
      </c>
      <c r="C1279" s="3" t="s">
        <v>100</v>
      </c>
      <c r="D1279" s="15" t="n">
        <v>664091.49</v>
      </c>
    </row>
    <row r="1280" customFormat="false" ht="15" hidden="false" customHeight="false" outlineLevel="0" collapsed="false">
      <c r="A1280" s="3" t="n">
        <v>4</v>
      </c>
      <c r="B1280" s="3" t="s">
        <v>571</v>
      </c>
      <c r="C1280" s="3" t="s">
        <v>99</v>
      </c>
      <c r="D1280" s="15" t="n">
        <v>150252.42</v>
      </c>
    </row>
    <row r="1281" customFormat="false" ht="15" hidden="false" customHeight="false" outlineLevel="0" collapsed="false">
      <c r="A1281" s="3" t="n">
        <v>4</v>
      </c>
      <c r="B1281" s="3" t="s">
        <v>571</v>
      </c>
      <c r="C1281" s="3" t="s">
        <v>98</v>
      </c>
      <c r="D1281" s="15" t="n">
        <v>934993.63</v>
      </c>
    </row>
    <row r="1282" customFormat="false" ht="15" hidden="false" customHeight="false" outlineLevel="0" collapsed="false">
      <c r="A1282" s="3" t="n">
        <v>4</v>
      </c>
      <c r="B1282" s="3" t="s">
        <v>571</v>
      </c>
      <c r="C1282" s="3" t="s">
        <v>82</v>
      </c>
      <c r="D1282" s="15" t="n">
        <v>486747.83</v>
      </c>
    </row>
    <row r="1283" customFormat="false" ht="15" hidden="false" customHeight="false" outlineLevel="0" collapsed="false">
      <c r="A1283" s="3" t="n">
        <v>4</v>
      </c>
      <c r="B1283" s="3" t="s">
        <v>572</v>
      </c>
      <c r="C1283" s="3" t="s">
        <v>103</v>
      </c>
      <c r="D1283" s="15" t="n">
        <v>-664.61</v>
      </c>
    </row>
    <row r="1284" customFormat="false" ht="15" hidden="false" customHeight="false" outlineLevel="0" collapsed="false">
      <c r="A1284" s="3" t="n">
        <v>4</v>
      </c>
      <c r="B1284" s="3" t="s">
        <v>572</v>
      </c>
      <c r="C1284" s="3" t="s">
        <v>100</v>
      </c>
      <c r="D1284" s="15" t="n">
        <v>4319.84</v>
      </c>
    </row>
    <row r="1285" customFormat="false" ht="15" hidden="false" customHeight="false" outlineLevel="0" collapsed="false">
      <c r="A1285" s="3" t="n">
        <v>4</v>
      </c>
      <c r="B1285" s="3" t="s">
        <v>572</v>
      </c>
      <c r="C1285" s="3" t="s">
        <v>99</v>
      </c>
      <c r="D1285" s="15" t="n">
        <v>1423.35</v>
      </c>
    </row>
    <row r="1286" customFormat="false" ht="15" hidden="false" customHeight="false" outlineLevel="0" collapsed="false">
      <c r="A1286" s="3" t="n">
        <v>4</v>
      </c>
      <c r="B1286" s="3" t="s">
        <v>572</v>
      </c>
      <c r="C1286" s="3" t="s">
        <v>98</v>
      </c>
      <c r="D1286" s="15" t="n">
        <v>5835.6</v>
      </c>
    </row>
    <row r="1287" customFormat="false" ht="15" hidden="false" customHeight="false" outlineLevel="0" collapsed="false">
      <c r="A1287" s="3" t="n">
        <v>4</v>
      </c>
      <c r="B1287" s="3" t="s">
        <v>572</v>
      </c>
      <c r="C1287" s="3" t="s">
        <v>82</v>
      </c>
      <c r="D1287" s="15" t="n">
        <v>3368.49</v>
      </c>
    </row>
    <row r="1288" customFormat="false" ht="15" hidden="false" customHeight="false" outlineLevel="0" collapsed="false">
      <c r="A1288" s="3" t="n">
        <v>4</v>
      </c>
      <c r="B1288" s="3" t="s">
        <v>573</v>
      </c>
      <c r="C1288" s="3" t="s">
        <v>103</v>
      </c>
      <c r="D1288" s="15" t="n">
        <v>-7565.55</v>
      </c>
    </row>
    <row r="1289" customFormat="false" ht="15" hidden="false" customHeight="false" outlineLevel="0" collapsed="false">
      <c r="A1289" s="3" t="n">
        <v>4</v>
      </c>
      <c r="B1289" s="3" t="s">
        <v>573</v>
      </c>
      <c r="C1289" s="3" t="s">
        <v>102</v>
      </c>
      <c r="D1289" s="15" t="n">
        <v>303.14</v>
      </c>
    </row>
    <row r="1290" customFormat="false" ht="15" hidden="false" customHeight="false" outlineLevel="0" collapsed="false">
      <c r="A1290" s="3" t="n">
        <v>4</v>
      </c>
      <c r="B1290" s="3" t="s">
        <v>573</v>
      </c>
      <c r="C1290" s="3" t="s">
        <v>100</v>
      </c>
      <c r="D1290" s="15" t="n">
        <v>34410.62</v>
      </c>
    </row>
    <row r="1291" customFormat="false" ht="15" hidden="false" customHeight="false" outlineLevel="0" collapsed="false">
      <c r="A1291" s="3" t="n">
        <v>4</v>
      </c>
      <c r="B1291" s="3" t="s">
        <v>573</v>
      </c>
      <c r="C1291" s="3" t="s">
        <v>98</v>
      </c>
      <c r="D1291" s="15" t="n">
        <v>61251.19</v>
      </c>
    </row>
    <row r="1292" customFormat="false" ht="15" hidden="false" customHeight="false" outlineLevel="0" collapsed="false">
      <c r="A1292" s="3" t="n">
        <v>4</v>
      </c>
      <c r="B1292" s="3" t="s">
        <v>573</v>
      </c>
      <c r="C1292" s="3" t="s">
        <v>82</v>
      </c>
      <c r="D1292" s="15" t="n">
        <v>26782.75</v>
      </c>
    </row>
    <row r="1293" customFormat="false" ht="15" hidden="false" customHeight="false" outlineLevel="0" collapsed="false">
      <c r="A1293" s="3" t="n">
        <v>4</v>
      </c>
      <c r="B1293" s="3" t="s">
        <v>574</v>
      </c>
      <c r="C1293" s="3" t="s">
        <v>103</v>
      </c>
      <c r="D1293" s="15" t="n">
        <v>-13511.71</v>
      </c>
    </row>
    <row r="1294" customFormat="false" ht="15" hidden="false" customHeight="false" outlineLevel="0" collapsed="false">
      <c r="A1294" s="3" t="n">
        <v>4</v>
      </c>
      <c r="B1294" s="3" t="s">
        <v>574</v>
      </c>
      <c r="C1294" s="3" t="s">
        <v>100</v>
      </c>
      <c r="D1294" s="15" t="n">
        <v>49884.98</v>
      </c>
    </row>
    <row r="1295" customFormat="false" ht="15" hidden="false" customHeight="false" outlineLevel="0" collapsed="false">
      <c r="A1295" s="3" t="n">
        <v>4</v>
      </c>
      <c r="B1295" s="3" t="s">
        <v>574</v>
      </c>
      <c r="C1295" s="3" t="s">
        <v>99</v>
      </c>
      <c r="D1295" s="15" t="n">
        <v>18491.29</v>
      </c>
    </row>
    <row r="1296" customFormat="false" ht="15" hidden="false" customHeight="false" outlineLevel="0" collapsed="false">
      <c r="A1296" s="3" t="n">
        <v>4</v>
      </c>
      <c r="B1296" s="3" t="s">
        <v>574</v>
      </c>
      <c r="C1296" s="3" t="s">
        <v>98</v>
      </c>
      <c r="D1296" s="15" t="n">
        <v>60686.4</v>
      </c>
    </row>
    <row r="1297" customFormat="false" ht="15" hidden="false" customHeight="false" outlineLevel="0" collapsed="false">
      <c r="A1297" s="3" t="n">
        <v>4</v>
      </c>
      <c r="B1297" s="3" t="s">
        <v>574</v>
      </c>
      <c r="C1297" s="3" t="s">
        <v>82</v>
      </c>
      <c r="D1297" s="15" t="n">
        <v>40627.08</v>
      </c>
    </row>
    <row r="1298" customFormat="false" ht="15" hidden="false" customHeight="false" outlineLevel="0" collapsed="false">
      <c r="A1298" s="3" t="n">
        <v>4</v>
      </c>
      <c r="B1298" s="3" t="s">
        <v>575</v>
      </c>
      <c r="C1298" s="3" t="s">
        <v>103</v>
      </c>
      <c r="D1298" s="15" t="n">
        <v>-23086.97</v>
      </c>
    </row>
    <row r="1299" customFormat="false" ht="15" hidden="false" customHeight="false" outlineLevel="0" collapsed="false">
      <c r="A1299" s="3" t="n">
        <v>4</v>
      </c>
      <c r="B1299" s="3" t="s">
        <v>575</v>
      </c>
      <c r="C1299" s="3" t="s">
        <v>102</v>
      </c>
      <c r="D1299" s="15" t="n">
        <v>1159.73</v>
      </c>
    </row>
    <row r="1300" customFormat="false" ht="15" hidden="false" customHeight="false" outlineLevel="0" collapsed="false">
      <c r="A1300" s="3" t="n">
        <v>4</v>
      </c>
      <c r="B1300" s="3" t="s">
        <v>575</v>
      </c>
      <c r="C1300" s="3" t="s">
        <v>100</v>
      </c>
      <c r="D1300" s="15" t="n">
        <v>102174.54</v>
      </c>
    </row>
    <row r="1301" customFormat="false" ht="15" hidden="false" customHeight="false" outlineLevel="0" collapsed="false">
      <c r="A1301" s="3" t="n">
        <v>4</v>
      </c>
      <c r="B1301" s="3" t="s">
        <v>575</v>
      </c>
      <c r="C1301" s="3" t="s">
        <v>99</v>
      </c>
      <c r="D1301" s="15" t="n">
        <v>16722.15</v>
      </c>
    </row>
    <row r="1302" customFormat="false" ht="15" hidden="false" customHeight="false" outlineLevel="0" collapsed="false">
      <c r="A1302" s="3" t="n">
        <v>4</v>
      </c>
      <c r="B1302" s="3" t="s">
        <v>575</v>
      </c>
      <c r="C1302" s="3" t="s">
        <v>98</v>
      </c>
      <c r="D1302" s="15" t="n">
        <v>168258.42</v>
      </c>
    </row>
    <row r="1303" customFormat="false" ht="15" hidden="false" customHeight="false" outlineLevel="0" collapsed="false">
      <c r="A1303" s="3" t="n">
        <v>4</v>
      </c>
      <c r="B1303" s="3" t="s">
        <v>575</v>
      </c>
      <c r="C1303" s="3" t="s">
        <v>82</v>
      </c>
      <c r="D1303" s="15" t="n">
        <v>93675.41</v>
      </c>
    </row>
    <row r="1304" customFormat="false" ht="15" hidden="false" customHeight="false" outlineLevel="0" collapsed="false">
      <c r="A1304" s="3" t="n">
        <v>4</v>
      </c>
      <c r="B1304" s="3" t="s">
        <v>576</v>
      </c>
      <c r="C1304" s="3" t="s">
        <v>103</v>
      </c>
      <c r="D1304" s="15" t="n">
        <v>-320.4</v>
      </c>
    </row>
    <row r="1305" customFormat="false" ht="15" hidden="false" customHeight="false" outlineLevel="0" collapsed="false">
      <c r="A1305" s="3" t="n">
        <v>4</v>
      </c>
      <c r="B1305" s="3" t="s">
        <v>576</v>
      </c>
      <c r="C1305" s="3" t="s">
        <v>100</v>
      </c>
      <c r="D1305" s="15" t="n">
        <v>12138.48</v>
      </c>
    </row>
    <row r="1306" customFormat="false" ht="15" hidden="false" customHeight="false" outlineLevel="0" collapsed="false">
      <c r="A1306" s="3" t="n">
        <v>4</v>
      </c>
      <c r="B1306" s="3" t="s">
        <v>576</v>
      </c>
      <c r="C1306" s="3" t="s">
        <v>98</v>
      </c>
      <c r="D1306" s="15" t="n">
        <v>21568</v>
      </c>
    </row>
    <row r="1307" customFormat="false" ht="15" hidden="false" customHeight="false" outlineLevel="0" collapsed="false">
      <c r="A1307" s="3" t="n">
        <v>4</v>
      </c>
      <c r="B1307" s="3" t="s">
        <v>576</v>
      </c>
      <c r="C1307" s="3" t="s">
        <v>82</v>
      </c>
      <c r="D1307" s="15" t="n">
        <v>10057.56</v>
      </c>
    </row>
    <row r="1308" customFormat="false" ht="15" hidden="false" customHeight="false" outlineLevel="0" collapsed="false">
      <c r="A1308" s="3" t="n">
        <v>4</v>
      </c>
      <c r="B1308" s="3" t="s">
        <v>577</v>
      </c>
      <c r="C1308" s="3" t="s">
        <v>101</v>
      </c>
      <c r="D1308" s="15" t="n">
        <v>40598.71</v>
      </c>
    </row>
    <row r="1309" customFormat="false" ht="15" hidden="false" customHeight="false" outlineLevel="0" collapsed="false">
      <c r="A1309" s="3" t="n">
        <v>4</v>
      </c>
      <c r="B1309" s="3" t="s">
        <v>577</v>
      </c>
      <c r="C1309" s="3" t="s">
        <v>102</v>
      </c>
      <c r="D1309" s="15" t="n">
        <v>2214.72</v>
      </c>
    </row>
    <row r="1310" customFormat="false" ht="15" hidden="false" customHeight="false" outlineLevel="0" collapsed="false">
      <c r="A1310" s="3" t="n">
        <v>4</v>
      </c>
      <c r="B1310" s="3" t="s">
        <v>578</v>
      </c>
      <c r="C1310" s="3" t="s">
        <v>101</v>
      </c>
      <c r="D1310" s="15" t="n">
        <v>1004.6</v>
      </c>
    </row>
    <row r="1311" customFormat="false" ht="15" hidden="false" customHeight="false" outlineLevel="0" collapsed="false">
      <c r="A1311" s="3" t="n">
        <v>4</v>
      </c>
      <c r="B1311" s="3" t="s">
        <v>578</v>
      </c>
      <c r="C1311" s="3" t="s">
        <v>102</v>
      </c>
      <c r="D1311" s="15" t="n">
        <v>3.9</v>
      </c>
    </row>
    <row r="1312" customFormat="false" ht="15" hidden="false" customHeight="false" outlineLevel="0" collapsed="false">
      <c r="A1312" s="3" t="n">
        <v>4</v>
      </c>
      <c r="B1312" s="3" t="s">
        <v>579</v>
      </c>
      <c r="C1312" s="3" t="s">
        <v>101</v>
      </c>
      <c r="D1312" s="15" t="n">
        <v>3336.09</v>
      </c>
    </row>
    <row r="1313" customFormat="false" ht="15" hidden="false" customHeight="false" outlineLevel="0" collapsed="false">
      <c r="A1313" s="3" t="n">
        <v>4</v>
      </c>
      <c r="B1313" s="3" t="s">
        <v>579</v>
      </c>
      <c r="C1313" s="3" t="s">
        <v>102</v>
      </c>
      <c r="D1313" s="15" t="n">
        <v>162.7</v>
      </c>
    </row>
    <row r="1314" customFormat="false" ht="15" hidden="false" customHeight="false" outlineLevel="0" collapsed="false">
      <c r="A1314" s="3" t="n">
        <v>4</v>
      </c>
      <c r="B1314" s="3" t="s">
        <v>580</v>
      </c>
      <c r="C1314" s="3" t="s">
        <v>101</v>
      </c>
      <c r="D1314" s="15" t="n">
        <v>5062.1</v>
      </c>
    </row>
    <row r="1315" customFormat="false" ht="15" hidden="false" customHeight="false" outlineLevel="0" collapsed="false">
      <c r="A1315" s="3" t="n">
        <v>4</v>
      </c>
      <c r="B1315" s="3" t="s">
        <v>580</v>
      </c>
      <c r="C1315" s="3" t="s">
        <v>102</v>
      </c>
      <c r="D1315" s="15" t="n">
        <v>147.6</v>
      </c>
    </row>
    <row r="1316" customFormat="false" ht="15" hidden="false" customHeight="false" outlineLevel="0" collapsed="false">
      <c r="A1316" s="3" t="n">
        <v>4</v>
      </c>
      <c r="B1316" s="3" t="s">
        <v>581</v>
      </c>
      <c r="C1316" s="3" t="s">
        <v>101</v>
      </c>
      <c r="D1316" s="15" t="n">
        <v>3596.75</v>
      </c>
    </row>
    <row r="1317" customFormat="false" ht="15" hidden="false" customHeight="false" outlineLevel="0" collapsed="false">
      <c r="A1317" s="3" t="n">
        <v>4</v>
      </c>
      <c r="B1317" s="3" t="s">
        <v>581</v>
      </c>
      <c r="C1317" s="3" t="s">
        <v>102</v>
      </c>
      <c r="D1317" s="15" t="n">
        <v>107.5</v>
      </c>
    </row>
    <row r="1318" customFormat="false" ht="15" hidden="false" customHeight="false" outlineLevel="0" collapsed="false">
      <c r="A1318" s="3" t="n">
        <v>4</v>
      </c>
      <c r="B1318" s="3" t="s">
        <v>582</v>
      </c>
      <c r="C1318" s="3" t="s">
        <v>101</v>
      </c>
      <c r="D1318" s="15" t="n">
        <v>6270.7</v>
      </c>
    </row>
    <row r="1319" customFormat="false" ht="15" hidden="false" customHeight="false" outlineLevel="0" collapsed="false">
      <c r="A1319" s="3" t="n">
        <v>4</v>
      </c>
      <c r="B1319" s="3" t="s">
        <v>582</v>
      </c>
      <c r="C1319" s="3" t="s">
        <v>103</v>
      </c>
      <c r="D1319" s="15" t="n">
        <v>-1933.33</v>
      </c>
    </row>
    <row r="1320" customFormat="false" ht="15" hidden="false" customHeight="false" outlineLevel="0" collapsed="false">
      <c r="A1320" s="3" t="n">
        <v>4</v>
      </c>
      <c r="B1320" s="3" t="s">
        <v>582</v>
      </c>
      <c r="C1320" s="3" t="s">
        <v>102</v>
      </c>
      <c r="D1320" s="15" t="n">
        <v>5974.18</v>
      </c>
    </row>
    <row r="1321" customFormat="false" ht="15" hidden="false" customHeight="false" outlineLevel="0" collapsed="false">
      <c r="A1321" s="3" t="n">
        <v>4</v>
      </c>
      <c r="B1321" s="3" t="s">
        <v>583</v>
      </c>
      <c r="C1321" s="3" t="s">
        <v>101</v>
      </c>
      <c r="D1321" s="15" t="n">
        <v>8497.05</v>
      </c>
    </row>
    <row r="1322" customFormat="false" ht="15" hidden="false" customHeight="false" outlineLevel="0" collapsed="false">
      <c r="A1322" s="3" t="n">
        <v>4</v>
      </c>
      <c r="B1322" s="3" t="s">
        <v>583</v>
      </c>
      <c r="C1322" s="3" t="s">
        <v>102</v>
      </c>
      <c r="D1322" s="15" t="n">
        <v>483.3</v>
      </c>
    </row>
    <row r="1323" customFormat="false" ht="15" hidden="false" customHeight="false" outlineLevel="0" collapsed="false">
      <c r="A1323" s="3" t="n">
        <v>4</v>
      </c>
      <c r="B1323" s="3" t="s">
        <v>584</v>
      </c>
      <c r="C1323" s="3" t="s">
        <v>101</v>
      </c>
      <c r="D1323" s="15" t="n">
        <v>920.48</v>
      </c>
    </row>
    <row r="1324" customFormat="false" ht="15" hidden="false" customHeight="false" outlineLevel="0" collapsed="false">
      <c r="A1324" s="3" t="n">
        <v>4</v>
      </c>
      <c r="B1324" s="3" t="s">
        <v>584</v>
      </c>
      <c r="C1324" s="3" t="s">
        <v>102</v>
      </c>
      <c r="D1324" s="15" t="n">
        <v>138.9</v>
      </c>
    </row>
    <row r="1325" customFormat="false" ht="15" hidden="false" customHeight="false" outlineLevel="0" collapsed="false">
      <c r="A1325" s="3" t="n">
        <v>4</v>
      </c>
      <c r="B1325" s="3" t="s">
        <v>585</v>
      </c>
      <c r="C1325" s="3" t="s">
        <v>101</v>
      </c>
      <c r="D1325" s="15" t="n">
        <v>1293.2</v>
      </c>
    </row>
    <row r="1326" customFormat="false" ht="15" hidden="false" customHeight="false" outlineLevel="0" collapsed="false">
      <c r="A1326" s="3" t="n">
        <v>4</v>
      </c>
      <c r="B1326" s="3" t="s">
        <v>585</v>
      </c>
      <c r="C1326" s="3" t="s">
        <v>102</v>
      </c>
      <c r="D1326" s="15" t="n">
        <v>6821.3</v>
      </c>
    </row>
    <row r="1327" customFormat="false" ht="15" hidden="false" customHeight="false" outlineLevel="0" collapsed="false">
      <c r="A1327" s="3" t="n">
        <v>4</v>
      </c>
      <c r="B1327" s="3" t="s">
        <v>586</v>
      </c>
      <c r="C1327" s="3" t="s">
        <v>101</v>
      </c>
      <c r="D1327" s="15" t="n">
        <v>3879.6</v>
      </c>
    </row>
    <row r="1328" customFormat="false" ht="15" hidden="false" customHeight="false" outlineLevel="0" collapsed="false">
      <c r="A1328" s="3" t="n">
        <v>4</v>
      </c>
      <c r="B1328" s="3" t="s">
        <v>586</v>
      </c>
      <c r="C1328" s="3" t="s">
        <v>102</v>
      </c>
      <c r="D1328" s="15" t="n">
        <v>24454.92</v>
      </c>
    </row>
    <row r="1329" customFormat="false" ht="15" hidden="false" customHeight="false" outlineLevel="0" collapsed="false">
      <c r="A1329" s="3" t="n">
        <v>4</v>
      </c>
      <c r="B1329" s="3" t="s">
        <v>587</v>
      </c>
      <c r="C1329" s="3" t="s">
        <v>101</v>
      </c>
      <c r="D1329" s="15" t="n">
        <v>10952</v>
      </c>
    </row>
    <row r="1330" customFormat="false" ht="15" hidden="false" customHeight="false" outlineLevel="0" collapsed="false">
      <c r="A1330" s="3" t="n">
        <v>4</v>
      </c>
      <c r="B1330" s="3" t="s">
        <v>587</v>
      </c>
      <c r="C1330" s="3" t="s">
        <v>102</v>
      </c>
      <c r="D1330" s="15" t="n">
        <v>1552.22</v>
      </c>
    </row>
    <row r="1331" customFormat="false" ht="15" hidden="false" customHeight="false" outlineLevel="0" collapsed="false">
      <c r="A1331" s="3" t="n">
        <v>4</v>
      </c>
      <c r="B1331" s="3" t="s">
        <v>588</v>
      </c>
      <c r="C1331" s="3" t="s">
        <v>101</v>
      </c>
      <c r="D1331" s="15" t="n">
        <v>5192</v>
      </c>
    </row>
    <row r="1332" customFormat="false" ht="15" hidden="false" customHeight="false" outlineLevel="0" collapsed="false">
      <c r="A1332" s="3" t="n">
        <v>4</v>
      </c>
      <c r="B1332" s="3" t="s">
        <v>588</v>
      </c>
      <c r="C1332" s="3" t="s">
        <v>102</v>
      </c>
      <c r="D1332" s="15" t="n">
        <v>9306.5</v>
      </c>
    </row>
    <row r="1333" customFormat="false" ht="15" hidden="false" customHeight="false" outlineLevel="0" collapsed="false">
      <c r="A1333" s="3" t="n">
        <v>4</v>
      </c>
      <c r="B1333" s="3" t="s">
        <v>589</v>
      </c>
      <c r="C1333" s="3" t="s">
        <v>101</v>
      </c>
      <c r="D1333" s="15" t="n">
        <v>5064.85</v>
      </c>
    </row>
    <row r="1334" customFormat="false" ht="15" hidden="false" customHeight="false" outlineLevel="0" collapsed="false">
      <c r="A1334" s="3" t="n">
        <v>4</v>
      </c>
      <c r="B1334" s="3" t="s">
        <v>589</v>
      </c>
      <c r="C1334" s="3" t="s">
        <v>102</v>
      </c>
      <c r="D1334" s="15" t="n">
        <v>64.3</v>
      </c>
    </row>
    <row r="1335" customFormat="false" ht="15" hidden="false" customHeight="false" outlineLevel="0" collapsed="false">
      <c r="A1335" s="3" t="n">
        <v>4</v>
      </c>
      <c r="B1335" s="3" t="s">
        <v>590</v>
      </c>
      <c r="C1335" s="3" t="s">
        <v>101</v>
      </c>
      <c r="D1335" s="15" t="n">
        <v>1298</v>
      </c>
    </row>
    <row r="1336" customFormat="false" ht="15" hidden="false" customHeight="false" outlineLevel="0" collapsed="false">
      <c r="A1336" s="3" t="n">
        <v>4</v>
      </c>
      <c r="B1336" s="3" t="s">
        <v>590</v>
      </c>
      <c r="C1336" s="3" t="s">
        <v>102</v>
      </c>
      <c r="D1336" s="15" t="n">
        <v>2877.13</v>
      </c>
    </row>
    <row r="1337" customFormat="false" ht="15" hidden="false" customHeight="false" outlineLevel="0" collapsed="false">
      <c r="A1337" s="3" t="n">
        <v>4</v>
      </c>
      <c r="B1337" s="3" t="s">
        <v>591</v>
      </c>
      <c r="C1337" s="3" t="s">
        <v>101</v>
      </c>
      <c r="D1337" s="15" t="n">
        <v>6266.46</v>
      </c>
    </row>
    <row r="1338" customFormat="false" ht="15" hidden="false" customHeight="false" outlineLevel="0" collapsed="false">
      <c r="A1338" s="3" t="n">
        <v>4</v>
      </c>
      <c r="B1338" s="3" t="s">
        <v>591</v>
      </c>
      <c r="C1338" s="3" t="s">
        <v>102</v>
      </c>
      <c r="D1338" s="15" t="n">
        <v>126.9</v>
      </c>
    </row>
    <row r="1339" customFormat="false" ht="15" hidden="false" customHeight="false" outlineLevel="0" collapsed="false">
      <c r="A1339" s="3" t="n">
        <v>4</v>
      </c>
      <c r="B1339" s="3" t="s">
        <v>592</v>
      </c>
      <c r="C1339" s="3" t="s">
        <v>101</v>
      </c>
      <c r="D1339" s="15" t="n">
        <v>7925.25</v>
      </c>
    </row>
    <row r="1340" customFormat="false" ht="15" hidden="false" customHeight="false" outlineLevel="0" collapsed="false">
      <c r="A1340" s="3" t="n">
        <v>4</v>
      </c>
      <c r="B1340" s="3" t="s">
        <v>592</v>
      </c>
      <c r="C1340" s="3" t="s">
        <v>102</v>
      </c>
      <c r="D1340" s="15" t="n">
        <v>171.7</v>
      </c>
    </row>
    <row r="1341" customFormat="false" ht="15" hidden="false" customHeight="false" outlineLevel="0" collapsed="false">
      <c r="A1341" s="3" t="n">
        <v>4</v>
      </c>
      <c r="B1341" s="3" t="s">
        <v>593</v>
      </c>
      <c r="C1341" s="3" t="s">
        <v>101</v>
      </c>
      <c r="D1341" s="15" t="n">
        <v>1833.2</v>
      </c>
    </row>
    <row r="1342" customFormat="false" ht="15" hidden="false" customHeight="false" outlineLevel="0" collapsed="false">
      <c r="A1342" s="3" t="n">
        <v>4</v>
      </c>
      <c r="B1342" s="3" t="s">
        <v>593</v>
      </c>
      <c r="C1342" s="3" t="s">
        <v>102</v>
      </c>
      <c r="D1342" s="15" t="n">
        <v>7.8</v>
      </c>
    </row>
    <row r="1343" customFormat="false" ht="15" hidden="false" customHeight="false" outlineLevel="0" collapsed="false">
      <c r="A1343" s="3" t="n">
        <v>4</v>
      </c>
      <c r="B1343" s="3" t="s">
        <v>594</v>
      </c>
      <c r="C1343" s="3" t="s">
        <v>101</v>
      </c>
      <c r="D1343" s="15" t="n">
        <v>3894.02</v>
      </c>
    </row>
    <row r="1344" customFormat="false" ht="15" hidden="false" customHeight="false" outlineLevel="0" collapsed="false">
      <c r="A1344" s="3" t="n">
        <v>4</v>
      </c>
      <c r="B1344" s="3" t="s">
        <v>594</v>
      </c>
      <c r="C1344" s="3" t="s">
        <v>102</v>
      </c>
      <c r="D1344" s="15" t="n">
        <v>15.6</v>
      </c>
    </row>
    <row r="1345" customFormat="false" ht="15" hidden="false" customHeight="false" outlineLevel="0" collapsed="false">
      <c r="A1345" s="3" t="n">
        <v>4</v>
      </c>
      <c r="B1345" s="3" t="s">
        <v>595</v>
      </c>
      <c r="C1345" s="3" t="s">
        <v>101</v>
      </c>
      <c r="D1345" s="15" t="n">
        <v>866.6</v>
      </c>
    </row>
    <row r="1346" customFormat="false" ht="15" hidden="false" customHeight="false" outlineLevel="0" collapsed="false">
      <c r="A1346" s="3" t="n">
        <v>4</v>
      </c>
      <c r="B1346" s="3" t="s">
        <v>595</v>
      </c>
      <c r="C1346" s="3" t="s">
        <v>102</v>
      </c>
      <c r="D1346" s="15" t="n">
        <v>180.3</v>
      </c>
    </row>
    <row r="1347" customFormat="false" ht="15" hidden="false" customHeight="false" outlineLevel="0" collapsed="false">
      <c r="A1347" s="3" t="n">
        <v>4</v>
      </c>
      <c r="B1347" s="3" t="s">
        <v>596</v>
      </c>
      <c r="C1347" s="3" t="s">
        <v>101</v>
      </c>
      <c r="D1347" s="15" t="n">
        <v>4294.81</v>
      </c>
    </row>
    <row r="1348" customFormat="false" ht="15" hidden="false" customHeight="false" outlineLevel="0" collapsed="false">
      <c r="A1348" s="3" t="n">
        <v>4</v>
      </c>
      <c r="B1348" s="3" t="s">
        <v>596</v>
      </c>
      <c r="C1348" s="3" t="s">
        <v>102</v>
      </c>
      <c r="D1348" s="15" t="n">
        <v>711.7</v>
      </c>
    </row>
    <row r="1349" customFormat="false" ht="15" hidden="false" customHeight="false" outlineLevel="0" collapsed="false">
      <c r="A1349" s="3" t="n">
        <v>4</v>
      </c>
      <c r="B1349" s="3" t="s">
        <v>597</v>
      </c>
      <c r="C1349" s="3" t="s">
        <v>101</v>
      </c>
      <c r="D1349" s="15" t="n">
        <v>3588.63</v>
      </c>
    </row>
    <row r="1350" customFormat="false" ht="15" hidden="false" customHeight="false" outlineLevel="0" collapsed="false">
      <c r="A1350" s="3" t="n">
        <v>4</v>
      </c>
      <c r="B1350" s="3" t="s">
        <v>597</v>
      </c>
      <c r="C1350" s="3" t="s">
        <v>103</v>
      </c>
      <c r="D1350" s="15" t="n">
        <v>-3155.28</v>
      </c>
    </row>
    <row r="1351" customFormat="false" ht="15" hidden="false" customHeight="false" outlineLevel="0" collapsed="false">
      <c r="A1351" s="3" t="n">
        <v>4</v>
      </c>
      <c r="B1351" s="3" t="s">
        <v>597</v>
      </c>
      <c r="C1351" s="3" t="s">
        <v>102</v>
      </c>
      <c r="D1351" s="15" t="n">
        <v>968.8</v>
      </c>
    </row>
    <row r="1352" customFormat="false" ht="15" hidden="false" customHeight="false" outlineLevel="0" collapsed="false">
      <c r="A1352" s="3" t="n">
        <v>4</v>
      </c>
      <c r="B1352" s="3" t="s">
        <v>598</v>
      </c>
      <c r="C1352" s="3" t="s">
        <v>101</v>
      </c>
      <c r="D1352" s="15" t="n">
        <v>3204</v>
      </c>
    </row>
    <row r="1353" customFormat="false" ht="15" hidden="false" customHeight="false" outlineLevel="0" collapsed="false">
      <c r="A1353" s="3" t="n">
        <v>4</v>
      </c>
      <c r="B1353" s="3" t="s">
        <v>598</v>
      </c>
      <c r="C1353" s="3" t="s">
        <v>102</v>
      </c>
      <c r="D1353" s="15" t="n">
        <v>2146.37</v>
      </c>
    </row>
    <row r="1354" customFormat="false" ht="15" hidden="false" customHeight="false" outlineLevel="0" collapsed="false">
      <c r="A1354" s="3" t="n">
        <v>4</v>
      </c>
      <c r="B1354" s="3" t="s">
        <v>599</v>
      </c>
      <c r="C1354" s="3" t="s">
        <v>101</v>
      </c>
      <c r="D1354" s="15" t="n">
        <v>12069</v>
      </c>
    </row>
    <row r="1355" customFormat="false" ht="15" hidden="false" customHeight="false" outlineLevel="0" collapsed="false">
      <c r="A1355" s="3" t="n">
        <v>4</v>
      </c>
      <c r="B1355" s="3" t="s">
        <v>599</v>
      </c>
      <c r="C1355" s="3" t="s">
        <v>103</v>
      </c>
      <c r="D1355" s="15" t="n">
        <v>-3820.9</v>
      </c>
    </row>
    <row r="1356" customFormat="false" ht="15" hidden="false" customHeight="false" outlineLevel="0" collapsed="false">
      <c r="A1356" s="3" t="n">
        <v>4</v>
      </c>
      <c r="B1356" s="3" t="s">
        <v>599</v>
      </c>
      <c r="C1356" s="3" t="s">
        <v>102</v>
      </c>
      <c r="D1356" s="15" t="n">
        <v>12951.18</v>
      </c>
    </row>
    <row r="1357" customFormat="false" ht="15" hidden="false" customHeight="false" outlineLevel="0" collapsed="false">
      <c r="A1357" s="3" t="n">
        <v>4</v>
      </c>
      <c r="B1357" s="3" t="s">
        <v>600</v>
      </c>
      <c r="C1357" s="3" t="s">
        <v>101</v>
      </c>
      <c r="D1357" s="15" t="n">
        <v>5207.24</v>
      </c>
    </row>
    <row r="1358" customFormat="false" ht="15" hidden="false" customHeight="false" outlineLevel="0" collapsed="false">
      <c r="A1358" s="3" t="n">
        <v>4</v>
      </c>
      <c r="B1358" s="3" t="s">
        <v>600</v>
      </c>
      <c r="C1358" s="3" t="s">
        <v>102</v>
      </c>
      <c r="D1358" s="15" t="n">
        <v>437.4</v>
      </c>
    </row>
    <row r="1359" customFormat="false" ht="15" hidden="false" customHeight="false" outlineLevel="0" collapsed="false">
      <c r="A1359" s="3" t="n">
        <v>4</v>
      </c>
      <c r="B1359" s="3" t="s">
        <v>601</v>
      </c>
      <c r="C1359" s="3" t="s">
        <v>101</v>
      </c>
      <c r="D1359" s="15" t="n">
        <v>2130</v>
      </c>
    </row>
    <row r="1360" customFormat="false" ht="15" hidden="false" customHeight="false" outlineLevel="0" collapsed="false">
      <c r="A1360" s="3" t="n">
        <v>4</v>
      </c>
      <c r="B1360" s="3" t="s">
        <v>601</v>
      </c>
      <c r="C1360" s="3" t="s">
        <v>102</v>
      </c>
      <c r="D1360" s="15" t="n">
        <v>7.8</v>
      </c>
    </row>
    <row r="1361" customFormat="false" ht="15" hidden="false" customHeight="false" outlineLevel="0" collapsed="false">
      <c r="A1361" s="3" t="n">
        <v>4</v>
      </c>
      <c r="B1361" s="3" t="s">
        <v>602</v>
      </c>
      <c r="C1361" s="3" t="s">
        <v>101</v>
      </c>
      <c r="D1361" s="15" t="n">
        <v>3826.66</v>
      </c>
    </row>
    <row r="1362" customFormat="false" ht="15" hidden="false" customHeight="false" outlineLevel="0" collapsed="false">
      <c r="A1362" s="3" t="n">
        <v>4</v>
      </c>
      <c r="B1362" s="3" t="s">
        <v>602</v>
      </c>
      <c r="C1362" s="3" t="s">
        <v>102</v>
      </c>
      <c r="D1362" s="15" t="n">
        <v>18.7</v>
      </c>
    </row>
    <row r="1363" customFormat="false" ht="15" hidden="false" customHeight="false" outlineLevel="0" collapsed="false">
      <c r="A1363" s="3" t="n">
        <v>4</v>
      </c>
      <c r="B1363" s="3" t="s">
        <v>603</v>
      </c>
      <c r="C1363" s="3" t="s">
        <v>101</v>
      </c>
      <c r="D1363" s="15" t="n">
        <v>1322.56</v>
      </c>
    </row>
    <row r="1364" customFormat="false" ht="15" hidden="false" customHeight="false" outlineLevel="0" collapsed="false">
      <c r="A1364" s="3" t="n">
        <v>4</v>
      </c>
      <c r="B1364" s="3" t="s">
        <v>603</v>
      </c>
      <c r="C1364" s="3" t="s">
        <v>102</v>
      </c>
      <c r="D1364" s="15" t="n">
        <v>7.8</v>
      </c>
    </row>
    <row r="1365" customFormat="false" ht="15" hidden="false" customHeight="false" outlineLevel="0" collapsed="false">
      <c r="A1365" s="3" t="n">
        <v>4</v>
      </c>
      <c r="B1365" s="3" t="s">
        <v>604</v>
      </c>
      <c r="C1365" s="3" t="s">
        <v>101</v>
      </c>
      <c r="D1365" s="15" t="n">
        <v>826.6</v>
      </c>
    </row>
    <row r="1366" customFormat="false" ht="15" hidden="false" customHeight="false" outlineLevel="0" collapsed="false">
      <c r="A1366" s="3" t="n">
        <v>4</v>
      </c>
      <c r="B1366" s="3" t="s">
        <v>604</v>
      </c>
      <c r="C1366" s="3" t="s">
        <v>102</v>
      </c>
      <c r="D1366" s="15" t="n">
        <v>23.9</v>
      </c>
    </row>
    <row r="1367" customFormat="false" ht="15" hidden="false" customHeight="false" outlineLevel="0" collapsed="false">
      <c r="A1367" s="3" t="n">
        <v>4</v>
      </c>
      <c r="B1367" s="3" t="s">
        <v>605</v>
      </c>
      <c r="C1367" s="3" t="s">
        <v>101</v>
      </c>
      <c r="D1367" s="15" t="n">
        <v>1995.77</v>
      </c>
    </row>
    <row r="1368" customFormat="false" ht="15" hidden="false" customHeight="false" outlineLevel="0" collapsed="false">
      <c r="A1368" s="3" t="n">
        <v>4</v>
      </c>
      <c r="B1368" s="3" t="s">
        <v>605</v>
      </c>
      <c r="C1368" s="3" t="s">
        <v>102</v>
      </c>
      <c r="D1368" s="15" t="n">
        <v>11.7</v>
      </c>
    </row>
    <row r="1369" customFormat="false" ht="15" hidden="false" customHeight="false" outlineLevel="0" collapsed="false">
      <c r="A1369" s="3" t="n">
        <v>4</v>
      </c>
      <c r="B1369" s="3" t="s">
        <v>606</v>
      </c>
      <c r="C1369" s="3" t="s">
        <v>101</v>
      </c>
      <c r="D1369" s="15" t="n">
        <v>826.6</v>
      </c>
    </row>
    <row r="1370" customFormat="false" ht="15" hidden="false" customHeight="false" outlineLevel="0" collapsed="false">
      <c r="A1370" s="3" t="n">
        <v>4</v>
      </c>
      <c r="B1370" s="3" t="s">
        <v>606</v>
      </c>
      <c r="C1370" s="3" t="s">
        <v>102</v>
      </c>
      <c r="D1370" s="15" t="n">
        <v>3.9</v>
      </c>
    </row>
    <row r="1371" customFormat="false" ht="15" hidden="false" customHeight="false" outlineLevel="0" collapsed="false">
      <c r="A1371" s="3" t="n">
        <v>4</v>
      </c>
      <c r="B1371" s="3" t="s">
        <v>607</v>
      </c>
      <c r="C1371" s="3" t="s">
        <v>101</v>
      </c>
      <c r="D1371" s="15" t="n">
        <v>1382.23</v>
      </c>
    </row>
    <row r="1372" customFormat="false" ht="15" hidden="false" customHeight="false" outlineLevel="0" collapsed="false">
      <c r="A1372" s="3" t="n">
        <v>4</v>
      </c>
      <c r="B1372" s="3" t="s">
        <v>607</v>
      </c>
      <c r="C1372" s="3" t="s">
        <v>102</v>
      </c>
      <c r="D1372" s="15" t="n">
        <v>7.4</v>
      </c>
    </row>
    <row r="1373" customFormat="false" ht="15" hidden="false" customHeight="false" outlineLevel="0" collapsed="false">
      <c r="A1373" s="3" t="n">
        <v>4</v>
      </c>
      <c r="B1373" s="3" t="s">
        <v>608</v>
      </c>
      <c r="C1373" s="3" t="s">
        <v>101</v>
      </c>
      <c r="D1373" s="15" t="n">
        <v>1063.26</v>
      </c>
    </row>
    <row r="1374" customFormat="false" ht="15" hidden="false" customHeight="false" outlineLevel="0" collapsed="false">
      <c r="A1374" s="3" t="n">
        <v>4</v>
      </c>
      <c r="B1374" s="3" t="s">
        <v>608</v>
      </c>
      <c r="C1374" s="3" t="s">
        <v>102</v>
      </c>
      <c r="D1374" s="15" t="n">
        <v>3.9</v>
      </c>
    </row>
    <row r="1375" customFormat="false" ht="15" hidden="false" customHeight="false" outlineLevel="0" collapsed="false">
      <c r="A1375" s="3" t="n">
        <v>4</v>
      </c>
      <c r="B1375" s="3" t="s">
        <v>609</v>
      </c>
      <c r="C1375" s="3" t="s">
        <v>101</v>
      </c>
      <c r="D1375" s="15" t="n">
        <v>864.6</v>
      </c>
    </row>
    <row r="1376" customFormat="false" ht="15" hidden="false" customHeight="false" outlineLevel="0" collapsed="false">
      <c r="A1376" s="3" t="n">
        <v>4</v>
      </c>
      <c r="B1376" s="3" t="s">
        <v>609</v>
      </c>
      <c r="C1376" s="3" t="s">
        <v>102</v>
      </c>
      <c r="D1376" s="15" t="n">
        <v>3.9</v>
      </c>
    </row>
    <row r="1377" customFormat="false" ht="15" hidden="false" customHeight="false" outlineLevel="0" collapsed="false">
      <c r="A1377" s="3" t="n">
        <v>4</v>
      </c>
      <c r="B1377" s="3" t="s">
        <v>610</v>
      </c>
      <c r="C1377" s="3" t="s">
        <v>101</v>
      </c>
      <c r="D1377" s="15" t="n">
        <v>2226.73</v>
      </c>
    </row>
    <row r="1378" customFormat="false" ht="15" hidden="false" customHeight="false" outlineLevel="0" collapsed="false">
      <c r="A1378" s="3" t="n">
        <v>4</v>
      </c>
      <c r="B1378" s="3" t="s">
        <v>610</v>
      </c>
      <c r="C1378" s="3" t="s">
        <v>102</v>
      </c>
      <c r="D1378" s="15" t="n">
        <v>11.7</v>
      </c>
    </row>
    <row r="1379" customFormat="false" ht="15" hidden="false" customHeight="false" outlineLevel="0" collapsed="false">
      <c r="A1379" s="3" t="n">
        <v>4</v>
      </c>
      <c r="B1379" s="3" t="s">
        <v>611</v>
      </c>
      <c r="C1379" s="3" t="s">
        <v>101</v>
      </c>
      <c r="D1379" s="15" t="n">
        <v>1014.6</v>
      </c>
    </row>
    <row r="1380" customFormat="false" ht="15" hidden="false" customHeight="false" outlineLevel="0" collapsed="false">
      <c r="A1380" s="3" t="n">
        <v>4</v>
      </c>
      <c r="B1380" s="3" t="s">
        <v>611</v>
      </c>
      <c r="C1380" s="3" t="s">
        <v>102</v>
      </c>
      <c r="D1380" s="15" t="n">
        <v>3.9</v>
      </c>
    </row>
    <row r="1381" customFormat="false" ht="15" hidden="false" customHeight="false" outlineLevel="0" collapsed="false">
      <c r="A1381" s="3" t="n">
        <v>4</v>
      </c>
      <c r="B1381" s="3" t="s">
        <v>612</v>
      </c>
      <c r="C1381" s="3" t="s">
        <v>101</v>
      </c>
      <c r="D1381" s="15" t="n">
        <v>1101.23</v>
      </c>
    </row>
    <row r="1382" customFormat="false" ht="15" hidden="false" customHeight="false" outlineLevel="0" collapsed="false">
      <c r="A1382" s="3" t="n">
        <v>4</v>
      </c>
      <c r="B1382" s="3" t="s">
        <v>612</v>
      </c>
      <c r="C1382" s="3" t="s">
        <v>102</v>
      </c>
      <c r="D1382" s="15" t="n">
        <v>7.8</v>
      </c>
    </row>
    <row r="1383" customFormat="false" ht="15" hidden="false" customHeight="false" outlineLevel="0" collapsed="false">
      <c r="A1383" s="3" t="n">
        <v>4</v>
      </c>
      <c r="B1383" s="3" t="s">
        <v>613</v>
      </c>
      <c r="C1383" s="3" t="s">
        <v>101</v>
      </c>
      <c r="D1383" s="15" t="n">
        <v>850.6</v>
      </c>
    </row>
    <row r="1384" customFormat="false" ht="15" hidden="false" customHeight="false" outlineLevel="0" collapsed="false">
      <c r="A1384" s="3" t="n">
        <v>4</v>
      </c>
      <c r="B1384" s="3" t="s">
        <v>613</v>
      </c>
      <c r="C1384" s="3" t="s">
        <v>102</v>
      </c>
      <c r="D1384" s="15" t="n">
        <v>3.9</v>
      </c>
    </row>
    <row r="1385" customFormat="false" ht="15" hidden="false" customHeight="false" outlineLevel="0" collapsed="false">
      <c r="A1385" s="3" t="n">
        <v>4</v>
      </c>
      <c r="B1385" s="3" t="s">
        <v>614</v>
      </c>
      <c r="C1385" s="3" t="s">
        <v>101</v>
      </c>
      <c r="D1385" s="15" t="n">
        <v>124.66</v>
      </c>
    </row>
    <row r="1386" customFormat="false" ht="15" hidden="false" customHeight="false" outlineLevel="0" collapsed="false">
      <c r="A1386" s="3" t="n">
        <v>4</v>
      </c>
      <c r="B1386" s="3" t="s">
        <v>614</v>
      </c>
      <c r="C1386" s="3" t="s">
        <v>102</v>
      </c>
      <c r="D1386" s="15" t="n">
        <v>3.5</v>
      </c>
    </row>
    <row r="1387" customFormat="false" ht="15" hidden="false" customHeight="false" outlineLevel="0" collapsed="false">
      <c r="A1387" s="3" t="n">
        <v>4</v>
      </c>
      <c r="B1387" s="3" t="s">
        <v>615</v>
      </c>
      <c r="C1387" s="3" t="s">
        <v>101</v>
      </c>
      <c r="D1387" s="15" t="n">
        <v>910.6</v>
      </c>
    </row>
    <row r="1388" customFormat="false" ht="15" hidden="false" customHeight="false" outlineLevel="0" collapsed="false">
      <c r="A1388" s="3" t="n">
        <v>4</v>
      </c>
      <c r="B1388" s="3" t="s">
        <v>615</v>
      </c>
      <c r="C1388" s="3" t="s">
        <v>102</v>
      </c>
      <c r="D1388" s="15" t="n">
        <v>3.9</v>
      </c>
    </row>
    <row r="1389" customFormat="false" ht="15" hidden="false" customHeight="false" outlineLevel="0" collapsed="false">
      <c r="A1389" s="3" t="n">
        <v>4</v>
      </c>
      <c r="B1389" s="3" t="s">
        <v>616</v>
      </c>
      <c r="C1389" s="3" t="s">
        <v>101</v>
      </c>
      <c r="D1389" s="15" t="n">
        <v>31858.91</v>
      </c>
    </row>
    <row r="1390" customFormat="false" ht="15" hidden="false" customHeight="false" outlineLevel="0" collapsed="false">
      <c r="A1390" s="3" t="n">
        <v>4</v>
      </c>
      <c r="B1390" s="3" t="s">
        <v>616</v>
      </c>
      <c r="C1390" s="3" t="s">
        <v>102</v>
      </c>
      <c r="D1390" s="15" t="n">
        <v>3765.58</v>
      </c>
    </row>
    <row r="1391" customFormat="false" ht="15" hidden="false" customHeight="false" outlineLevel="0" collapsed="false">
      <c r="A1391" s="3" t="n">
        <v>4</v>
      </c>
      <c r="B1391" s="3" t="s">
        <v>617</v>
      </c>
      <c r="C1391" s="3" t="s">
        <v>101</v>
      </c>
      <c r="D1391" s="15" t="n">
        <v>862.6</v>
      </c>
    </row>
    <row r="1392" customFormat="false" ht="15" hidden="false" customHeight="false" outlineLevel="0" collapsed="false">
      <c r="A1392" s="3" t="n">
        <v>4</v>
      </c>
      <c r="B1392" s="3" t="s">
        <v>617</v>
      </c>
      <c r="C1392" s="3" t="s">
        <v>102</v>
      </c>
      <c r="D1392" s="15" t="n">
        <v>3.9</v>
      </c>
    </row>
    <row r="1393" customFormat="false" ht="15" hidden="false" customHeight="false" outlineLevel="0" collapsed="false">
      <c r="A1393" s="3" t="n">
        <v>4</v>
      </c>
      <c r="B1393" s="3" t="s">
        <v>618</v>
      </c>
      <c r="C1393" s="3" t="s">
        <v>101</v>
      </c>
      <c r="D1393" s="15" t="n">
        <v>5003.08</v>
      </c>
    </row>
    <row r="1394" customFormat="false" ht="15" hidden="false" customHeight="false" outlineLevel="0" collapsed="false">
      <c r="A1394" s="3" t="n">
        <v>4</v>
      </c>
      <c r="B1394" s="3" t="s">
        <v>618</v>
      </c>
      <c r="C1394" s="3" t="s">
        <v>102</v>
      </c>
      <c r="D1394" s="15" t="n">
        <v>66.9</v>
      </c>
    </row>
    <row r="1395" customFormat="false" ht="15" hidden="false" customHeight="false" outlineLevel="0" collapsed="false">
      <c r="A1395" s="3" t="n">
        <v>4</v>
      </c>
      <c r="B1395" s="3" t="s">
        <v>619</v>
      </c>
      <c r="C1395" s="3" t="s">
        <v>101</v>
      </c>
      <c r="D1395" s="15" t="n">
        <v>8276.48</v>
      </c>
    </row>
    <row r="1396" customFormat="false" ht="15" hidden="false" customHeight="false" outlineLevel="0" collapsed="false">
      <c r="A1396" s="3" t="n">
        <v>4</v>
      </c>
      <c r="B1396" s="3" t="s">
        <v>619</v>
      </c>
      <c r="C1396" s="3" t="s">
        <v>102</v>
      </c>
      <c r="D1396" s="15" t="n">
        <v>17217.95</v>
      </c>
    </row>
    <row r="1397" customFormat="false" ht="15" hidden="false" customHeight="false" outlineLevel="0" collapsed="false">
      <c r="A1397" s="3" t="n">
        <v>4</v>
      </c>
      <c r="B1397" s="3" t="s">
        <v>620</v>
      </c>
      <c r="C1397" s="3" t="s">
        <v>101</v>
      </c>
      <c r="D1397" s="15" t="n">
        <v>3979.45</v>
      </c>
    </row>
    <row r="1398" customFormat="false" ht="15" hidden="false" customHeight="false" outlineLevel="0" collapsed="false">
      <c r="A1398" s="3" t="n">
        <v>4</v>
      </c>
      <c r="B1398" s="3" t="s">
        <v>620</v>
      </c>
      <c r="C1398" s="3" t="s">
        <v>102</v>
      </c>
      <c r="D1398" s="15" t="n">
        <v>19.1</v>
      </c>
    </row>
    <row r="1399" customFormat="false" ht="15" hidden="false" customHeight="false" outlineLevel="0" collapsed="false">
      <c r="A1399" s="3" t="n">
        <v>4</v>
      </c>
      <c r="B1399" s="3" t="s">
        <v>621</v>
      </c>
      <c r="C1399" s="3" t="s">
        <v>101</v>
      </c>
      <c r="D1399" s="15" t="n">
        <v>517.28</v>
      </c>
    </row>
    <row r="1400" customFormat="false" ht="15" hidden="false" customHeight="false" outlineLevel="0" collapsed="false">
      <c r="A1400" s="3" t="n">
        <v>4</v>
      </c>
      <c r="B1400" s="3" t="s">
        <v>621</v>
      </c>
      <c r="C1400" s="3" t="s">
        <v>102</v>
      </c>
      <c r="D1400" s="15" t="n">
        <v>177</v>
      </c>
    </row>
    <row r="1401" customFormat="false" ht="15" hidden="false" customHeight="false" outlineLevel="0" collapsed="false">
      <c r="A1401" s="3" t="n">
        <v>4</v>
      </c>
      <c r="B1401" s="3" t="s">
        <v>622</v>
      </c>
      <c r="C1401" s="3" t="s">
        <v>101</v>
      </c>
      <c r="D1401" s="15" t="n">
        <v>11634.03</v>
      </c>
    </row>
    <row r="1402" customFormat="false" ht="15" hidden="false" customHeight="false" outlineLevel="0" collapsed="false">
      <c r="A1402" s="3" t="n">
        <v>4</v>
      </c>
      <c r="B1402" s="3" t="s">
        <v>622</v>
      </c>
      <c r="C1402" s="3" t="s">
        <v>102</v>
      </c>
      <c r="D1402" s="15" t="n">
        <v>276.2</v>
      </c>
    </row>
    <row r="1403" customFormat="false" ht="15" hidden="false" customHeight="false" outlineLevel="0" collapsed="false">
      <c r="A1403" s="3" t="n">
        <v>4</v>
      </c>
      <c r="B1403" s="3" t="s">
        <v>623</v>
      </c>
      <c r="C1403" s="3" t="s">
        <v>101</v>
      </c>
      <c r="D1403" s="15" t="n">
        <v>10798.22</v>
      </c>
    </row>
    <row r="1404" customFormat="false" ht="15" hidden="false" customHeight="false" outlineLevel="0" collapsed="false">
      <c r="A1404" s="3" t="n">
        <v>4</v>
      </c>
      <c r="B1404" s="3" t="s">
        <v>623</v>
      </c>
      <c r="C1404" s="3" t="s">
        <v>103</v>
      </c>
      <c r="D1404" s="15" t="n">
        <v>-3657.38</v>
      </c>
    </row>
    <row r="1405" customFormat="false" ht="15" hidden="false" customHeight="false" outlineLevel="0" collapsed="false">
      <c r="A1405" s="3" t="n">
        <v>4</v>
      </c>
      <c r="B1405" s="3" t="s">
        <v>623</v>
      </c>
      <c r="C1405" s="3" t="s">
        <v>102</v>
      </c>
      <c r="D1405" s="15" t="n">
        <v>50135.03</v>
      </c>
    </row>
    <row r="1406" customFormat="false" ht="15" hidden="false" customHeight="false" outlineLevel="0" collapsed="false">
      <c r="A1406" s="3" t="n">
        <v>4</v>
      </c>
      <c r="B1406" s="3" t="s">
        <v>624</v>
      </c>
      <c r="C1406" s="3" t="s">
        <v>101</v>
      </c>
      <c r="D1406" s="15" t="n">
        <v>1241.46</v>
      </c>
    </row>
    <row r="1407" customFormat="false" ht="15" hidden="false" customHeight="false" outlineLevel="0" collapsed="false">
      <c r="A1407" s="3" t="n">
        <v>4</v>
      </c>
      <c r="B1407" s="3" t="s">
        <v>624</v>
      </c>
      <c r="C1407" s="3" t="s">
        <v>102</v>
      </c>
      <c r="D1407" s="15" t="n">
        <v>5104.05</v>
      </c>
    </row>
    <row r="1408" customFormat="false" ht="15" hidden="false" customHeight="false" outlineLevel="0" collapsed="false">
      <c r="A1408" s="3" t="n">
        <v>4</v>
      </c>
      <c r="B1408" s="3" t="s">
        <v>625</v>
      </c>
      <c r="C1408" s="3" t="s">
        <v>101</v>
      </c>
      <c r="D1408" s="15" t="n">
        <v>31512.8</v>
      </c>
    </row>
    <row r="1409" customFormat="false" ht="15" hidden="false" customHeight="false" outlineLevel="0" collapsed="false">
      <c r="A1409" s="3" t="n">
        <v>4</v>
      </c>
      <c r="B1409" s="3" t="s">
        <v>625</v>
      </c>
      <c r="C1409" s="3" t="s">
        <v>102</v>
      </c>
      <c r="D1409" s="15" t="n">
        <v>1334</v>
      </c>
    </row>
    <row r="1410" customFormat="false" ht="15" hidden="false" customHeight="false" outlineLevel="0" collapsed="false">
      <c r="A1410" s="3" t="n">
        <v>4</v>
      </c>
      <c r="B1410" s="3" t="s">
        <v>626</v>
      </c>
      <c r="C1410" s="3" t="s">
        <v>102</v>
      </c>
      <c r="D1410" s="15" t="n">
        <v>3332.52</v>
      </c>
    </row>
    <row r="1411" customFormat="false" ht="15" hidden="false" customHeight="false" outlineLevel="0" collapsed="false">
      <c r="A1411" s="3" t="n">
        <v>4</v>
      </c>
      <c r="B1411" s="3" t="s">
        <v>627</v>
      </c>
      <c r="C1411" s="3" t="s">
        <v>102</v>
      </c>
      <c r="D1411" s="15" t="n">
        <v>24247.13</v>
      </c>
    </row>
    <row r="1412" customFormat="false" ht="15" hidden="false" customHeight="false" outlineLevel="0" collapsed="false">
      <c r="A1412" s="3" t="n">
        <v>4</v>
      </c>
      <c r="B1412" s="3" t="s">
        <v>628</v>
      </c>
      <c r="C1412" s="3" t="s">
        <v>101</v>
      </c>
      <c r="D1412" s="15" t="n">
        <v>187191.74</v>
      </c>
    </row>
    <row r="1413" customFormat="false" ht="15" hidden="false" customHeight="false" outlineLevel="0" collapsed="false">
      <c r="A1413" s="3" t="n">
        <v>4</v>
      </c>
      <c r="B1413" s="3" t="s">
        <v>628</v>
      </c>
      <c r="C1413" s="3" t="s">
        <v>103</v>
      </c>
      <c r="D1413" s="15" t="n">
        <v>-527.3</v>
      </c>
    </row>
    <row r="1414" customFormat="false" ht="15" hidden="false" customHeight="false" outlineLevel="0" collapsed="false">
      <c r="A1414" s="3" t="n">
        <v>4</v>
      </c>
      <c r="B1414" s="3" t="s">
        <v>628</v>
      </c>
      <c r="C1414" s="3" t="s">
        <v>102</v>
      </c>
      <c r="D1414" s="15" t="n">
        <v>9261</v>
      </c>
    </row>
    <row r="1415" customFormat="false" ht="15" hidden="false" customHeight="false" outlineLevel="0" collapsed="false">
      <c r="A1415" s="3" t="n">
        <v>4</v>
      </c>
      <c r="B1415" s="3" t="s">
        <v>629</v>
      </c>
      <c r="C1415" s="3" t="s">
        <v>101</v>
      </c>
      <c r="D1415" s="15" t="n">
        <v>5387.4</v>
      </c>
    </row>
    <row r="1416" customFormat="false" ht="15" hidden="false" customHeight="false" outlineLevel="0" collapsed="false">
      <c r="A1416" s="3" t="n">
        <v>4</v>
      </c>
      <c r="B1416" s="3" t="s">
        <v>629</v>
      </c>
      <c r="C1416" s="3" t="s">
        <v>102</v>
      </c>
      <c r="D1416" s="15" t="n">
        <v>2128.53</v>
      </c>
    </row>
    <row r="1417" customFormat="false" ht="15" hidden="false" customHeight="false" outlineLevel="0" collapsed="false">
      <c r="A1417" s="3" t="n">
        <v>5</v>
      </c>
      <c r="B1417" s="3" t="s">
        <v>630</v>
      </c>
      <c r="C1417" s="3" t="s">
        <v>103</v>
      </c>
      <c r="D1417" s="15" t="n">
        <v>-28114.21</v>
      </c>
    </row>
    <row r="1418" customFormat="false" ht="15" hidden="false" customHeight="false" outlineLevel="0" collapsed="false">
      <c r="A1418" s="3" t="n">
        <v>5</v>
      </c>
      <c r="B1418" s="3" t="s">
        <v>630</v>
      </c>
      <c r="C1418" s="3" t="s">
        <v>102</v>
      </c>
      <c r="D1418" s="15" t="n">
        <v>1613.78</v>
      </c>
    </row>
    <row r="1419" customFormat="false" ht="15" hidden="false" customHeight="false" outlineLevel="0" collapsed="false">
      <c r="A1419" s="3" t="n">
        <v>5</v>
      </c>
      <c r="B1419" s="3" t="s">
        <v>630</v>
      </c>
      <c r="C1419" s="3" t="s">
        <v>100</v>
      </c>
      <c r="D1419" s="15" t="n">
        <v>158702.92</v>
      </c>
    </row>
    <row r="1420" customFormat="false" ht="15" hidden="false" customHeight="false" outlineLevel="0" collapsed="false">
      <c r="A1420" s="3" t="n">
        <v>5</v>
      </c>
      <c r="B1420" s="3" t="s">
        <v>630</v>
      </c>
      <c r="C1420" s="3" t="s">
        <v>99</v>
      </c>
      <c r="D1420" s="15" t="n">
        <v>37570.92</v>
      </c>
    </row>
    <row r="1421" customFormat="false" ht="15" hidden="false" customHeight="false" outlineLevel="0" collapsed="false">
      <c r="A1421" s="3" t="n">
        <v>5</v>
      </c>
      <c r="B1421" s="3" t="s">
        <v>630</v>
      </c>
      <c r="C1421" s="3" t="s">
        <v>98</v>
      </c>
      <c r="D1421" s="15" t="n">
        <v>239614.53</v>
      </c>
    </row>
    <row r="1422" customFormat="false" ht="15" hidden="false" customHeight="false" outlineLevel="0" collapsed="false">
      <c r="A1422" s="3" t="n">
        <v>5</v>
      </c>
      <c r="B1422" s="3" t="s">
        <v>630</v>
      </c>
      <c r="C1422" s="3" t="s">
        <v>82</v>
      </c>
      <c r="D1422" s="15" t="n">
        <v>144575.33</v>
      </c>
    </row>
    <row r="1423" customFormat="false" ht="15" hidden="false" customHeight="false" outlineLevel="0" collapsed="false">
      <c r="A1423" s="3" t="n">
        <v>5</v>
      </c>
      <c r="B1423" s="3" t="s">
        <v>631</v>
      </c>
      <c r="C1423" s="3" t="s">
        <v>103</v>
      </c>
      <c r="D1423" s="15" t="n">
        <v>-4375.36</v>
      </c>
    </row>
    <row r="1424" customFormat="false" ht="15" hidden="false" customHeight="false" outlineLevel="0" collapsed="false">
      <c r="A1424" s="3" t="n">
        <v>5</v>
      </c>
      <c r="B1424" s="3" t="s">
        <v>631</v>
      </c>
      <c r="C1424" s="3" t="s">
        <v>100</v>
      </c>
      <c r="D1424" s="15" t="n">
        <v>32192.95</v>
      </c>
    </row>
    <row r="1425" customFormat="false" ht="15" hidden="false" customHeight="false" outlineLevel="0" collapsed="false">
      <c r="A1425" s="3" t="n">
        <v>5</v>
      </c>
      <c r="B1425" s="3" t="s">
        <v>631</v>
      </c>
      <c r="C1425" s="3" t="s">
        <v>99</v>
      </c>
      <c r="D1425" s="15" t="n">
        <v>4049.56</v>
      </c>
    </row>
    <row r="1426" customFormat="false" ht="15" hidden="false" customHeight="false" outlineLevel="0" collapsed="false">
      <c r="A1426" s="3" t="n">
        <v>5</v>
      </c>
      <c r="B1426" s="3" t="s">
        <v>631</v>
      </c>
      <c r="C1426" s="3" t="s">
        <v>98</v>
      </c>
      <c r="D1426" s="15" t="n">
        <v>49139.59</v>
      </c>
    </row>
    <row r="1427" customFormat="false" ht="15" hidden="false" customHeight="false" outlineLevel="0" collapsed="false">
      <c r="A1427" s="3" t="n">
        <v>5</v>
      </c>
      <c r="B1427" s="3" t="s">
        <v>631</v>
      </c>
      <c r="C1427" s="3" t="s">
        <v>82</v>
      </c>
      <c r="D1427" s="15" t="n">
        <v>28567.08</v>
      </c>
    </row>
    <row r="1428" customFormat="false" ht="15" hidden="false" customHeight="false" outlineLevel="0" collapsed="false">
      <c r="A1428" s="3" t="n">
        <v>5</v>
      </c>
      <c r="B1428" s="3" t="s">
        <v>632</v>
      </c>
      <c r="C1428" s="3" t="s">
        <v>103</v>
      </c>
      <c r="D1428" s="15" t="n">
        <v>-167.08</v>
      </c>
    </row>
    <row r="1429" customFormat="false" ht="15" hidden="false" customHeight="false" outlineLevel="0" collapsed="false">
      <c r="A1429" s="3" t="n">
        <v>5</v>
      </c>
      <c r="B1429" s="3" t="s">
        <v>632</v>
      </c>
      <c r="C1429" s="3" t="s">
        <v>100</v>
      </c>
      <c r="D1429" s="15" t="n">
        <v>977.29</v>
      </c>
    </row>
    <row r="1430" customFormat="false" ht="15" hidden="false" customHeight="false" outlineLevel="0" collapsed="false">
      <c r="A1430" s="3" t="n">
        <v>5</v>
      </c>
      <c r="B1430" s="3" t="s">
        <v>632</v>
      </c>
      <c r="C1430" s="3" t="s">
        <v>99</v>
      </c>
      <c r="D1430" s="15" t="n">
        <v>29.48</v>
      </c>
    </row>
    <row r="1431" customFormat="false" ht="15" hidden="false" customHeight="false" outlineLevel="0" collapsed="false">
      <c r="A1431" s="3" t="n">
        <v>5</v>
      </c>
      <c r="B1431" s="3" t="s">
        <v>632</v>
      </c>
      <c r="C1431" s="3" t="s">
        <v>98</v>
      </c>
      <c r="D1431" s="15" t="n">
        <v>1707</v>
      </c>
    </row>
    <row r="1432" customFormat="false" ht="15" hidden="false" customHeight="false" outlineLevel="0" collapsed="false">
      <c r="A1432" s="3" t="n">
        <v>5</v>
      </c>
      <c r="B1432" s="3" t="s">
        <v>632</v>
      </c>
      <c r="C1432" s="3" t="s">
        <v>82</v>
      </c>
      <c r="D1432" s="15" t="n">
        <v>907.81</v>
      </c>
    </row>
    <row r="1433" customFormat="false" ht="15" hidden="false" customHeight="false" outlineLevel="0" collapsed="false">
      <c r="A1433" s="3" t="n">
        <v>5</v>
      </c>
      <c r="B1433" s="3" t="s">
        <v>633</v>
      </c>
      <c r="C1433" s="3" t="s">
        <v>103</v>
      </c>
      <c r="D1433" s="15" t="n">
        <v>-2210.28</v>
      </c>
    </row>
    <row r="1434" customFormat="false" ht="15" hidden="false" customHeight="false" outlineLevel="0" collapsed="false">
      <c r="A1434" s="3" t="n">
        <v>5</v>
      </c>
      <c r="B1434" s="3" t="s">
        <v>633</v>
      </c>
      <c r="C1434" s="3" t="s">
        <v>100</v>
      </c>
      <c r="D1434" s="15" t="n">
        <v>6352.54</v>
      </c>
    </row>
    <row r="1435" customFormat="false" ht="15" hidden="false" customHeight="false" outlineLevel="0" collapsed="false">
      <c r="A1435" s="3" t="n">
        <v>5</v>
      </c>
      <c r="B1435" s="3" t="s">
        <v>633</v>
      </c>
      <c r="C1435" s="3" t="s">
        <v>99</v>
      </c>
      <c r="D1435" s="15" t="n">
        <v>283.26</v>
      </c>
    </row>
    <row r="1436" customFormat="false" ht="15" hidden="false" customHeight="false" outlineLevel="0" collapsed="false">
      <c r="A1436" s="3" t="n">
        <v>5</v>
      </c>
      <c r="B1436" s="3" t="s">
        <v>633</v>
      </c>
      <c r="C1436" s="3" t="s">
        <v>98</v>
      </c>
      <c r="D1436" s="15" t="n">
        <v>11238.92</v>
      </c>
    </row>
    <row r="1437" customFormat="false" ht="15" hidden="false" customHeight="false" outlineLevel="0" collapsed="false">
      <c r="A1437" s="3" t="n">
        <v>5</v>
      </c>
      <c r="B1437" s="3" t="s">
        <v>633</v>
      </c>
      <c r="C1437" s="3" t="s">
        <v>82</v>
      </c>
      <c r="D1437" s="15" t="n">
        <v>5718.21</v>
      </c>
    </row>
    <row r="1438" customFormat="false" ht="15" hidden="false" customHeight="false" outlineLevel="0" collapsed="false">
      <c r="A1438" s="3" t="n">
        <v>5</v>
      </c>
      <c r="B1438" s="3" t="s">
        <v>634</v>
      </c>
      <c r="C1438" s="3" t="s">
        <v>103</v>
      </c>
      <c r="D1438" s="15" t="n">
        <v>-10102.09</v>
      </c>
    </row>
    <row r="1439" customFormat="false" ht="15" hidden="false" customHeight="false" outlineLevel="0" collapsed="false">
      <c r="A1439" s="3" t="n">
        <v>5</v>
      </c>
      <c r="B1439" s="3" t="s">
        <v>634</v>
      </c>
      <c r="C1439" s="3" t="s">
        <v>100</v>
      </c>
      <c r="D1439" s="15" t="n">
        <v>54229.67</v>
      </c>
    </row>
    <row r="1440" customFormat="false" ht="15" hidden="false" customHeight="false" outlineLevel="0" collapsed="false">
      <c r="A1440" s="3" t="n">
        <v>5</v>
      </c>
      <c r="B1440" s="3" t="s">
        <v>634</v>
      </c>
      <c r="C1440" s="3" t="s">
        <v>99</v>
      </c>
      <c r="D1440" s="15" t="n">
        <v>12241.97</v>
      </c>
    </row>
    <row r="1441" customFormat="false" ht="15" hidden="false" customHeight="false" outlineLevel="0" collapsed="false">
      <c r="A1441" s="3" t="n">
        <v>5</v>
      </c>
      <c r="B1441" s="3" t="s">
        <v>634</v>
      </c>
      <c r="C1441" s="3" t="s">
        <v>98</v>
      </c>
      <c r="D1441" s="15" t="n">
        <v>79625.19</v>
      </c>
    </row>
    <row r="1442" customFormat="false" ht="15" hidden="false" customHeight="false" outlineLevel="0" collapsed="false">
      <c r="A1442" s="3" t="n">
        <v>5</v>
      </c>
      <c r="B1442" s="3" t="s">
        <v>634</v>
      </c>
      <c r="C1442" s="3" t="s">
        <v>82</v>
      </c>
      <c r="D1442" s="15" t="n">
        <v>48489.64</v>
      </c>
    </row>
    <row r="1443" customFormat="false" ht="15" hidden="false" customHeight="false" outlineLevel="0" collapsed="false">
      <c r="A1443" s="3" t="n">
        <v>5</v>
      </c>
      <c r="B1443" s="3" t="s">
        <v>635</v>
      </c>
      <c r="C1443" s="3" t="s">
        <v>103</v>
      </c>
      <c r="D1443" s="15" t="n">
        <v>-247.16</v>
      </c>
    </row>
    <row r="1444" customFormat="false" ht="15" hidden="false" customHeight="false" outlineLevel="0" collapsed="false">
      <c r="A1444" s="3" t="n">
        <v>5</v>
      </c>
      <c r="B1444" s="3" t="s">
        <v>635</v>
      </c>
      <c r="C1444" s="3" t="s">
        <v>100</v>
      </c>
      <c r="D1444" s="15" t="n">
        <v>1241.79</v>
      </c>
    </row>
    <row r="1445" customFormat="false" ht="15" hidden="false" customHeight="false" outlineLevel="0" collapsed="false">
      <c r="A1445" s="3" t="n">
        <v>5</v>
      </c>
      <c r="B1445" s="3" t="s">
        <v>635</v>
      </c>
      <c r="C1445" s="3" t="s">
        <v>99</v>
      </c>
      <c r="D1445" s="15" t="n">
        <v>61.67</v>
      </c>
    </row>
    <row r="1446" customFormat="false" ht="15" hidden="false" customHeight="false" outlineLevel="0" collapsed="false">
      <c r="A1446" s="3" t="n">
        <v>5</v>
      </c>
      <c r="B1446" s="3" t="s">
        <v>635</v>
      </c>
      <c r="C1446" s="3" t="s">
        <v>98</v>
      </c>
      <c r="D1446" s="15" t="n">
        <v>2048.4</v>
      </c>
    </row>
    <row r="1447" customFormat="false" ht="15" hidden="false" customHeight="false" outlineLevel="0" collapsed="false">
      <c r="A1447" s="3" t="n">
        <v>5</v>
      </c>
      <c r="B1447" s="3" t="s">
        <v>635</v>
      </c>
      <c r="C1447" s="3" t="s">
        <v>82</v>
      </c>
      <c r="D1447" s="15" t="n">
        <v>1113.27</v>
      </c>
    </row>
    <row r="1448" customFormat="false" ht="15" hidden="false" customHeight="false" outlineLevel="0" collapsed="false">
      <c r="A1448" s="3" t="n">
        <v>5</v>
      </c>
      <c r="B1448" s="3" t="s">
        <v>636</v>
      </c>
      <c r="C1448" s="3" t="s">
        <v>103</v>
      </c>
      <c r="D1448" s="15" t="n">
        <v>-439.73</v>
      </c>
    </row>
    <row r="1449" customFormat="false" ht="15" hidden="false" customHeight="false" outlineLevel="0" collapsed="false">
      <c r="A1449" s="3" t="n">
        <v>5</v>
      </c>
      <c r="B1449" s="3" t="s">
        <v>636</v>
      </c>
      <c r="C1449" s="3" t="s">
        <v>100</v>
      </c>
      <c r="D1449" s="15" t="n">
        <v>2568.88</v>
      </c>
    </row>
    <row r="1450" customFormat="false" ht="15" hidden="false" customHeight="false" outlineLevel="0" collapsed="false">
      <c r="A1450" s="3" t="n">
        <v>5</v>
      </c>
      <c r="B1450" s="3" t="s">
        <v>636</v>
      </c>
      <c r="C1450" s="3" t="s">
        <v>99</v>
      </c>
      <c r="D1450" s="15" t="n">
        <v>424.95</v>
      </c>
    </row>
    <row r="1451" customFormat="false" ht="15" hidden="false" customHeight="false" outlineLevel="0" collapsed="false">
      <c r="A1451" s="3" t="n">
        <v>5</v>
      </c>
      <c r="B1451" s="3" t="s">
        <v>636</v>
      </c>
      <c r="C1451" s="3" t="s">
        <v>98</v>
      </c>
      <c r="D1451" s="15" t="n">
        <v>3890.4</v>
      </c>
    </row>
    <row r="1452" customFormat="false" ht="15" hidden="false" customHeight="false" outlineLevel="0" collapsed="false">
      <c r="A1452" s="3" t="n">
        <v>5</v>
      </c>
      <c r="B1452" s="3" t="s">
        <v>636</v>
      </c>
      <c r="C1452" s="3" t="s">
        <v>82</v>
      </c>
      <c r="D1452" s="15" t="n">
        <v>2297.6</v>
      </c>
    </row>
    <row r="1453" customFormat="false" ht="15" hidden="false" customHeight="false" outlineLevel="0" collapsed="false">
      <c r="A1453" s="3" t="n">
        <v>5</v>
      </c>
      <c r="B1453" s="3" t="s">
        <v>637</v>
      </c>
      <c r="C1453" s="3" t="s">
        <v>103</v>
      </c>
      <c r="D1453" s="15" t="n">
        <v>-240.46</v>
      </c>
    </row>
    <row r="1454" customFormat="false" ht="15" hidden="false" customHeight="false" outlineLevel="0" collapsed="false">
      <c r="A1454" s="3" t="n">
        <v>5</v>
      </c>
      <c r="B1454" s="3" t="s">
        <v>637</v>
      </c>
      <c r="C1454" s="3" t="s">
        <v>100</v>
      </c>
      <c r="D1454" s="15" t="n">
        <v>704.62</v>
      </c>
    </row>
    <row r="1455" customFormat="false" ht="15" hidden="false" customHeight="false" outlineLevel="0" collapsed="false">
      <c r="A1455" s="3" t="n">
        <v>5</v>
      </c>
      <c r="B1455" s="3" t="s">
        <v>637</v>
      </c>
      <c r="C1455" s="3" t="s">
        <v>99</v>
      </c>
      <c r="D1455" s="15" t="n">
        <v>18.46</v>
      </c>
    </row>
    <row r="1456" customFormat="false" ht="15" hidden="false" customHeight="false" outlineLevel="0" collapsed="false">
      <c r="A1456" s="3" t="n">
        <v>5</v>
      </c>
      <c r="B1456" s="3" t="s">
        <v>637</v>
      </c>
      <c r="C1456" s="3" t="s">
        <v>98</v>
      </c>
      <c r="D1456" s="15" t="n">
        <v>1081.1</v>
      </c>
    </row>
    <row r="1457" customFormat="false" ht="15" hidden="false" customHeight="false" outlineLevel="0" collapsed="false">
      <c r="A1457" s="3" t="n">
        <v>5</v>
      </c>
      <c r="B1457" s="3" t="s">
        <v>637</v>
      </c>
      <c r="C1457" s="3" t="s">
        <v>82</v>
      </c>
      <c r="D1457" s="15" t="n">
        <v>575.28</v>
      </c>
    </row>
    <row r="1458" customFormat="false" ht="15" hidden="false" customHeight="false" outlineLevel="0" collapsed="false">
      <c r="A1458" s="3" t="n">
        <v>5</v>
      </c>
      <c r="B1458" s="3" t="s">
        <v>638</v>
      </c>
      <c r="C1458" s="3" t="s">
        <v>103</v>
      </c>
      <c r="D1458" s="15" t="n">
        <v>-162.91</v>
      </c>
    </row>
    <row r="1459" customFormat="false" ht="15" hidden="false" customHeight="false" outlineLevel="0" collapsed="false">
      <c r="A1459" s="3" t="n">
        <v>5</v>
      </c>
      <c r="B1459" s="3" t="s">
        <v>638</v>
      </c>
      <c r="C1459" s="3" t="s">
        <v>100</v>
      </c>
      <c r="D1459" s="15" t="n">
        <v>911.74</v>
      </c>
    </row>
    <row r="1460" customFormat="false" ht="15" hidden="false" customHeight="false" outlineLevel="0" collapsed="false">
      <c r="A1460" s="3" t="n">
        <v>5</v>
      </c>
      <c r="B1460" s="3" t="s">
        <v>638</v>
      </c>
      <c r="C1460" s="3" t="s">
        <v>98</v>
      </c>
      <c r="D1460" s="15" t="n">
        <v>1621</v>
      </c>
    </row>
    <row r="1461" customFormat="false" ht="15" hidden="false" customHeight="false" outlineLevel="0" collapsed="false">
      <c r="A1461" s="3" t="n">
        <v>5</v>
      </c>
      <c r="B1461" s="3" t="s">
        <v>638</v>
      </c>
      <c r="C1461" s="3" t="s">
        <v>82</v>
      </c>
      <c r="D1461" s="15" t="n">
        <v>845.74</v>
      </c>
    </row>
    <row r="1462" customFormat="false" ht="15" hidden="false" customHeight="false" outlineLevel="0" collapsed="false">
      <c r="A1462" s="3" t="n">
        <v>5</v>
      </c>
      <c r="B1462" s="3" t="s">
        <v>639</v>
      </c>
      <c r="C1462" s="3" t="s">
        <v>103</v>
      </c>
      <c r="D1462" s="15" t="n">
        <v>-799.6</v>
      </c>
    </row>
    <row r="1463" customFormat="false" ht="15" hidden="false" customHeight="false" outlineLevel="0" collapsed="false">
      <c r="A1463" s="3" t="n">
        <v>5</v>
      </c>
      <c r="B1463" s="3" t="s">
        <v>639</v>
      </c>
      <c r="C1463" s="3" t="s">
        <v>100</v>
      </c>
      <c r="D1463" s="15" t="n">
        <v>4218.3</v>
      </c>
    </row>
    <row r="1464" customFormat="false" ht="15" hidden="false" customHeight="false" outlineLevel="0" collapsed="false">
      <c r="A1464" s="3" t="n">
        <v>5</v>
      </c>
      <c r="B1464" s="3" t="s">
        <v>639</v>
      </c>
      <c r="C1464" s="3" t="s">
        <v>99</v>
      </c>
      <c r="D1464" s="15" t="n">
        <v>121.25</v>
      </c>
    </row>
    <row r="1465" customFormat="false" ht="15" hidden="false" customHeight="false" outlineLevel="0" collapsed="false">
      <c r="A1465" s="3" t="n">
        <v>5</v>
      </c>
      <c r="B1465" s="3" t="s">
        <v>639</v>
      </c>
      <c r="C1465" s="3" t="s">
        <v>98</v>
      </c>
      <c r="D1465" s="15" t="n">
        <v>7283.2</v>
      </c>
    </row>
    <row r="1466" customFormat="false" ht="15" hidden="false" customHeight="false" outlineLevel="0" collapsed="false">
      <c r="A1466" s="3" t="n">
        <v>5</v>
      </c>
      <c r="B1466" s="3" t="s">
        <v>639</v>
      </c>
      <c r="C1466" s="3" t="s">
        <v>82</v>
      </c>
      <c r="D1466" s="15" t="n">
        <v>3868.69</v>
      </c>
    </row>
    <row r="1467" customFormat="false" ht="15" hidden="false" customHeight="false" outlineLevel="0" collapsed="false">
      <c r="A1467" s="3" t="n">
        <v>5</v>
      </c>
      <c r="B1467" s="3" t="s">
        <v>640</v>
      </c>
      <c r="C1467" s="3" t="s">
        <v>103</v>
      </c>
      <c r="D1467" s="15" t="n">
        <v>-1567.67</v>
      </c>
    </row>
    <row r="1468" customFormat="false" ht="15" hidden="false" customHeight="false" outlineLevel="0" collapsed="false">
      <c r="A1468" s="3" t="n">
        <v>5</v>
      </c>
      <c r="B1468" s="3" t="s">
        <v>640</v>
      </c>
      <c r="C1468" s="3" t="s">
        <v>100</v>
      </c>
      <c r="D1468" s="15" t="n">
        <v>4110.68</v>
      </c>
    </row>
    <row r="1469" customFormat="false" ht="15" hidden="false" customHeight="false" outlineLevel="0" collapsed="false">
      <c r="A1469" s="3" t="n">
        <v>5</v>
      </c>
      <c r="B1469" s="3" t="s">
        <v>640</v>
      </c>
      <c r="C1469" s="3" t="s">
        <v>99</v>
      </c>
      <c r="D1469" s="15" t="n">
        <v>66.64</v>
      </c>
    </row>
    <row r="1470" customFormat="false" ht="15" hidden="false" customHeight="false" outlineLevel="0" collapsed="false">
      <c r="A1470" s="3" t="n">
        <v>5</v>
      </c>
      <c r="B1470" s="3" t="s">
        <v>640</v>
      </c>
      <c r="C1470" s="3" t="s">
        <v>98</v>
      </c>
      <c r="D1470" s="15" t="n">
        <v>6700.13</v>
      </c>
    </row>
    <row r="1471" customFormat="false" ht="15" hidden="false" customHeight="false" outlineLevel="0" collapsed="false">
      <c r="A1471" s="3" t="n">
        <v>5</v>
      </c>
      <c r="B1471" s="3" t="s">
        <v>640</v>
      </c>
      <c r="C1471" s="3" t="s">
        <v>82</v>
      </c>
      <c r="D1471" s="15" t="n">
        <v>3455.7</v>
      </c>
    </row>
    <row r="1472" customFormat="false" ht="15" hidden="false" customHeight="false" outlineLevel="0" collapsed="false">
      <c r="A1472" s="3" t="n">
        <v>5</v>
      </c>
      <c r="B1472" s="3" t="s">
        <v>641</v>
      </c>
      <c r="C1472" s="3" t="s">
        <v>103</v>
      </c>
      <c r="D1472" s="15" t="n">
        <v>-161.92</v>
      </c>
    </row>
    <row r="1473" customFormat="false" ht="15" hidden="false" customHeight="false" outlineLevel="0" collapsed="false">
      <c r="A1473" s="3" t="n">
        <v>5</v>
      </c>
      <c r="B1473" s="3" t="s">
        <v>641</v>
      </c>
      <c r="C1473" s="3" t="s">
        <v>100</v>
      </c>
      <c r="D1473" s="15" t="n">
        <v>1119.57</v>
      </c>
    </row>
    <row r="1474" customFormat="false" ht="15" hidden="false" customHeight="false" outlineLevel="0" collapsed="false">
      <c r="A1474" s="3" t="n">
        <v>5</v>
      </c>
      <c r="B1474" s="3" t="s">
        <v>641</v>
      </c>
      <c r="C1474" s="3" t="s">
        <v>99</v>
      </c>
      <c r="D1474" s="15" t="n">
        <v>368.28</v>
      </c>
    </row>
    <row r="1475" customFormat="false" ht="15" hidden="false" customHeight="false" outlineLevel="0" collapsed="false">
      <c r="A1475" s="3" t="n">
        <v>5</v>
      </c>
      <c r="B1475" s="3" t="s">
        <v>641</v>
      </c>
      <c r="C1475" s="3" t="s">
        <v>98</v>
      </c>
      <c r="D1475" s="15" t="n">
        <v>1621</v>
      </c>
    </row>
    <row r="1476" customFormat="false" ht="15" hidden="false" customHeight="false" outlineLevel="0" collapsed="false">
      <c r="A1476" s="3" t="n">
        <v>5</v>
      </c>
      <c r="B1476" s="3" t="s">
        <v>641</v>
      </c>
      <c r="C1476" s="3" t="s">
        <v>82</v>
      </c>
      <c r="D1476" s="15" t="n">
        <v>1045.76</v>
      </c>
    </row>
    <row r="1477" customFormat="false" ht="15" hidden="false" customHeight="false" outlineLevel="0" collapsed="false">
      <c r="A1477" s="3" t="n">
        <v>5</v>
      </c>
      <c r="B1477" s="3" t="s">
        <v>642</v>
      </c>
      <c r="C1477" s="3" t="s">
        <v>103</v>
      </c>
      <c r="D1477" s="15" t="n">
        <v>-179.53</v>
      </c>
    </row>
    <row r="1478" customFormat="false" ht="15" hidden="false" customHeight="false" outlineLevel="0" collapsed="false">
      <c r="A1478" s="3" t="n">
        <v>5</v>
      </c>
      <c r="B1478" s="3" t="s">
        <v>642</v>
      </c>
      <c r="C1478" s="3" t="s">
        <v>100</v>
      </c>
      <c r="D1478" s="15" t="n">
        <v>971.89</v>
      </c>
    </row>
    <row r="1479" customFormat="false" ht="15" hidden="false" customHeight="false" outlineLevel="0" collapsed="false">
      <c r="A1479" s="3" t="n">
        <v>5</v>
      </c>
      <c r="B1479" s="3" t="s">
        <v>642</v>
      </c>
      <c r="C1479" s="3" t="s">
        <v>99</v>
      </c>
      <c r="D1479" s="15" t="n">
        <v>32.35</v>
      </c>
    </row>
    <row r="1480" customFormat="false" ht="15" hidden="false" customHeight="false" outlineLevel="0" collapsed="false">
      <c r="A1480" s="3" t="n">
        <v>5</v>
      </c>
      <c r="B1480" s="3" t="s">
        <v>642</v>
      </c>
      <c r="C1480" s="3" t="s">
        <v>98</v>
      </c>
      <c r="D1480" s="15" t="n">
        <v>1707</v>
      </c>
    </row>
    <row r="1481" customFormat="false" ht="15" hidden="false" customHeight="false" outlineLevel="0" collapsed="false">
      <c r="A1481" s="3" t="n">
        <v>5</v>
      </c>
      <c r="B1481" s="3" t="s">
        <v>642</v>
      </c>
      <c r="C1481" s="3" t="s">
        <v>82</v>
      </c>
      <c r="D1481" s="15" t="n">
        <v>902.63</v>
      </c>
    </row>
    <row r="1482" customFormat="false" ht="15" hidden="false" customHeight="false" outlineLevel="0" collapsed="false">
      <c r="A1482" s="3" t="n">
        <v>5</v>
      </c>
      <c r="B1482" s="3" t="s">
        <v>643</v>
      </c>
      <c r="C1482" s="3" t="s">
        <v>103</v>
      </c>
      <c r="D1482" s="15" t="n">
        <v>-199.36</v>
      </c>
    </row>
    <row r="1483" customFormat="false" ht="15" hidden="false" customHeight="false" outlineLevel="0" collapsed="false">
      <c r="A1483" s="3" t="n">
        <v>5</v>
      </c>
      <c r="B1483" s="3" t="s">
        <v>643</v>
      </c>
      <c r="C1483" s="3" t="s">
        <v>100</v>
      </c>
      <c r="D1483" s="15" t="n">
        <v>1198.58</v>
      </c>
    </row>
    <row r="1484" customFormat="false" ht="15" hidden="false" customHeight="false" outlineLevel="0" collapsed="false">
      <c r="A1484" s="3" t="n">
        <v>5</v>
      </c>
      <c r="B1484" s="3" t="s">
        <v>643</v>
      </c>
      <c r="C1484" s="3" t="s">
        <v>99</v>
      </c>
      <c r="D1484" s="15" t="n">
        <v>202.35</v>
      </c>
    </row>
    <row r="1485" customFormat="false" ht="15" hidden="false" customHeight="false" outlineLevel="0" collapsed="false">
      <c r="A1485" s="3" t="n">
        <v>5</v>
      </c>
      <c r="B1485" s="3" t="s">
        <v>643</v>
      </c>
      <c r="C1485" s="3" t="s">
        <v>98</v>
      </c>
      <c r="D1485" s="15" t="n">
        <v>1621</v>
      </c>
    </row>
    <row r="1486" customFormat="false" ht="15" hidden="false" customHeight="false" outlineLevel="0" collapsed="false">
      <c r="A1486" s="3" t="n">
        <v>5</v>
      </c>
      <c r="B1486" s="3" t="s">
        <v>643</v>
      </c>
      <c r="C1486" s="3" t="s">
        <v>82</v>
      </c>
      <c r="D1486" s="15" t="n">
        <v>1007.52</v>
      </c>
    </row>
    <row r="1487" customFormat="false" ht="15" hidden="false" customHeight="false" outlineLevel="0" collapsed="false">
      <c r="A1487" s="3" t="n">
        <v>5</v>
      </c>
      <c r="B1487" s="3" t="s">
        <v>644</v>
      </c>
      <c r="C1487" s="3" t="s">
        <v>103</v>
      </c>
      <c r="D1487" s="15" t="n">
        <v>-433.75</v>
      </c>
    </row>
    <row r="1488" customFormat="false" ht="15" hidden="false" customHeight="false" outlineLevel="0" collapsed="false">
      <c r="A1488" s="3" t="n">
        <v>5</v>
      </c>
      <c r="B1488" s="3" t="s">
        <v>644</v>
      </c>
      <c r="C1488" s="3" t="s">
        <v>100</v>
      </c>
      <c r="D1488" s="15" t="n">
        <v>1882.44</v>
      </c>
    </row>
    <row r="1489" customFormat="false" ht="15" hidden="false" customHeight="false" outlineLevel="0" collapsed="false">
      <c r="A1489" s="3" t="n">
        <v>5</v>
      </c>
      <c r="B1489" s="3" t="s">
        <v>644</v>
      </c>
      <c r="C1489" s="3" t="s">
        <v>99</v>
      </c>
      <c r="D1489" s="15" t="n">
        <v>17.09</v>
      </c>
    </row>
    <row r="1490" customFormat="false" ht="15" hidden="false" customHeight="false" outlineLevel="0" collapsed="false">
      <c r="A1490" s="3" t="n">
        <v>5</v>
      </c>
      <c r="B1490" s="3" t="s">
        <v>644</v>
      </c>
      <c r="C1490" s="3" t="s">
        <v>98</v>
      </c>
      <c r="D1490" s="15" t="n">
        <v>3242</v>
      </c>
    </row>
    <row r="1491" customFormat="false" ht="15" hidden="false" customHeight="false" outlineLevel="0" collapsed="false">
      <c r="A1491" s="3" t="n">
        <v>5</v>
      </c>
      <c r="B1491" s="3" t="s">
        <v>644</v>
      </c>
      <c r="C1491" s="3" t="s">
        <v>82</v>
      </c>
      <c r="D1491" s="15" t="n">
        <v>1686.96</v>
      </c>
    </row>
    <row r="1492" customFormat="false" ht="15" hidden="false" customHeight="false" outlineLevel="0" collapsed="false">
      <c r="A1492" s="3" t="n">
        <v>5</v>
      </c>
      <c r="B1492" s="3" t="s">
        <v>645</v>
      </c>
      <c r="C1492" s="3" t="s">
        <v>103</v>
      </c>
      <c r="D1492" s="15" t="n">
        <v>-77.59</v>
      </c>
    </row>
    <row r="1493" customFormat="false" ht="15" hidden="false" customHeight="false" outlineLevel="0" collapsed="false">
      <c r="A1493" s="3" t="n">
        <v>5</v>
      </c>
      <c r="B1493" s="3" t="s">
        <v>645</v>
      </c>
      <c r="C1493" s="3" t="s">
        <v>100</v>
      </c>
      <c r="D1493" s="15" t="n">
        <v>2888.58</v>
      </c>
    </row>
    <row r="1494" customFormat="false" ht="15" hidden="false" customHeight="false" outlineLevel="0" collapsed="false">
      <c r="A1494" s="3" t="n">
        <v>5</v>
      </c>
      <c r="B1494" s="3" t="s">
        <v>645</v>
      </c>
      <c r="C1494" s="3" t="s">
        <v>98</v>
      </c>
      <c r="D1494" s="15" t="n">
        <v>5132.53</v>
      </c>
    </row>
    <row r="1495" customFormat="false" ht="15" hidden="false" customHeight="false" outlineLevel="0" collapsed="false">
      <c r="A1495" s="3" t="n">
        <v>5</v>
      </c>
      <c r="B1495" s="3" t="s">
        <v>645</v>
      </c>
      <c r="C1495" s="3" t="s">
        <v>82</v>
      </c>
      <c r="D1495" s="15" t="n">
        <v>2764.8</v>
      </c>
    </row>
    <row r="1496" customFormat="false" ht="15" hidden="false" customHeight="false" outlineLevel="0" collapsed="false">
      <c r="A1496" s="3" t="n">
        <v>5</v>
      </c>
      <c r="B1496" s="3" t="s">
        <v>646</v>
      </c>
      <c r="C1496" s="3" t="s">
        <v>103</v>
      </c>
      <c r="D1496" s="15" t="n">
        <v>-551.37</v>
      </c>
    </row>
    <row r="1497" customFormat="false" ht="15" hidden="false" customHeight="false" outlineLevel="0" collapsed="false">
      <c r="A1497" s="3" t="n">
        <v>5</v>
      </c>
      <c r="B1497" s="3" t="s">
        <v>646</v>
      </c>
      <c r="C1497" s="3" t="s">
        <v>100</v>
      </c>
      <c r="D1497" s="15" t="n">
        <v>363.7</v>
      </c>
    </row>
    <row r="1498" customFormat="false" ht="15" hidden="false" customHeight="false" outlineLevel="0" collapsed="false">
      <c r="A1498" s="3" t="n">
        <v>5</v>
      </c>
      <c r="B1498" s="3" t="s">
        <v>646</v>
      </c>
      <c r="C1498" s="3" t="s">
        <v>98</v>
      </c>
      <c r="D1498" s="15" t="n">
        <v>270.16</v>
      </c>
    </row>
    <row r="1499" customFormat="false" ht="15" hidden="false" customHeight="false" outlineLevel="0" collapsed="false">
      <c r="A1499" s="3" t="n">
        <v>5</v>
      </c>
      <c r="B1499" s="3" t="s">
        <v>646</v>
      </c>
      <c r="C1499" s="3" t="s">
        <v>82</v>
      </c>
      <c r="D1499" s="15" t="n">
        <v>99.82</v>
      </c>
    </row>
    <row r="1500" customFormat="false" ht="15" hidden="false" customHeight="false" outlineLevel="0" collapsed="false">
      <c r="A1500" s="3" t="n">
        <v>5</v>
      </c>
      <c r="B1500" s="3" t="s">
        <v>647</v>
      </c>
      <c r="C1500" s="3" t="s">
        <v>103</v>
      </c>
      <c r="D1500" s="15" t="n">
        <v>-1056.84</v>
      </c>
    </row>
    <row r="1501" customFormat="false" ht="15" hidden="false" customHeight="false" outlineLevel="0" collapsed="false">
      <c r="A1501" s="3" t="n">
        <v>5</v>
      </c>
      <c r="B1501" s="3" t="s">
        <v>647</v>
      </c>
      <c r="C1501" s="3" t="s">
        <v>100</v>
      </c>
      <c r="D1501" s="15" t="n">
        <v>1967.23</v>
      </c>
    </row>
    <row r="1502" customFormat="false" ht="15" hidden="false" customHeight="false" outlineLevel="0" collapsed="false">
      <c r="A1502" s="3" t="n">
        <v>5</v>
      </c>
      <c r="B1502" s="3" t="s">
        <v>647</v>
      </c>
      <c r="C1502" s="3" t="s">
        <v>99</v>
      </c>
      <c r="D1502" s="15" t="n">
        <v>382.68</v>
      </c>
    </row>
    <row r="1503" customFormat="false" ht="15" hidden="false" customHeight="false" outlineLevel="0" collapsed="false">
      <c r="A1503" s="3" t="n">
        <v>5</v>
      </c>
      <c r="B1503" s="3" t="s">
        <v>647</v>
      </c>
      <c r="C1503" s="3" t="s">
        <v>98</v>
      </c>
      <c r="D1503" s="15" t="n">
        <v>1707</v>
      </c>
    </row>
    <row r="1504" customFormat="false" ht="15" hidden="false" customHeight="false" outlineLevel="0" collapsed="false">
      <c r="A1504" s="3" t="n">
        <v>5</v>
      </c>
      <c r="B1504" s="3" t="s">
        <v>647</v>
      </c>
      <c r="C1504" s="3" t="s">
        <v>82</v>
      </c>
      <c r="D1504" s="15" t="n">
        <v>1199.01</v>
      </c>
    </row>
    <row r="1505" customFormat="false" ht="15" hidden="false" customHeight="false" outlineLevel="0" collapsed="false">
      <c r="A1505" s="3" t="n">
        <v>5</v>
      </c>
      <c r="B1505" s="3" t="s">
        <v>648</v>
      </c>
      <c r="C1505" s="3" t="s">
        <v>103</v>
      </c>
      <c r="D1505" s="15" t="n">
        <v>-10291.68</v>
      </c>
    </row>
    <row r="1506" customFormat="false" ht="15" hidden="false" customHeight="false" outlineLevel="0" collapsed="false">
      <c r="A1506" s="3" t="n">
        <v>5</v>
      </c>
      <c r="B1506" s="3" t="s">
        <v>648</v>
      </c>
      <c r="C1506" s="3" t="s">
        <v>100</v>
      </c>
      <c r="D1506" s="15" t="n">
        <v>48585.66</v>
      </c>
    </row>
    <row r="1507" customFormat="false" ht="15" hidden="false" customHeight="false" outlineLevel="0" collapsed="false">
      <c r="A1507" s="3" t="n">
        <v>5</v>
      </c>
      <c r="B1507" s="3" t="s">
        <v>648</v>
      </c>
      <c r="C1507" s="3" t="s">
        <v>99</v>
      </c>
      <c r="D1507" s="15" t="n">
        <v>8024.66</v>
      </c>
    </row>
    <row r="1508" customFormat="false" ht="15" hidden="false" customHeight="false" outlineLevel="0" collapsed="false">
      <c r="A1508" s="3" t="n">
        <v>5</v>
      </c>
      <c r="B1508" s="3" t="s">
        <v>648</v>
      </c>
      <c r="C1508" s="3" t="s">
        <v>98</v>
      </c>
      <c r="D1508" s="15" t="n">
        <v>77398.64</v>
      </c>
    </row>
    <row r="1509" customFormat="false" ht="15" hidden="false" customHeight="false" outlineLevel="0" collapsed="false">
      <c r="A1509" s="3" t="n">
        <v>5</v>
      </c>
      <c r="B1509" s="3" t="s">
        <v>648</v>
      </c>
      <c r="C1509" s="3" t="s">
        <v>82</v>
      </c>
      <c r="D1509" s="15" t="n">
        <v>38329.54</v>
      </c>
    </row>
    <row r="1510" customFormat="false" ht="15" hidden="false" customHeight="false" outlineLevel="0" collapsed="false">
      <c r="A1510" s="3" t="n">
        <v>5</v>
      </c>
      <c r="B1510" s="3" t="s">
        <v>649</v>
      </c>
      <c r="C1510" s="3" t="s">
        <v>103</v>
      </c>
      <c r="D1510" s="15" t="n">
        <v>-1378.93</v>
      </c>
    </row>
    <row r="1511" customFormat="false" ht="15" hidden="false" customHeight="false" outlineLevel="0" collapsed="false">
      <c r="A1511" s="3" t="n">
        <v>5</v>
      </c>
      <c r="B1511" s="3" t="s">
        <v>649</v>
      </c>
      <c r="C1511" s="3" t="s">
        <v>100</v>
      </c>
      <c r="D1511" s="15" t="n">
        <v>3714.57</v>
      </c>
    </row>
    <row r="1512" customFormat="false" ht="15" hidden="false" customHeight="false" outlineLevel="0" collapsed="false">
      <c r="A1512" s="3" t="n">
        <v>5</v>
      </c>
      <c r="B1512" s="3" t="s">
        <v>649</v>
      </c>
      <c r="C1512" s="3" t="s">
        <v>99</v>
      </c>
      <c r="D1512" s="15" t="n">
        <v>173.88</v>
      </c>
    </row>
    <row r="1513" customFormat="false" ht="15" hidden="false" customHeight="false" outlineLevel="0" collapsed="false">
      <c r="A1513" s="3" t="n">
        <v>5</v>
      </c>
      <c r="B1513" s="3" t="s">
        <v>649</v>
      </c>
      <c r="C1513" s="3" t="s">
        <v>98</v>
      </c>
      <c r="D1513" s="15" t="n">
        <v>6484</v>
      </c>
    </row>
    <row r="1514" customFormat="false" ht="15" hidden="false" customHeight="false" outlineLevel="0" collapsed="false">
      <c r="A1514" s="3" t="n">
        <v>5</v>
      </c>
      <c r="B1514" s="3" t="s">
        <v>649</v>
      </c>
      <c r="C1514" s="3" t="s">
        <v>82</v>
      </c>
      <c r="D1514" s="15" t="n">
        <v>3214.64</v>
      </c>
    </row>
    <row r="1515" customFormat="false" ht="15" hidden="false" customHeight="false" outlineLevel="0" collapsed="false">
      <c r="A1515" s="3" t="n">
        <v>5</v>
      </c>
      <c r="B1515" s="3" t="s">
        <v>650</v>
      </c>
      <c r="C1515" s="3" t="s">
        <v>103</v>
      </c>
      <c r="D1515" s="15" t="n">
        <v>-167.08</v>
      </c>
    </row>
    <row r="1516" customFormat="false" ht="15" hidden="false" customHeight="false" outlineLevel="0" collapsed="false">
      <c r="A1516" s="3" t="n">
        <v>5</v>
      </c>
      <c r="B1516" s="3" t="s">
        <v>650</v>
      </c>
      <c r="C1516" s="3" t="s">
        <v>100</v>
      </c>
      <c r="D1516" s="15" t="n">
        <v>1047.08</v>
      </c>
    </row>
    <row r="1517" customFormat="false" ht="15" hidden="false" customHeight="false" outlineLevel="0" collapsed="false">
      <c r="A1517" s="3" t="n">
        <v>5</v>
      </c>
      <c r="B1517" s="3" t="s">
        <v>650</v>
      </c>
      <c r="C1517" s="3" t="s">
        <v>99</v>
      </c>
      <c r="D1517" s="15" t="n">
        <v>153.47</v>
      </c>
    </row>
    <row r="1518" customFormat="false" ht="15" hidden="false" customHeight="false" outlineLevel="0" collapsed="false">
      <c r="A1518" s="3" t="n">
        <v>5</v>
      </c>
      <c r="B1518" s="3" t="s">
        <v>650</v>
      </c>
      <c r="C1518" s="3" t="s">
        <v>98</v>
      </c>
      <c r="D1518" s="15" t="n">
        <v>1707</v>
      </c>
    </row>
    <row r="1519" customFormat="false" ht="15" hidden="false" customHeight="false" outlineLevel="0" collapsed="false">
      <c r="A1519" s="3" t="n">
        <v>5</v>
      </c>
      <c r="B1519" s="3" t="s">
        <v>650</v>
      </c>
      <c r="C1519" s="3" t="s">
        <v>82</v>
      </c>
      <c r="D1519" s="15" t="n">
        <v>974.98</v>
      </c>
    </row>
    <row r="1520" customFormat="false" ht="15" hidden="false" customHeight="false" outlineLevel="0" collapsed="false">
      <c r="A1520" s="3" t="n">
        <v>5</v>
      </c>
      <c r="B1520" s="3" t="s">
        <v>651</v>
      </c>
      <c r="C1520" s="3" t="s">
        <v>103</v>
      </c>
      <c r="D1520" s="15" t="n">
        <v>-865.29</v>
      </c>
    </row>
    <row r="1521" customFormat="false" ht="15" hidden="false" customHeight="false" outlineLevel="0" collapsed="false">
      <c r="A1521" s="3" t="n">
        <v>5</v>
      </c>
      <c r="B1521" s="3" t="s">
        <v>651</v>
      </c>
      <c r="C1521" s="3" t="s">
        <v>102</v>
      </c>
      <c r="D1521" s="15" t="n">
        <v>480</v>
      </c>
    </row>
    <row r="1522" customFormat="false" ht="15" hidden="false" customHeight="false" outlineLevel="0" collapsed="false">
      <c r="A1522" s="3" t="n">
        <v>5</v>
      </c>
      <c r="B1522" s="3" t="s">
        <v>651</v>
      </c>
      <c r="C1522" s="3" t="s">
        <v>100</v>
      </c>
      <c r="D1522" s="15" t="n">
        <v>10424.39</v>
      </c>
    </row>
    <row r="1523" customFormat="false" ht="15" hidden="false" customHeight="false" outlineLevel="0" collapsed="false">
      <c r="A1523" s="3" t="n">
        <v>5</v>
      </c>
      <c r="B1523" s="3" t="s">
        <v>651</v>
      </c>
      <c r="C1523" s="3" t="s">
        <v>99</v>
      </c>
      <c r="D1523" s="15" t="n">
        <v>2.74</v>
      </c>
    </row>
    <row r="1524" customFormat="false" ht="15" hidden="false" customHeight="false" outlineLevel="0" collapsed="false">
      <c r="A1524" s="3" t="n">
        <v>5</v>
      </c>
      <c r="B1524" s="3" t="s">
        <v>651</v>
      </c>
      <c r="C1524" s="3" t="s">
        <v>98</v>
      </c>
      <c r="D1524" s="15" t="n">
        <v>18594.76</v>
      </c>
    </row>
    <row r="1525" customFormat="false" ht="15" hidden="false" customHeight="false" outlineLevel="0" collapsed="false">
      <c r="A1525" s="3" t="n">
        <v>5</v>
      </c>
      <c r="B1525" s="3" t="s">
        <v>651</v>
      </c>
      <c r="C1525" s="3" t="s">
        <v>82</v>
      </c>
      <c r="D1525" s="15" t="n">
        <v>10043.876616</v>
      </c>
    </row>
    <row r="1526" customFormat="false" ht="15" hidden="false" customHeight="false" outlineLevel="0" collapsed="false">
      <c r="A1526" s="3" t="n">
        <v>5</v>
      </c>
      <c r="B1526" s="3" t="s">
        <v>652</v>
      </c>
      <c r="C1526" s="3" t="s">
        <v>103</v>
      </c>
      <c r="D1526" s="15" t="n">
        <v>-167.08</v>
      </c>
    </row>
    <row r="1527" customFormat="false" ht="15" hidden="false" customHeight="false" outlineLevel="0" collapsed="false">
      <c r="A1527" s="3" t="n">
        <v>5</v>
      </c>
      <c r="B1527" s="3" t="s">
        <v>652</v>
      </c>
      <c r="C1527" s="3" t="s">
        <v>100</v>
      </c>
      <c r="D1527" s="15" t="n">
        <v>1219.02</v>
      </c>
    </row>
    <row r="1528" customFormat="false" ht="15" hidden="false" customHeight="false" outlineLevel="0" collapsed="false">
      <c r="A1528" s="3" t="n">
        <v>5</v>
      </c>
      <c r="B1528" s="3" t="s">
        <v>652</v>
      </c>
      <c r="C1528" s="3" t="s">
        <v>99</v>
      </c>
      <c r="D1528" s="15" t="n">
        <v>269.18</v>
      </c>
    </row>
    <row r="1529" customFormat="false" ht="15" hidden="false" customHeight="false" outlineLevel="0" collapsed="false">
      <c r="A1529" s="3" t="n">
        <v>5</v>
      </c>
      <c r="B1529" s="3" t="s">
        <v>652</v>
      </c>
      <c r="C1529" s="3" t="s">
        <v>98</v>
      </c>
      <c r="D1529" s="15" t="n">
        <v>1707</v>
      </c>
    </row>
    <row r="1530" customFormat="false" ht="15" hidden="false" customHeight="false" outlineLevel="0" collapsed="false">
      <c r="A1530" s="3" t="n">
        <v>5</v>
      </c>
      <c r="B1530" s="3" t="s">
        <v>652</v>
      </c>
      <c r="C1530" s="3" t="s">
        <v>82</v>
      </c>
      <c r="D1530" s="15" t="n">
        <v>1074.66</v>
      </c>
    </row>
    <row r="1531" customFormat="false" ht="15" hidden="false" customHeight="false" outlineLevel="0" collapsed="false">
      <c r="A1531" s="3" t="n">
        <v>5</v>
      </c>
      <c r="B1531" s="3" t="s">
        <v>653</v>
      </c>
      <c r="C1531" s="3" t="s">
        <v>103</v>
      </c>
      <c r="D1531" s="15" t="n">
        <v>-629.88</v>
      </c>
    </row>
    <row r="1532" customFormat="false" ht="15" hidden="false" customHeight="false" outlineLevel="0" collapsed="false">
      <c r="A1532" s="3" t="n">
        <v>5</v>
      </c>
      <c r="B1532" s="3" t="s">
        <v>653</v>
      </c>
      <c r="C1532" s="3" t="s">
        <v>100</v>
      </c>
      <c r="D1532" s="15" t="n">
        <v>3090.14</v>
      </c>
    </row>
    <row r="1533" customFormat="false" ht="15" hidden="false" customHeight="false" outlineLevel="0" collapsed="false">
      <c r="A1533" s="3" t="n">
        <v>5</v>
      </c>
      <c r="B1533" s="3" t="s">
        <v>653</v>
      </c>
      <c r="C1533" s="3" t="s">
        <v>99</v>
      </c>
      <c r="D1533" s="15" t="n">
        <v>91.82</v>
      </c>
    </row>
    <row r="1534" customFormat="false" ht="15" hidden="false" customHeight="false" outlineLevel="0" collapsed="false">
      <c r="A1534" s="3" t="n">
        <v>5</v>
      </c>
      <c r="B1534" s="3" t="s">
        <v>653</v>
      </c>
      <c r="C1534" s="3" t="s">
        <v>98</v>
      </c>
      <c r="D1534" s="15" t="n">
        <v>4863</v>
      </c>
    </row>
    <row r="1535" customFormat="false" ht="15" hidden="false" customHeight="false" outlineLevel="0" collapsed="false">
      <c r="A1535" s="3" t="n">
        <v>5</v>
      </c>
      <c r="B1535" s="3" t="s">
        <v>653</v>
      </c>
      <c r="C1535" s="3" t="s">
        <v>82</v>
      </c>
      <c r="D1535" s="15" t="n">
        <v>2655.14</v>
      </c>
    </row>
    <row r="1536" customFormat="false" ht="15" hidden="false" customHeight="false" outlineLevel="0" collapsed="false">
      <c r="A1536" s="3" t="n">
        <v>5</v>
      </c>
      <c r="B1536" s="3" t="s">
        <v>654</v>
      </c>
      <c r="C1536" s="3" t="s">
        <v>103</v>
      </c>
      <c r="D1536" s="15" t="n">
        <v>-3875.86</v>
      </c>
    </row>
    <row r="1537" customFormat="false" ht="15" hidden="false" customHeight="false" outlineLevel="0" collapsed="false">
      <c r="A1537" s="3" t="n">
        <v>5</v>
      </c>
      <c r="B1537" s="3" t="s">
        <v>654</v>
      </c>
      <c r="C1537" s="3" t="s">
        <v>100</v>
      </c>
      <c r="D1537" s="15" t="n">
        <v>4472.58</v>
      </c>
    </row>
    <row r="1538" customFormat="false" ht="15" hidden="false" customHeight="false" outlineLevel="0" collapsed="false">
      <c r="A1538" s="3" t="n">
        <v>5</v>
      </c>
      <c r="B1538" s="3" t="s">
        <v>654</v>
      </c>
      <c r="C1538" s="3" t="s">
        <v>99</v>
      </c>
      <c r="D1538" s="15" t="n">
        <v>676.54</v>
      </c>
    </row>
    <row r="1539" customFormat="false" ht="15" hidden="false" customHeight="false" outlineLevel="0" collapsed="false">
      <c r="A1539" s="3" t="n">
        <v>5</v>
      </c>
      <c r="B1539" s="3" t="s">
        <v>654</v>
      </c>
      <c r="C1539" s="3" t="s">
        <v>98</v>
      </c>
      <c r="D1539" s="15" t="n">
        <v>7402.56</v>
      </c>
    </row>
    <row r="1540" customFormat="false" ht="15" hidden="false" customHeight="false" outlineLevel="0" collapsed="false">
      <c r="A1540" s="3" t="n">
        <v>5</v>
      </c>
      <c r="B1540" s="3" t="s">
        <v>654</v>
      </c>
      <c r="C1540" s="3" t="s">
        <v>82</v>
      </c>
      <c r="D1540" s="15" t="n">
        <v>3274.84</v>
      </c>
    </row>
    <row r="1541" customFormat="false" ht="15" hidden="false" customHeight="false" outlineLevel="0" collapsed="false">
      <c r="A1541" s="3" t="n">
        <v>5</v>
      </c>
      <c r="B1541" s="3" t="s">
        <v>655</v>
      </c>
      <c r="C1541" s="3" t="s">
        <v>103</v>
      </c>
      <c r="D1541" s="15" t="n">
        <v>-6193.17</v>
      </c>
    </row>
    <row r="1542" customFormat="false" ht="15" hidden="false" customHeight="false" outlineLevel="0" collapsed="false">
      <c r="A1542" s="3" t="n">
        <v>5</v>
      </c>
      <c r="B1542" s="3" t="s">
        <v>655</v>
      </c>
      <c r="C1542" s="3" t="s">
        <v>102</v>
      </c>
      <c r="D1542" s="15" t="n">
        <v>1841.76</v>
      </c>
    </row>
    <row r="1543" customFormat="false" ht="15" hidden="false" customHeight="false" outlineLevel="0" collapsed="false">
      <c r="A1543" s="3" t="n">
        <v>5</v>
      </c>
      <c r="B1543" s="3" t="s">
        <v>655</v>
      </c>
      <c r="C1543" s="3" t="s">
        <v>100</v>
      </c>
      <c r="D1543" s="15" t="n">
        <v>2758.72</v>
      </c>
    </row>
    <row r="1544" customFormat="false" ht="15" hidden="false" customHeight="false" outlineLevel="0" collapsed="false">
      <c r="A1544" s="3" t="n">
        <v>5</v>
      </c>
      <c r="B1544" s="3" t="s">
        <v>655</v>
      </c>
      <c r="C1544" s="3" t="s">
        <v>99</v>
      </c>
      <c r="D1544" s="15" t="n">
        <v>205.49</v>
      </c>
    </row>
    <row r="1545" customFormat="false" ht="15" hidden="false" customHeight="false" outlineLevel="0" collapsed="false">
      <c r="A1545" s="3" t="n">
        <v>5</v>
      </c>
      <c r="B1545" s="3" t="s">
        <v>655</v>
      </c>
      <c r="C1545" s="3" t="s">
        <v>98</v>
      </c>
      <c r="D1545" s="15" t="n">
        <v>5133.16</v>
      </c>
    </row>
    <row r="1546" customFormat="false" ht="15" hidden="false" customHeight="false" outlineLevel="0" collapsed="false">
      <c r="A1546" s="3" t="n">
        <v>5</v>
      </c>
      <c r="B1546" s="3" t="s">
        <v>655</v>
      </c>
      <c r="C1546" s="3" t="s">
        <v>82</v>
      </c>
      <c r="D1546" s="15" t="n">
        <v>1582.97</v>
      </c>
    </row>
    <row r="1547" customFormat="false" ht="15" hidden="false" customHeight="false" outlineLevel="0" collapsed="false">
      <c r="A1547" s="3" t="n">
        <v>5</v>
      </c>
      <c r="B1547" s="3" t="s">
        <v>656</v>
      </c>
      <c r="C1547" s="3" t="s">
        <v>103</v>
      </c>
      <c r="D1547" s="15" t="n">
        <v>-1155.23</v>
      </c>
    </row>
    <row r="1548" customFormat="false" ht="15" hidden="false" customHeight="false" outlineLevel="0" collapsed="false">
      <c r="A1548" s="3" t="n">
        <v>5</v>
      </c>
      <c r="B1548" s="3" t="s">
        <v>656</v>
      </c>
      <c r="C1548" s="3" t="s">
        <v>102</v>
      </c>
      <c r="D1548" s="15" t="n">
        <v>720</v>
      </c>
    </row>
    <row r="1549" customFormat="false" ht="15" hidden="false" customHeight="false" outlineLevel="0" collapsed="false">
      <c r="A1549" s="3" t="n">
        <v>5</v>
      </c>
      <c r="B1549" s="3" t="s">
        <v>656</v>
      </c>
      <c r="C1549" s="3" t="s">
        <v>100</v>
      </c>
      <c r="D1549" s="15" t="n">
        <v>14446.26</v>
      </c>
    </row>
    <row r="1550" customFormat="false" ht="15" hidden="false" customHeight="false" outlineLevel="0" collapsed="false">
      <c r="A1550" s="3" t="n">
        <v>5</v>
      </c>
      <c r="B1550" s="3" t="s">
        <v>656</v>
      </c>
      <c r="C1550" s="3" t="s">
        <v>98</v>
      </c>
      <c r="D1550" s="15" t="n">
        <v>25668.52</v>
      </c>
    </row>
    <row r="1551" customFormat="false" ht="15" hidden="false" customHeight="false" outlineLevel="0" collapsed="false">
      <c r="A1551" s="3" t="n">
        <v>5</v>
      </c>
      <c r="B1551" s="3" t="s">
        <v>656</v>
      </c>
      <c r="C1551" s="3" t="s">
        <v>82</v>
      </c>
      <c r="D1551" s="15" t="n">
        <v>13926.332648</v>
      </c>
    </row>
    <row r="1552" customFormat="false" ht="15" hidden="false" customHeight="false" outlineLevel="0" collapsed="false">
      <c r="A1552" s="3" t="n">
        <v>5</v>
      </c>
      <c r="B1552" s="3" t="s">
        <v>657</v>
      </c>
      <c r="C1552" s="3" t="s">
        <v>103</v>
      </c>
      <c r="D1552" s="15" t="n">
        <v>-129.8</v>
      </c>
    </row>
    <row r="1553" customFormat="false" ht="15" hidden="false" customHeight="false" outlineLevel="0" collapsed="false">
      <c r="A1553" s="3" t="n">
        <v>5</v>
      </c>
      <c r="B1553" s="3" t="s">
        <v>657</v>
      </c>
      <c r="C1553" s="3" t="s">
        <v>102</v>
      </c>
      <c r="D1553" s="15" t="n">
        <v>240</v>
      </c>
    </row>
    <row r="1554" customFormat="false" ht="15" hidden="false" customHeight="false" outlineLevel="0" collapsed="false">
      <c r="A1554" s="3" t="n">
        <v>5</v>
      </c>
      <c r="B1554" s="3" t="s">
        <v>657</v>
      </c>
      <c r="C1554" s="3" t="s">
        <v>100</v>
      </c>
      <c r="D1554" s="15" t="n">
        <v>3696.48</v>
      </c>
    </row>
    <row r="1555" customFormat="false" ht="15" hidden="false" customHeight="false" outlineLevel="0" collapsed="false">
      <c r="A1555" s="3" t="n">
        <v>5</v>
      </c>
      <c r="B1555" s="3" t="s">
        <v>657</v>
      </c>
      <c r="C1555" s="3" t="s">
        <v>98</v>
      </c>
      <c r="D1555" s="15" t="n">
        <v>6568</v>
      </c>
    </row>
    <row r="1556" customFormat="false" ht="15" hidden="false" customHeight="false" outlineLevel="0" collapsed="false">
      <c r="A1556" s="3" t="n">
        <v>5</v>
      </c>
      <c r="B1556" s="3" t="s">
        <v>657</v>
      </c>
      <c r="C1556" s="3" t="s">
        <v>82</v>
      </c>
      <c r="D1556" s="15" t="n">
        <v>3615.245216</v>
      </c>
    </row>
    <row r="1557" customFormat="false" ht="15" hidden="false" customHeight="false" outlineLevel="0" collapsed="false">
      <c r="A1557" s="3" t="n">
        <v>5</v>
      </c>
      <c r="B1557" s="3" t="s">
        <v>658</v>
      </c>
      <c r="C1557" s="3" t="s">
        <v>103</v>
      </c>
      <c r="D1557" s="15" t="n">
        <v>-81.13</v>
      </c>
    </row>
    <row r="1558" customFormat="false" ht="15" hidden="false" customHeight="false" outlineLevel="0" collapsed="false">
      <c r="A1558" s="3" t="n">
        <v>5</v>
      </c>
      <c r="B1558" s="3" t="s">
        <v>658</v>
      </c>
      <c r="C1558" s="3" t="s">
        <v>100</v>
      </c>
      <c r="D1558" s="15" t="n">
        <v>7347.95</v>
      </c>
    </row>
    <row r="1559" customFormat="false" ht="15" hidden="false" customHeight="false" outlineLevel="0" collapsed="false">
      <c r="A1559" s="3" t="n">
        <v>5</v>
      </c>
      <c r="B1559" s="3" t="s">
        <v>658</v>
      </c>
      <c r="C1559" s="3" t="s">
        <v>98</v>
      </c>
      <c r="D1559" s="15" t="n">
        <v>13056.06</v>
      </c>
    </row>
    <row r="1560" customFormat="false" ht="15" hidden="false" customHeight="false" outlineLevel="0" collapsed="false">
      <c r="A1560" s="3" t="n">
        <v>5</v>
      </c>
      <c r="B1560" s="3" t="s">
        <v>658</v>
      </c>
      <c r="C1560" s="3" t="s">
        <v>82</v>
      </c>
      <c r="D1560" s="15" t="n">
        <v>7055.8</v>
      </c>
    </row>
    <row r="1561" customFormat="false" ht="15" hidden="false" customHeight="false" outlineLevel="0" collapsed="false">
      <c r="A1561" s="3" t="n">
        <v>5</v>
      </c>
      <c r="B1561" s="3" t="s">
        <v>659</v>
      </c>
      <c r="C1561" s="3" t="s">
        <v>103</v>
      </c>
      <c r="D1561" s="15" t="n">
        <v>-1367.45</v>
      </c>
    </row>
    <row r="1562" customFormat="false" ht="15" hidden="false" customHeight="false" outlineLevel="0" collapsed="false">
      <c r="A1562" s="3" t="n">
        <v>5</v>
      </c>
      <c r="B1562" s="3" t="s">
        <v>659</v>
      </c>
      <c r="C1562" s="3" t="s">
        <v>100</v>
      </c>
      <c r="D1562" s="15" t="n">
        <v>4539.26</v>
      </c>
    </row>
    <row r="1563" customFormat="false" ht="15" hidden="false" customHeight="false" outlineLevel="0" collapsed="false">
      <c r="A1563" s="3" t="n">
        <v>5</v>
      </c>
      <c r="B1563" s="3" t="s">
        <v>659</v>
      </c>
      <c r="C1563" s="3" t="s">
        <v>99</v>
      </c>
      <c r="D1563" s="15" t="n">
        <v>157.39</v>
      </c>
    </row>
    <row r="1564" customFormat="false" ht="15" hidden="false" customHeight="false" outlineLevel="0" collapsed="false">
      <c r="A1564" s="3" t="n">
        <v>5</v>
      </c>
      <c r="B1564" s="3" t="s">
        <v>659</v>
      </c>
      <c r="C1564" s="3" t="s">
        <v>98</v>
      </c>
      <c r="D1564" s="15" t="n">
        <v>8050.96</v>
      </c>
    </row>
    <row r="1565" customFormat="false" ht="15" hidden="false" customHeight="false" outlineLevel="0" collapsed="false">
      <c r="A1565" s="3" t="n">
        <v>5</v>
      </c>
      <c r="B1565" s="3" t="s">
        <v>659</v>
      </c>
      <c r="C1565" s="3" t="s">
        <v>82</v>
      </c>
      <c r="D1565" s="15" t="n">
        <v>4120.16</v>
      </c>
    </row>
    <row r="1566" customFormat="false" ht="15" hidden="false" customHeight="false" outlineLevel="0" collapsed="false">
      <c r="A1566" s="3" t="n">
        <v>5</v>
      </c>
      <c r="B1566" s="3" t="s">
        <v>660</v>
      </c>
      <c r="C1566" s="3" t="s">
        <v>103</v>
      </c>
      <c r="D1566" s="15" t="n">
        <v>-378.17</v>
      </c>
    </row>
    <row r="1567" customFormat="false" ht="15" hidden="false" customHeight="false" outlineLevel="0" collapsed="false">
      <c r="A1567" s="3" t="n">
        <v>5</v>
      </c>
      <c r="B1567" s="3" t="s">
        <v>660</v>
      </c>
      <c r="C1567" s="3" t="s">
        <v>100</v>
      </c>
      <c r="D1567" s="15" t="n">
        <v>988.08</v>
      </c>
    </row>
    <row r="1568" customFormat="false" ht="15" hidden="false" customHeight="false" outlineLevel="0" collapsed="false">
      <c r="A1568" s="3" t="n">
        <v>5</v>
      </c>
      <c r="B1568" s="3" t="s">
        <v>660</v>
      </c>
      <c r="C1568" s="3" t="s">
        <v>99</v>
      </c>
      <c r="D1568" s="15" t="n">
        <v>35.71</v>
      </c>
    </row>
    <row r="1569" customFormat="false" ht="15" hidden="false" customHeight="false" outlineLevel="0" collapsed="false">
      <c r="A1569" s="3" t="n">
        <v>5</v>
      </c>
      <c r="B1569" s="3" t="s">
        <v>660</v>
      </c>
      <c r="C1569" s="3" t="s">
        <v>98</v>
      </c>
      <c r="D1569" s="15" t="n">
        <v>1707</v>
      </c>
    </row>
    <row r="1570" customFormat="false" ht="15" hidden="false" customHeight="false" outlineLevel="0" collapsed="false">
      <c r="A1570" s="3" t="n">
        <v>5</v>
      </c>
      <c r="B1570" s="3" t="s">
        <v>660</v>
      </c>
      <c r="C1570" s="3" t="s">
        <v>82</v>
      </c>
      <c r="D1570" s="15" t="n">
        <v>872.36</v>
      </c>
    </row>
    <row r="1571" customFormat="false" ht="15" hidden="false" customHeight="false" outlineLevel="0" collapsed="false">
      <c r="A1571" s="3" t="n">
        <v>5</v>
      </c>
      <c r="B1571" s="3" t="s">
        <v>661</v>
      </c>
      <c r="C1571" s="3" t="s">
        <v>103</v>
      </c>
      <c r="D1571" s="15" t="n">
        <v>-974.37</v>
      </c>
    </row>
    <row r="1572" customFormat="false" ht="15" hidden="false" customHeight="false" outlineLevel="0" collapsed="false">
      <c r="A1572" s="3" t="n">
        <v>5</v>
      </c>
      <c r="B1572" s="3" t="s">
        <v>661</v>
      </c>
      <c r="C1572" s="3" t="s">
        <v>100</v>
      </c>
      <c r="D1572" s="15" t="n">
        <v>2846.38</v>
      </c>
    </row>
    <row r="1573" customFormat="false" ht="15" hidden="false" customHeight="false" outlineLevel="0" collapsed="false">
      <c r="A1573" s="3" t="n">
        <v>5</v>
      </c>
      <c r="B1573" s="3" t="s">
        <v>661</v>
      </c>
      <c r="C1573" s="3" t="s">
        <v>98</v>
      </c>
      <c r="D1573" s="15" t="n">
        <v>5121</v>
      </c>
    </row>
    <row r="1574" customFormat="false" ht="15" hidden="false" customHeight="false" outlineLevel="0" collapsed="false">
      <c r="A1574" s="3" t="n">
        <v>5</v>
      </c>
      <c r="B1574" s="3" t="s">
        <v>661</v>
      </c>
      <c r="C1574" s="3" t="s">
        <v>82</v>
      </c>
      <c r="D1574" s="15" t="n">
        <v>2560.92</v>
      </c>
    </row>
    <row r="1575" customFormat="false" ht="15" hidden="false" customHeight="false" outlineLevel="0" collapsed="false">
      <c r="A1575" s="3" t="n">
        <v>5</v>
      </c>
      <c r="B1575" s="3" t="s">
        <v>662</v>
      </c>
      <c r="C1575" s="3" t="s">
        <v>103</v>
      </c>
      <c r="D1575" s="15" t="n">
        <v>-556.64</v>
      </c>
    </row>
    <row r="1576" customFormat="false" ht="15" hidden="false" customHeight="false" outlineLevel="0" collapsed="false">
      <c r="A1576" s="3" t="n">
        <v>5</v>
      </c>
      <c r="B1576" s="3" t="s">
        <v>662</v>
      </c>
      <c r="C1576" s="3" t="s">
        <v>102</v>
      </c>
      <c r="D1576" s="15" t="n">
        <v>720</v>
      </c>
    </row>
    <row r="1577" customFormat="false" ht="15" hidden="false" customHeight="false" outlineLevel="0" collapsed="false">
      <c r="A1577" s="3" t="n">
        <v>5</v>
      </c>
      <c r="B1577" s="3" t="s">
        <v>662</v>
      </c>
      <c r="C1577" s="3" t="s">
        <v>100</v>
      </c>
      <c r="D1577" s="15" t="n">
        <v>16697.47</v>
      </c>
    </row>
    <row r="1578" customFormat="false" ht="15" hidden="false" customHeight="false" outlineLevel="0" collapsed="false">
      <c r="A1578" s="3" t="n">
        <v>5</v>
      </c>
      <c r="B1578" s="3" t="s">
        <v>662</v>
      </c>
      <c r="C1578" s="3" t="s">
        <v>98</v>
      </c>
      <c r="D1578" s="15" t="n">
        <v>29668.53</v>
      </c>
    </row>
    <row r="1579" customFormat="false" ht="15" hidden="false" customHeight="false" outlineLevel="0" collapsed="false">
      <c r="A1579" s="3" t="n">
        <v>5</v>
      </c>
      <c r="B1579" s="3" t="s">
        <v>662</v>
      </c>
      <c r="C1579" s="3" t="s">
        <v>82</v>
      </c>
      <c r="D1579" s="15" t="n">
        <v>16210.18</v>
      </c>
    </row>
    <row r="1580" customFormat="false" ht="15" hidden="false" customHeight="false" outlineLevel="0" collapsed="false">
      <c r="A1580" s="3" t="n">
        <v>5</v>
      </c>
      <c r="B1580" s="3" t="s">
        <v>663</v>
      </c>
      <c r="C1580" s="3" t="s">
        <v>103</v>
      </c>
      <c r="D1580" s="15" t="n">
        <v>-129.32</v>
      </c>
    </row>
    <row r="1581" customFormat="false" ht="15" hidden="false" customHeight="false" outlineLevel="0" collapsed="false">
      <c r="A1581" s="3" t="n">
        <v>5</v>
      </c>
      <c r="B1581" s="3" t="s">
        <v>663</v>
      </c>
      <c r="C1581" s="3" t="s">
        <v>102</v>
      </c>
      <c r="D1581" s="15" t="n">
        <v>240</v>
      </c>
    </row>
    <row r="1582" customFormat="false" ht="15" hidden="false" customHeight="false" outlineLevel="0" collapsed="false">
      <c r="A1582" s="3" t="n">
        <v>5</v>
      </c>
      <c r="B1582" s="3" t="s">
        <v>663</v>
      </c>
      <c r="C1582" s="3" t="s">
        <v>100</v>
      </c>
      <c r="D1582" s="15" t="n">
        <v>8009.76</v>
      </c>
    </row>
    <row r="1583" customFormat="false" ht="15" hidden="false" customHeight="false" outlineLevel="0" collapsed="false">
      <c r="A1583" s="3" t="n">
        <v>5</v>
      </c>
      <c r="B1583" s="3" t="s">
        <v>663</v>
      </c>
      <c r="C1583" s="3" t="s">
        <v>98</v>
      </c>
      <c r="D1583" s="15" t="n">
        <v>14232</v>
      </c>
    </row>
    <row r="1584" customFormat="false" ht="15" hidden="false" customHeight="false" outlineLevel="0" collapsed="false">
      <c r="A1584" s="3" t="n">
        <v>5</v>
      </c>
      <c r="B1584" s="3" t="s">
        <v>663</v>
      </c>
      <c r="C1584" s="3" t="s">
        <v>82</v>
      </c>
      <c r="D1584" s="15" t="n">
        <v>7766.46</v>
      </c>
    </row>
    <row r="1585" customFormat="false" ht="15" hidden="false" customHeight="false" outlineLevel="0" collapsed="false">
      <c r="A1585" s="3" t="n">
        <v>5</v>
      </c>
      <c r="B1585" s="3" t="s">
        <v>664</v>
      </c>
      <c r="C1585" s="3" t="s">
        <v>103</v>
      </c>
      <c r="D1585" s="15" t="n">
        <v>-362.24</v>
      </c>
    </row>
    <row r="1586" customFormat="false" ht="15" hidden="false" customHeight="false" outlineLevel="0" collapsed="false">
      <c r="A1586" s="3" t="n">
        <v>5</v>
      </c>
      <c r="B1586" s="3" t="s">
        <v>664</v>
      </c>
      <c r="C1586" s="3" t="s">
        <v>100</v>
      </c>
      <c r="D1586" s="15" t="n">
        <v>801.93</v>
      </c>
    </row>
    <row r="1587" customFormat="false" ht="15" hidden="false" customHeight="false" outlineLevel="0" collapsed="false">
      <c r="A1587" s="3" t="n">
        <v>5</v>
      </c>
      <c r="B1587" s="3" t="s">
        <v>664</v>
      </c>
      <c r="C1587" s="3" t="s">
        <v>99</v>
      </c>
      <c r="D1587" s="15" t="n">
        <v>22.81</v>
      </c>
    </row>
    <row r="1588" customFormat="false" ht="15" hidden="false" customHeight="false" outlineLevel="0" collapsed="false">
      <c r="A1588" s="3" t="n">
        <v>5</v>
      </c>
      <c r="B1588" s="3" t="s">
        <v>664</v>
      </c>
      <c r="C1588" s="3" t="s">
        <v>98</v>
      </c>
      <c r="D1588" s="15" t="n">
        <v>1365.6</v>
      </c>
    </row>
    <row r="1589" customFormat="false" ht="15" hidden="false" customHeight="false" outlineLevel="0" collapsed="false">
      <c r="A1589" s="3" t="n">
        <v>5</v>
      </c>
      <c r="B1589" s="3" t="s">
        <v>664</v>
      </c>
      <c r="C1589" s="3" t="s">
        <v>82</v>
      </c>
      <c r="D1589" s="15" t="n">
        <v>670.09</v>
      </c>
    </row>
    <row r="1590" customFormat="false" ht="15" hidden="false" customHeight="false" outlineLevel="0" collapsed="false">
      <c r="A1590" s="3" t="n">
        <v>5</v>
      </c>
      <c r="B1590" s="3" t="s">
        <v>665</v>
      </c>
      <c r="C1590" s="3" t="s">
        <v>103</v>
      </c>
      <c r="D1590" s="15" t="n">
        <v>-529.12</v>
      </c>
    </row>
    <row r="1591" customFormat="false" ht="15" hidden="false" customHeight="false" outlineLevel="0" collapsed="false">
      <c r="A1591" s="3" t="n">
        <v>5</v>
      </c>
      <c r="B1591" s="3" t="s">
        <v>665</v>
      </c>
      <c r="C1591" s="3" t="s">
        <v>102</v>
      </c>
      <c r="D1591" s="15" t="n">
        <v>840</v>
      </c>
    </row>
    <row r="1592" customFormat="false" ht="15" hidden="false" customHeight="false" outlineLevel="0" collapsed="false">
      <c r="A1592" s="3" t="n">
        <v>5</v>
      </c>
      <c r="B1592" s="3" t="s">
        <v>665</v>
      </c>
      <c r="C1592" s="3" t="s">
        <v>100</v>
      </c>
      <c r="D1592" s="15" t="n">
        <v>12814.46</v>
      </c>
    </row>
    <row r="1593" customFormat="false" ht="15" hidden="false" customHeight="false" outlineLevel="0" collapsed="false">
      <c r="A1593" s="3" t="n">
        <v>5</v>
      </c>
      <c r="B1593" s="3" t="s">
        <v>665</v>
      </c>
      <c r="C1593" s="3" t="s">
        <v>98</v>
      </c>
      <c r="D1593" s="15" t="n">
        <v>22769.06</v>
      </c>
    </row>
    <row r="1594" customFormat="false" ht="15" hidden="false" customHeight="false" outlineLevel="0" collapsed="false">
      <c r="A1594" s="3" t="n">
        <v>5</v>
      </c>
      <c r="B1594" s="3" t="s">
        <v>665</v>
      </c>
      <c r="C1594" s="3" t="s">
        <v>82</v>
      </c>
      <c r="D1594" s="15" t="n">
        <v>12520.12</v>
      </c>
    </row>
    <row r="1595" customFormat="false" ht="15" hidden="false" customHeight="false" outlineLevel="0" collapsed="false">
      <c r="A1595" s="3" t="n">
        <v>5</v>
      </c>
      <c r="B1595" s="3" t="s">
        <v>666</v>
      </c>
      <c r="C1595" s="3" t="s">
        <v>103</v>
      </c>
      <c r="D1595" s="15" t="n">
        <v>-64.66</v>
      </c>
    </row>
    <row r="1596" customFormat="false" ht="15" hidden="false" customHeight="false" outlineLevel="0" collapsed="false">
      <c r="A1596" s="3" t="n">
        <v>5</v>
      </c>
      <c r="B1596" s="3" t="s">
        <v>666</v>
      </c>
      <c r="C1596" s="3" t="s">
        <v>102</v>
      </c>
      <c r="D1596" s="15" t="n">
        <v>120</v>
      </c>
    </row>
    <row r="1597" customFormat="false" ht="15" hidden="false" customHeight="false" outlineLevel="0" collapsed="false">
      <c r="A1597" s="3" t="n">
        <v>5</v>
      </c>
      <c r="B1597" s="3" t="s">
        <v>666</v>
      </c>
      <c r="C1597" s="3" t="s">
        <v>100</v>
      </c>
      <c r="D1597" s="15" t="n">
        <v>3088.65</v>
      </c>
    </row>
    <row r="1598" customFormat="false" ht="15" hidden="false" customHeight="false" outlineLevel="0" collapsed="false">
      <c r="A1598" s="3" t="n">
        <v>5</v>
      </c>
      <c r="B1598" s="3" t="s">
        <v>666</v>
      </c>
      <c r="C1598" s="3" t="s">
        <v>98</v>
      </c>
      <c r="D1598" s="15" t="n">
        <v>5488</v>
      </c>
    </row>
    <row r="1599" customFormat="false" ht="15" hidden="false" customHeight="false" outlineLevel="0" collapsed="false">
      <c r="A1599" s="3" t="n">
        <v>5</v>
      </c>
      <c r="B1599" s="3" t="s">
        <v>666</v>
      </c>
      <c r="C1599" s="3" t="s">
        <v>82</v>
      </c>
      <c r="D1599" s="15" t="n">
        <v>3001.45</v>
      </c>
    </row>
    <row r="1600" customFormat="false" ht="15" hidden="false" customHeight="false" outlineLevel="0" collapsed="false">
      <c r="A1600" s="3" t="n">
        <v>5</v>
      </c>
      <c r="B1600" s="3" t="s">
        <v>667</v>
      </c>
      <c r="C1600" s="3" t="s">
        <v>103</v>
      </c>
      <c r="D1600" s="15" t="n">
        <v>-43.29</v>
      </c>
    </row>
    <row r="1601" customFormat="false" ht="15" hidden="false" customHeight="false" outlineLevel="0" collapsed="false">
      <c r="A1601" s="3" t="n">
        <v>5</v>
      </c>
      <c r="B1601" s="3" t="s">
        <v>667</v>
      </c>
      <c r="C1601" s="3" t="s">
        <v>100</v>
      </c>
      <c r="D1601" s="15" t="n">
        <v>119.73</v>
      </c>
    </row>
    <row r="1602" customFormat="false" ht="15" hidden="false" customHeight="false" outlineLevel="0" collapsed="false">
      <c r="A1602" s="3" t="n">
        <v>5</v>
      </c>
      <c r="B1602" s="3" t="s">
        <v>667</v>
      </c>
      <c r="C1602" s="3" t="s">
        <v>99</v>
      </c>
      <c r="D1602" s="15" t="n">
        <v>5.13</v>
      </c>
    </row>
    <row r="1603" customFormat="false" ht="15" hidden="false" customHeight="false" outlineLevel="0" collapsed="false">
      <c r="A1603" s="3" t="n">
        <v>5</v>
      </c>
      <c r="B1603" s="3" t="s">
        <v>667</v>
      </c>
      <c r="C1603" s="3" t="s">
        <v>82</v>
      </c>
      <c r="D1603" s="15" t="n">
        <v>34.78</v>
      </c>
    </row>
    <row r="1604" customFormat="false" ht="15" hidden="false" customHeight="false" outlineLevel="0" collapsed="false">
      <c r="A1604" s="3" t="n">
        <v>5</v>
      </c>
      <c r="B1604" s="3" t="s">
        <v>668</v>
      </c>
      <c r="C1604" s="3" t="s">
        <v>103</v>
      </c>
      <c r="D1604" s="15" t="n">
        <v>-1050.72</v>
      </c>
    </row>
    <row r="1605" customFormat="false" ht="15" hidden="false" customHeight="false" outlineLevel="0" collapsed="false">
      <c r="A1605" s="3" t="n">
        <v>5</v>
      </c>
      <c r="B1605" s="3" t="s">
        <v>668</v>
      </c>
      <c r="C1605" s="3" t="s">
        <v>100</v>
      </c>
      <c r="D1605" s="15" t="n">
        <v>2547.6</v>
      </c>
    </row>
    <row r="1606" customFormat="false" ht="15" hidden="false" customHeight="false" outlineLevel="0" collapsed="false">
      <c r="A1606" s="3" t="n">
        <v>5</v>
      </c>
      <c r="B1606" s="3" t="s">
        <v>668</v>
      </c>
      <c r="C1606" s="3" t="s">
        <v>99</v>
      </c>
      <c r="D1606" s="15" t="n">
        <v>38.56</v>
      </c>
    </row>
    <row r="1607" customFormat="false" ht="15" hidden="false" customHeight="false" outlineLevel="0" collapsed="false">
      <c r="A1607" s="3" t="n">
        <v>5</v>
      </c>
      <c r="B1607" s="3" t="s">
        <v>668</v>
      </c>
      <c r="C1607" s="3" t="s">
        <v>98</v>
      </c>
      <c r="D1607" s="15" t="n">
        <v>3458.13</v>
      </c>
    </row>
    <row r="1608" customFormat="false" ht="15" hidden="false" customHeight="false" outlineLevel="0" collapsed="false">
      <c r="A1608" s="3" t="n">
        <v>5</v>
      </c>
      <c r="B1608" s="3" t="s">
        <v>668</v>
      </c>
      <c r="C1608" s="3" t="s">
        <v>82</v>
      </c>
      <c r="D1608" s="15" t="n">
        <v>1876.96</v>
      </c>
    </row>
    <row r="1609" customFormat="false" ht="15" hidden="false" customHeight="false" outlineLevel="0" collapsed="false">
      <c r="A1609" s="3" t="n">
        <v>5</v>
      </c>
      <c r="B1609" s="3" t="s">
        <v>669</v>
      </c>
      <c r="C1609" s="3" t="s">
        <v>103</v>
      </c>
      <c r="D1609" s="15" t="n">
        <v>-840.58</v>
      </c>
    </row>
    <row r="1610" customFormat="false" ht="15" hidden="false" customHeight="false" outlineLevel="0" collapsed="false">
      <c r="A1610" s="3" t="n">
        <v>5</v>
      </c>
      <c r="B1610" s="3" t="s">
        <v>669</v>
      </c>
      <c r="C1610" s="3" t="s">
        <v>102</v>
      </c>
      <c r="D1610" s="15" t="n">
        <v>1560</v>
      </c>
    </row>
    <row r="1611" customFormat="false" ht="15" hidden="false" customHeight="false" outlineLevel="0" collapsed="false">
      <c r="A1611" s="3" t="n">
        <v>5</v>
      </c>
      <c r="B1611" s="3" t="s">
        <v>669</v>
      </c>
      <c r="C1611" s="3" t="s">
        <v>100</v>
      </c>
      <c r="D1611" s="15" t="n">
        <v>28772.64</v>
      </c>
    </row>
    <row r="1612" customFormat="false" ht="15" hidden="false" customHeight="false" outlineLevel="0" collapsed="false">
      <c r="A1612" s="3" t="n">
        <v>5</v>
      </c>
      <c r="B1612" s="3" t="s">
        <v>669</v>
      </c>
      <c r="C1612" s="3" t="s">
        <v>98</v>
      </c>
      <c r="D1612" s="15" t="n">
        <v>51124</v>
      </c>
    </row>
    <row r="1613" customFormat="false" ht="15" hidden="false" customHeight="false" outlineLevel="0" collapsed="false">
      <c r="A1613" s="3" t="n">
        <v>5</v>
      </c>
      <c r="B1613" s="3" t="s">
        <v>669</v>
      </c>
      <c r="C1613" s="3" t="s">
        <v>82</v>
      </c>
      <c r="D1613" s="15" t="n">
        <v>28066.83</v>
      </c>
    </row>
    <row r="1614" customFormat="false" ht="15" hidden="false" customHeight="false" outlineLevel="0" collapsed="false">
      <c r="A1614" s="3" t="n">
        <v>5</v>
      </c>
      <c r="B1614" s="3" t="s">
        <v>670</v>
      </c>
      <c r="C1614" s="3" t="s">
        <v>103</v>
      </c>
      <c r="D1614" s="15" t="n">
        <v>-1066.59</v>
      </c>
    </row>
    <row r="1615" customFormat="false" ht="15" hidden="false" customHeight="false" outlineLevel="0" collapsed="false">
      <c r="A1615" s="3" t="n">
        <v>5</v>
      </c>
      <c r="B1615" s="3" t="s">
        <v>670</v>
      </c>
      <c r="C1615" s="3" t="s">
        <v>100</v>
      </c>
      <c r="D1615" s="15" t="n">
        <v>4540.9</v>
      </c>
    </row>
    <row r="1616" customFormat="false" ht="15" hidden="false" customHeight="false" outlineLevel="0" collapsed="false">
      <c r="A1616" s="3" t="n">
        <v>5</v>
      </c>
      <c r="B1616" s="3" t="s">
        <v>670</v>
      </c>
      <c r="C1616" s="3" t="s">
        <v>99</v>
      </c>
      <c r="D1616" s="15" t="n">
        <v>526.08</v>
      </c>
    </row>
    <row r="1617" customFormat="false" ht="15" hidden="false" customHeight="false" outlineLevel="0" collapsed="false">
      <c r="A1617" s="3" t="n">
        <v>5</v>
      </c>
      <c r="B1617" s="3" t="s">
        <v>670</v>
      </c>
      <c r="C1617" s="3" t="s">
        <v>98</v>
      </c>
      <c r="D1617" s="15" t="n">
        <v>7340.1</v>
      </c>
    </row>
    <row r="1618" customFormat="false" ht="15" hidden="false" customHeight="false" outlineLevel="0" collapsed="false">
      <c r="A1618" s="3" t="n">
        <v>5</v>
      </c>
      <c r="B1618" s="3" t="s">
        <v>670</v>
      </c>
      <c r="C1618" s="3" t="s">
        <v>82</v>
      </c>
      <c r="D1618" s="15" t="n">
        <v>4085.93</v>
      </c>
    </row>
    <row r="1619" customFormat="false" ht="15" hidden="false" customHeight="false" outlineLevel="0" collapsed="false">
      <c r="A1619" s="3" t="n">
        <v>5</v>
      </c>
      <c r="B1619" s="3" t="s">
        <v>671</v>
      </c>
      <c r="C1619" s="3" t="s">
        <v>103</v>
      </c>
      <c r="D1619" s="15" t="n">
        <v>-4571.32</v>
      </c>
    </row>
    <row r="1620" customFormat="false" ht="15" hidden="false" customHeight="false" outlineLevel="0" collapsed="false">
      <c r="A1620" s="3" t="n">
        <v>5</v>
      </c>
      <c r="B1620" s="3" t="s">
        <v>671</v>
      </c>
      <c r="C1620" s="3" t="s">
        <v>102</v>
      </c>
      <c r="D1620" s="15" t="n">
        <v>349.24</v>
      </c>
    </row>
    <row r="1621" customFormat="false" ht="15" hidden="false" customHeight="false" outlineLevel="0" collapsed="false">
      <c r="A1621" s="3" t="n">
        <v>5</v>
      </c>
      <c r="B1621" s="3" t="s">
        <v>671</v>
      </c>
      <c r="C1621" s="3" t="s">
        <v>100</v>
      </c>
      <c r="D1621" s="15" t="n">
        <v>4532.07</v>
      </c>
    </row>
    <row r="1622" customFormat="false" ht="15" hidden="false" customHeight="false" outlineLevel="0" collapsed="false">
      <c r="A1622" s="3" t="n">
        <v>5</v>
      </c>
      <c r="B1622" s="3" t="s">
        <v>671</v>
      </c>
      <c r="C1622" s="3" t="s">
        <v>99</v>
      </c>
      <c r="D1622" s="15" t="n">
        <v>200.66</v>
      </c>
    </row>
    <row r="1623" customFormat="false" ht="15" hidden="false" customHeight="false" outlineLevel="0" collapsed="false">
      <c r="A1623" s="3" t="n">
        <v>5</v>
      </c>
      <c r="B1623" s="3" t="s">
        <v>671</v>
      </c>
      <c r="C1623" s="3" t="s">
        <v>98</v>
      </c>
      <c r="D1623" s="15" t="n">
        <v>9671.96</v>
      </c>
    </row>
    <row r="1624" customFormat="false" ht="15" hidden="false" customHeight="false" outlineLevel="0" collapsed="false">
      <c r="A1624" s="3" t="n">
        <v>5</v>
      </c>
      <c r="B1624" s="3" t="s">
        <v>671</v>
      </c>
      <c r="C1624" s="3" t="s">
        <v>82</v>
      </c>
      <c r="D1624" s="15" t="n">
        <v>3282.7</v>
      </c>
    </row>
    <row r="1625" customFormat="false" ht="15" hidden="false" customHeight="false" outlineLevel="0" collapsed="false">
      <c r="A1625" s="3" t="n">
        <v>5</v>
      </c>
      <c r="B1625" s="3" t="s">
        <v>672</v>
      </c>
      <c r="C1625" s="3" t="s">
        <v>103</v>
      </c>
      <c r="D1625" s="15" t="n">
        <v>-1053.95</v>
      </c>
    </row>
    <row r="1626" customFormat="false" ht="15" hidden="false" customHeight="false" outlineLevel="0" collapsed="false">
      <c r="A1626" s="3" t="n">
        <v>5</v>
      </c>
      <c r="B1626" s="3" t="s">
        <v>672</v>
      </c>
      <c r="C1626" s="3" t="s">
        <v>102</v>
      </c>
      <c r="D1626" s="15" t="n">
        <v>2040</v>
      </c>
    </row>
    <row r="1627" customFormat="false" ht="15" hidden="false" customHeight="false" outlineLevel="0" collapsed="false">
      <c r="A1627" s="3" t="n">
        <v>5</v>
      </c>
      <c r="B1627" s="3" t="s">
        <v>672</v>
      </c>
      <c r="C1627" s="3" t="s">
        <v>100</v>
      </c>
      <c r="D1627" s="15" t="n">
        <v>43530.31</v>
      </c>
    </row>
    <row r="1628" customFormat="false" ht="15" hidden="false" customHeight="false" outlineLevel="0" collapsed="false">
      <c r="A1628" s="3" t="n">
        <v>5</v>
      </c>
      <c r="B1628" s="3" t="s">
        <v>672</v>
      </c>
      <c r="C1628" s="3" t="s">
        <v>98</v>
      </c>
      <c r="D1628" s="15" t="n">
        <v>77345.86</v>
      </c>
    </row>
    <row r="1629" customFormat="false" ht="15" hidden="false" customHeight="false" outlineLevel="0" collapsed="false">
      <c r="A1629" s="3" t="n">
        <v>5</v>
      </c>
      <c r="B1629" s="3" t="s">
        <v>672</v>
      </c>
      <c r="C1629" s="3" t="s">
        <v>82</v>
      </c>
      <c r="D1629" s="15" t="n">
        <v>42394.22</v>
      </c>
    </row>
    <row r="1630" customFormat="false" ht="15" hidden="false" customHeight="false" outlineLevel="0" collapsed="false">
      <c r="A1630" s="3" t="n">
        <v>5</v>
      </c>
      <c r="B1630" s="3" t="s">
        <v>673</v>
      </c>
      <c r="C1630" s="3" t="s">
        <v>103</v>
      </c>
      <c r="D1630" s="15" t="n">
        <v>-1997.84</v>
      </c>
    </row>
    <row r="1631" customFormat="false" ht="15" hidden="false" customHeight="false" outlineLevel="0" collapsed="false">
      <c r="A1631" s="3" t="n">
        <v>5</v>
      </c>
      <c r="B1631" s="3" t="s">
        <v>673</v>
      </c>
      <c r="C1631" s="3" t="s">
        <v>100</v>
      </c>
      <c r="D1631" s="15" t="n">
        <v>3954.19</v>
      </c>
    </row>
    <row r="1632" customFormat="false" ht="15" hidden="false" customHeight="false" outlineLevel="0" collapsed="false">
      <c r="A1632" s="3" t="n">
        <v>5</v>
      </c>
      <c r="B1632" s="3" t="s">
        <v>673</v>
      </c>
      <c r="C1632" s="3" t="s">
        <v>99</v>
      </c>
      <c r="D1632" s="15" t="n">
        <v>357.34</v>
      </c>
    </row>
    <row r="1633" customFormat="false" ht="15" hidden="false" customHeight="false" outlineLevel="0" collapsed="false">
      <c r="A1633" s="3" t="n">
        <v>5</v>
      </c>
      <c r="B1633" s="3" t="s">
        <v>673</v>
      </c>
      <c r="C1633" s="3" t="s">
        <v>98</v>
      </c>
      <c r="D1633" s="15" t="n">
        <v>6201.2</v>
      </c>
    </row>
    <row r="1634" customFormat="false" ht="15" hidden="false" customHeight="false" outlineLevel="0" collapsed="false">
      <c r="A1634" s="3" t="n">
        <v>5</v>
      </c>
      <c r="B1634" s="3" t="s">
        <v>673</v>
      </c>
      <c r="C1634" s="3" t="s">
        <v>82</v>
      </c>
      <c r="D1634" s="15" t="n">
        <v>3145.67</v>
      </c>
    </row>
    <row r="1635" customFormat="false" ht="15" hidden="false" customHeight="false" outlineLevel="0" collapsed="false">
      <c r="A1635" s="3" t="n">
        <v>5</v>
      </c>
      <c r="B1635" s="3" t="s">
        <v>674</v>
      </c>
      <c r="C1635" s="3" t="s">
        <v>103</v>
      </c>
      <c r="D1635" s="15" t="n">
        <v>-606.32</v>
      </c>
    </row>
    <row r="1636" customFormat="false" ht="15" hidden="false" customHeight="false" outlineLevel="0" collapsed="false">
      <c r="A1636" s="3" t="n">
        <v>5</v>
      </c>
      <c r="B1636" s="3" t="s">
        <v>674</v>
      </c>
      <c r="C1636" s="3" t="s">
        <v>100</v>
      </c>
      <c r="D1636" s="15" t="n">
        <v>6759.77</v>
      </c>
    </row>
    <row r="1637" customFormat="false" ht="15" hidden="false" customHeight="false" outlineLevel="0" collapsed="false">
      <c r="A1637" s="3" t="n">
        <v>5</v>
      </c>
      <c r="B1637" s="3" t="s">
        <v>674</v>
      </c>
      <c r="C1637" s="3" t="s">
        <v>99</v>
      </c>
      <c r="D1637" s="15" t="n">
        <v>3341.13</v>
      </c>
    </row>
    <row r="1638" customFormat="false" ht="15" hidden="false" customHeight="false" outlineLevel="0" collapsed="false">
      <c r="A1638" s="3" t="n">
        <v>5</v>
      </c>
      <c r="B1638" s="3" t="s">
        <v>674</v>
      </c>
      <c r="C1638" s="3" t="s">
        <v>98</v>
      </c>
      <c r="D1638" s="15" t="n">
        <v>761</v>
      </c>
    </row>
    <row r="1639" customFormat="false" ht="15" hidden="false" customHeight="false" outlineLevel="0" collapsed="false">
      <c r="A1639" s="3" t="n">
        <v>5</v>
      </c>
      <c r="B1639" s="3" t="s">
        <v>674</v>
      </c>
      <c r="C1639" s="3" t="s">
        <v>82</v>
      </c>
      <c r="D1639" s="15" t="n">
        <v>3632.83</v>
      </c>
    </row>
    <row r="1640" customFormat="false" ht="15" hidden="false" customHeight="false" outlineLevel="0" collapsed="false">
      <c r="A1640" s="3" t="n">
        <v>5</v>
      </c>
      <c r="B1640" s="3" t="s">
        <v>675</v>
      </c>
      <c r="C1640" s="3" t="s">
        <v>103</v>
      </c>
      <c r="D1640" s="15" t="n">
        <v>-111082.86</v>
      </c>
    </row>
    <row r="1641" customFormat="false" ht="15" hidden="false" customHeight="false" outlineLevel="0" collapsed="false">
      <c r="A1641" s="3" t="n">
        <v>5</v>
      </c>
      <c r="B1641" s="3" t="s">
        <v>675</v>
      </c>
      <c r="C1641" s="3" t="s">
        <v>102</v>
      </c>
      <c r="D1641" s="15" t="n">
        <v>1637.81</v>
      </c>
    </row>
    <row r="1642" customFormat="false" ht="15" hidden="false" customHeight="false" outlineLevel="0" collapsed="false">
      <c r="A1642" s="3" t="n">
        <v>5</v>
      </c>
      <c r="B1642" s="3" t="s">
        <v>675</v>
      </c>
      <c r="C1642" s="3" t="s">
        <v>100</v>
      </c>
      <c r="D1642" s="15" t="n">
        <v>401458.36</v>
      </c>
    </row>
    <row r="1643" customFormat="false" ht="15" hidden="false" customHeight="false" outlineLevel="0" collapsed="false">
      <c r="A1643" s="3" t="n">
        <v>5</v>
      </c>
      <c r="B1643" s="3" t="s">
        <v>675</v>
      </c>
      <c r="C1643" s="3" t="s">
        <v>99</v>
      </c>
      <c r="D1643" s="15" t="n">
        <v>56691.23</v>
      </c>
    </row>
    <row r="1644" customFormat="false" ht="15" hidden="false" customHeight="false" outlineLevel="0" collapsed="false">
      <c r="A1644" s="3" t="n">
        <v>5</v>
      </c>
      <c r="B1644" s="3" t="s">
        <v>675</v>
      </c>
      <c r="C1644" s="3" t="s">
        <v>98</v>
      </c>
      <c r="D1644" s="15" t="n">
        <v>640099.9</v>
      </c>
    </row>
    <row r="1645" customFormat="false" ht="15" hidden="false" customHeight="false" outlineLevel="0" collapsed="false">
      <c r="A1645" s="3" t="n">
        <v>5</v>
      </c>
      <c r="B1645" s="3" t="s">
        <v>675</v>
      </c>
      <c r="C1645" s="3" t="s">
        <v>82</v>
      </c>
      <c r="D1645" s="15" t="n">
        <v>352182.5</v>
      </c>
    </row>
    <row r="1646" customFormat="false" ht="15" hidden="false" customHeight="false" outlineLevel="0" collapsed="false">
      <c r="A1646" s="3" t="n">
        <v>5</v>
      </c>
      <c r="B1646" s="3" t="s">
        <v>676</v>
      </c>
      <c r="C1646" s="3" t="s">
        <v>103</v>
      </c>
      <c r="D1646" s="15" t="n">
        <v>-2351.74</v>
      </c>
    </row>
    <row r="1647" customFormat="false" ht="15" hidden="false" customHeight="false" outlineLevel="0" collapsed="false">
      <c r="A1647" s="3" t="n">
        <v>5</v>
      </c>
      <c r="B1647" s="3" t="s">
        <v>676</v>
      </c>
      <c r="C1647" s="3" t="s">
        <v>102</v>
      </c>
      <c r="D1647" s="15" t="n">
        <v>2520.45</v>
      </c>
    </row>
    <row r="1648" customFormat="false" ht="15" hidden="false" customHeight="false" outlineLevel="0" collapsed="false">
      <c r="A1648" s="3" t="n">
        <v>5</v>
      </c>
      <c r="B1648" s="3" t="s">
        <v>676</v>
      </c>
      <c r="C1648" s="3" t="s">
        <v>100</v>
      </c>
      <c r="D1648" s="15" t="n">
        <v>48133.72</v>
      </c>
    </row>
    <row r="1649" customFormat="false" ht="15" hidden="false" customHeight="false" outlineLevel="0" collapsed="false">
      <c r="A1649" s="3" t="n">
        <v>5</v>
      </c>
      <c r="B1649" s="3" t="s">
        <v>676</v>
      </c>
      <c r="C1649" s="3" t="s">
        <v>98</v>
      </c>
      <c r="D1649" s="15" t="n">
        <v>85525.32</v>
      </c>
    </row>
    <row r="1650" customFormat="false" ht="15" hidden="false" customHeight="false" outlineLevel="0" collapsed="false">
      <c r="A1650" s="3" t="n">
        <v>5</v>
      </c>
      <c r="B1650" s="3" t="s">
        <v>676</v>
      </c>
      <c r="C1650" s="3" t="s">
        <v>82</v>
      </c>
      <c r="D1650" s="15" t="n">
        <v>40418.47</v>
      </c>
    </row>
    <row r="1651" customFormat="false" ht="15" hidden="false" customHeight="false" outlineLevel="0" collapsed="false">
      <c r="A1651" s="3" t="n">
        <v>5</v>
      </c>
      <c r="B1651" s="3" t="s">
        <v>677</v>
      </c>
      <c r="C1651" s="3" t="s">
        <v>101</v>
      </c>
      <c r="D1651" s="15" t="n">
        <v>24299.1</v>
      </c>
    </row>
    <row r="1652" customFormat="false" ht="15" hidden="false" customHeight="false" outlineLevel="0" collapsed="false">
      <c r="A1652" s="3" t="n">
        <v>5</v>
      </c>
      <c r="B1652" s="3" t="s">
        <v>677</v>
      </c>
      <c r="C1652" s="3" t="s">
        <v>102</v>
      </c>
      <c r="D1652" s="15" t="n">
        <v>140.4</v>
      </c>
    </row>
    <row r="1653" customFormat="false" ht="15" hidden="false" customHeight="false" outlineLevel="0" collapsed="false">
      <c r="A1653" s="3" t="n">
        <v>5</v>
      </c>
      <c r="B1653" s="3" t="s">
        <v>678</v>
      </c>
      <c r="C1653" s="3" t="s">
        <v>101</v>
      </c>
      <c r="D1653" s="15" t="n">
        <v>25977.4</v>
      </c>
    </row>
    <row r="1654" customFormat="false" ht="15" hidden="false" customHeight="false" outlineLevel="0" collapsed="false">
      <c r="A1654" s="3" t="n">
        <v>5</v>
      </c>
      <c r="B1654" s="3" t="s">
        <v>678</v>
      </c>
      <c r="C1654" s="3" t="s">
        <v>102</v>
      </c>
      <c r="D1654" s="15" t="n">
        <v>830</v>
      </c>
    </row>
    <row r="1655" customFormat="false" ht="15" hidden="false" customHeight="false" outlineLevel="0" collapsed="false">
      <c r="A1655" s="3" t="n">
        <v>5</v>
      </c>
      <c r="B1655" s="3" t="s">
        <v>679</v>
      </c>
      <c r="C1655" s="3" t="s">
        <v>102</v>
      </c>
      <c r="D1655" s="15" t="n">
        <v>1757.4</v>
      </c>
    </row>
    <row r="1656" customFormat="false" ht="15" hidden="false" customHeight="false" outlineLevel="0" collapsed="false">
      <c r="A1656" s="3" t="n">
        <v>5</v>
      </c>
      <c r="B1656" s="3" t="s">
        <v>680</v>
      </c>
      <c r="C1656" s="3" t="s">
        <v>101</v>
      </c>
      <c r="D1656" s="15" t="n">
        <v>603.6</v>
      </c>
    </row>
    <row r="1657" customFormat="false" ht="15" hidden="false" customHeight="false" outlineLevel="0" collapsed="false">
      <c r="A1657" s="3" t="n">
        <v>5</v>
      </c>
      <c r="B1657" s="3" t="s">
        <v>681</v>
      </c>
      <c r="C1657" s="3" t="s">
        <v>101</v>
      </c>
      <c r="D1657" s="15" t="n">
        <v>117837.72</v>
      </c>
    </row>
    <row r="1658" customFormat="false" ht="15" hidden="false" customHeight="false" outlineLevel="0" collapsed="false">
      <c r="A1658" s="3" t="n">
        <v>5</v>
      </c>
      <c r="B1658" s="3" t="s">
        <v>681</v>
      </c>
      <c r="C1658" s="3" t="s">
        <v>102</v>
      </c>
      <c r="D1658" s="15" t="n">
        <v>3260.68</v>
      </c>
    </row>
    <row r="1659" customFormat="false" ht="15" hidden="false" customHeight="false" outlineLevel="0" collapsed="false">
      <c r="A1659" s="3" t="n">
        <v>5</v>
      </c>
      <c r="B1659" s="3" t="s">
        <v>682</v>
      </c>
      <c r="C1659" s="3" t="s">
        <v>101</v>
      </c>
      <c r="D1659" s="15" t="n">
        <v>850.6</v>
      </c>
    </row>
    <row r="1660" customFormat="false" ht="15" hidden="false" customHeight="false" outlineLevel="0" collapsed="false">
      <c r="A1660" s="3" t="n">
        <v>5</v>
      </c>
      <c r="B1660" s="3" t="s">
        <v>682</v>
      </c>
      <c r="C1660" s="3" t="s">
        <v>102</v>
      </c>
      <c r="D1660" s="15" t="n">
        <v>3.9</v>
      </c>
    </row>
    <row r="1661" customFormat="false" ht="15" hidden="false" customHeight="false" outlineLevel="0" collapsed="false">
      <c r="A1661" s="3" t="n">
        <v>5</v>
      </c>
      <c r="B1661" s="3" t="s">
        <v>683</v>
      </c>
      <c r="C1661" s="3" t="s">
        <v>101</v>
      </c>
      <c r="D1661" s="15" t="n">
        <v>456.57</v>
      </c>
    </row>
    <row r="1662" customFormat="false" ht="15" hidden="false" customHeight="false" outlineLevel="0" collapsed="false">
      <c r="A1662" s="3" t="n">
        <v>5</v>
      </c>
      <c r="B1662" s="3" t="s">
        <v>683</v>
      </c>
      <c r="C1662" s="3" t="s">
        <v>102</v>
      </c>
      <c r="D1662" s="15" t="n">
        <v>3.9</v>
      </c>
    </row>
    <row r="1663" customFormat="false" ht="15" hidden="false" customHeight="false" outlineLevel="0" collapsed="false">
      <c r="A1663" s="3" t="n">
        <v>5</v>
      </c>
      <c r="B1663" s="3" t="s">
        <v>684</v>
      </c>
      <c r="C1663" s="3" t="s">
        <v>101</v>
      </c>
      <c r="D1663" s="15" t="n">
        <v>860.92</v>
      </c>
    </row>
    <row r="1664" customFormat="false" ht="15" hidden="false" customHeight="false" outlineLevel="0" collapsed="false">
      <c r="A1664" s="3" t="n">
        <v>5</v>
      </c>
      <c r="B1664" s="3" t="s">
        <v>684</v>
      </c>
      <c r="C1664" s="3" t="s">
        <v>102</v>
      </c>
      <c r="D1664" s="15" t="n">
        <v>24</v>
      </c>
    </row>
    <row r="1665" customFormat="false" ht="15" hidden="false" customHeight="false" outlineLevel="0" collapsed="false">
      <c r="A1665" s="3" t="n">
        <v>5</v>
      </c>
      <c r="B1665" s="3" t="s">
        <v>685</v>
      </c>
      <c r="C1665" s="3" t="s">
        <v>101</v>
      </c>
      <c r="D1665" s="15" t="n">
        <v>1751.2</v>
      </c>
    </row>
    <row r="1666" customFormat="false" ht="15" hidden="false" customHeight="false" outlineLevel="0" collapsed="false">
      <c r="A1666" s="3" t="n">
        <v>5</v>
      </c>
      <c r="B1666" s="3" t="s">
        <v>685</v>
      </c>
      <c r="C1666" s="3" t="s">
        <v>102</v>
      </c>
      <c r="D1666" s="15" t="n">
        <v>7.8</v>
      </c>
    </row>
    <row r="1667" customFormat="false" ht="15" hidden="false" customHeight="false" outlineLevel="0" collapsed="false">
      <c r="A1667" s="3" t="n">
        <v>5</v>
      </c>
      <c r="B1667" s="3" t="s">
        <v>686</v>
      </c>
      <c r="C1667" s="3" t="s">
        <v>101</v>
      </c>
      <c r="D1667" s="15" t="n">
        <v>806.6</v>
      </c>
    </row>
    <row r="1668" customFormat="false" ht="15" hidden="false" customHeight="false" outlineLevel="0" collapsed="false">
      <c r="A1668" s="3" t="n">
        <v>5</v>
      </c>
      <c r="B1668" s="3" t="s">
        <v>686</v>
      </c>
      <c r="C1668" s="3" t="s">
        <v>102</v>
      </c>
      <c r="D1668" s="15" t="n">
        <v>3.9</v>
      </c>
    </row>
    <row r="1669" customFormat="false" ht="15" hidden="false" customHeight="false" outlineLevel="0" collapsed="false">
      <c r="A1669" s="3" t="n">
        <v>5</v>
      </c>
      <c r="B1669" s="3" t="s">
        <v>687</v>
      </c>
      <c r="C1669" s="3" t="s">
        <v>101</v>
      </c>
      <c r="D1669" s="15" t="n">
        <v>966.6</v>
      </c>
    </row>
    <row r="1670" customFormat="false" ht="15" hidden="false" customHeight="false" outlineLevel="0" collapsed="false">
      <c r="A1670" s="3" t="n">
        <v>5</v>
      </c>
      <c r="B1670" s="3" t="s">
        <v>687</v>
      </c>
      <c r="C1670" s="3" t="s">
        <v>102</v>
      </c>
      <c r="D1670" s="15" t="n">
        <v>3.9</v>
      </c>
    </row>
    <row r="1671" customFormat="false" ht="15" hidden="false" customHeight="false" outlineLevel="0" collapsed="false">
      <c r="A1671" s="3" t="n">
        <v>5</v>
      </c>
      <c r="B1671" s="3" t="s">
        <v>688</v>
      </c>
      <c r="C1671" s="3" t="s">
        <v>101</v>
      </c>
      <c r="D1671" s="15" t="n">
        <v>371.97</v>
      </c>
    </row>
    <row r="1672" customFormat="false" ht="15" hidden="false" customHeight="false" outlineLevel="0" collapsed="false">
      <c r="A1672" s="3" t="n">
        <v>5</v>
      </c>
      <c r="B1672" s="3" t="s">
        <v>688</v>
      </c>
      <c r="C1672" s="3" t="s">
        <v>102</v>
      </c>
      <c r="D1672" s="15" t="n">
        <v>3.9</v>
      </c>
    </row>
    <row r="1673" customFormat="false" ht="15" hidden="false" customHeight="false" outlineLevel="0" collapsed="false">
      <c r="A1673" s="3" t="n">
        <v>5</v>
      </c>
      <c r="B1673" s="3" t="s">
        <v>689</v>
      </c>
      <c r="C1673" s="3" t="s">
        <v>101</v>
      </c>
      <c r="D1673" s="15" t="n">
        <v>826.6</v>
      </c>
    </row>
    <row r="1674" customFormat="false" ht="15" hidden="false" customHeight="false" outlineLevel="0" collapsed="false">
      <c r="A1674" s="3" t="n">
        <v>5</v>
      </c>
      <c r="B1674" s="3" t="s">
        <v>689</v>
      </c>
      <c r="C1674" s="3" t="s">
        <v>102</v>
      </c>
      <c r="D1674" s="15" t="n">
        <v>3.9</v>
      </c>
    </row>
    <row r="1675" customFormat="false" ht="15" hidden="false" customHeight="false" outlineLevel="0" collapsed="false">
      <c r="A1675" s="3" t="n">
        <v>5</v>
      </c>
      <c r="B1675" s="3" t="s">
        <v>690</v>
      </c>
      <c r="C1675" s="3" t="s">
        <v>101</v>
      </c>
      <c r="D1675" s="15" t="n">
        <v>41.33</v>
      </c>
    </row>
    <row r="1676" customFormat="false" ht="15" hidden="false" customHeight="false" outlineLevel="0" collapsed="false">
      <c r="A1676" s="3" t="n">
        <v>5</v>
      </c>
      <c r="B1676" s="3" t="s">
        <v>691</v>
      </c>
      <c r="C1676" s="3" t="s">
        <v>101</v>
      </c>
      <c r="D1676" s="15" t="n">
        <v>1221.99</v>
      </c>
    </row>
    <row r="1677" customFormat="false" ht="15" hidden="false" customHeight="false" outlineLevel="0" collapsed="false">
      <c r="A1677" s="3" t="n">
        <v>5</v>
      </c>
      <c r="B1677" s="3" t="s">
        <v>691</v>
      </c>
      <c r="C1677" s="3" t="s">
        <v>102</v>
      </c>
      <c r="D1677" s="15" t="n">
        <v>3.9</v>
      </c>
    </row>
    <row r="1678" customFormat="false" ht="15" hidden="false" customHeight="false" outlineLevel="0" collapsed="false">
      <c r="A1678" s="3" t="n">
        <v>5</v>
      </c>
      <c r="B1678" s="3" t="s">
        <v>692</v>
      </c>
      <c r="C1678" s="3" t="s">
        <v>101</v>
      </c>
      <c r="D1678" s="15" t="n">
        <v>2216.31</v>
      </c>
    </row>
    <row r="1679" customFormat="false" ht="15" hidden="false" customHeight="false" outlineLevel="0" collapsed="false">
      <c r="A1679" s="3" t="n">
        <v>5</v>
      </c>
      <c r="B1679" s="3" t="s">
        <v>692</v>
      </c>
      <c r="C1679" s="3" t="s">
        <v>102</v>
      </c>
      <c r="D1679" s="15" t="n">
        <v>11.7</v>
      </c>
    </row>
    <row r="1680" customFormat="false" ht="15" hidden="false" customHeight="false" outlineLevel="0" collapsed="false">
      <c r="A1680" s="3" t="n">
        <v>5</v>
      </c>
      <c r="B1680" s="3" t="s">
        <v>693</v>
      </c>
      <c r="C1680" s="3" t="s">
        <v>101</v>
      </c>
      <c r="D1680" s="15" t="n">
        <v>2586.4</v>
      </c>
    </row>
    <row r="1681" customFormat="false" ht="15" hidden="false" customHeight="false" outlineLevel="0" collapsed="false">
      <c r="A1681" s="3" t="n">
        <v>5</v>
      </c>
      <c r="B1681" s="3" t="s">
        <v>693</v>
      </c>
      <c r="C1681" s="3" t="s">
        <v>103</v>
      </c>
      <c r="D1681" s="15" t="n">
        <v>-1786.32</v>
      </c>
    </row>
    <row r="1682" customFormat="false" ht="15" hidden="false" customHeight="false" outlineLevel="0" collapsed="false">
      <c r="A1682" s="3" t="n">
        <v>5</v>
      </c>
      <c r="B1682" s="3" t="s">
        <v>693</v>
      </c>
      <c r="C1682" s="3" t="s">
        <v>102</v>
      </c>
      <c r="D1682" s="15" t="n">
        <v>352</v>
      </c>
    </row>
    <row r="1683" customFormat="false" ht="15" hidden="false" customHeight="false" outlineLevel="0" collapsed="false">
      <c r="A1683" s="3" t="n">
        <v>5</v>
      </c>
      <c r="B1683" s="3" t="s">
        <v>694</v>
      </c>
      <c r="C1683" s="3" t="s">
        <v>102</v>
      </c>
      <c r="D1683" s="15" t="n">
        <v>5039.11</v>
      </c>
    </row>
    <row r="1684" customFormat="false" ht="15" hidden="false" customHeight="false" outlineLevel="0" collapsed="false">
      <c r="A1684" s="3" t="n">
        <v>5</v>
      </c>
      <c r="B1684" s="3" t="s">
        <v>695</v>
      </c>
      <c r="C1684" s="3" t="s">
        <v>101</v>
      </c>
      <c r="D1684" s="15" t="n">
        <v>866.6</v>
      </c>
    </row>
    <row r="1685" customFormat="false" ht="15" hidden="false" customHeight="false" outlineLevel="0" collapsed="false">
      <c r="A1685" s="3" t="n">
        <v>5</v>
      </c>
      <c r="B1685" s="3" t="s">
        <v>695</v>
      </c>
      <c r="C1685" s="3" t="s">
        <v>102</v>
      </c>
      <c r="D1685" s="15" t="n">
        <v>3.9</v>
      </c>
    </row>
    <row r="1686" customFormat="false" ht="15" hidden="false" customHeight="false" outlineLevel="0" collapsed="false">
      <c r="A1686" s="3" t="n">
        <v>5</v>
      </c>
      <c r="B1686" s="3" t="s">
        <v>696</v>
      </c>
      <c r="C1686" s="3" t="s">
        <v>101</v>
      </c>
      <c r="D1686" s="15" t="n">
        <v>3574.4</v>
      </c>
    </row>
    <row r="1687" customFormat="false" ht="15" hidden="false" customHeight="false" outlineLevel="0" collapsed="false">
      <c r="A1687" s="3" t="n">
        <v>5</v>
      </c>
      <c r="B1687" s="3" t="s">
        <v>696</v>
      </c>
      <c r="C1687" s="3" t="s">
        <v>102</v>
      </c>
      <c r="D1687" s="15" t="n">
        <v>171.6</v>
      </c>
    </row>
    <row r="1688" customFormat="false" ht="15" hidden="false" customHeight="false" outlineLevel="0" collapsed="false">
      <c r="A1688" s="3" t="n">
        <v>5</v>
      </c>
      <c r="B1688" s="3" t="s">
        <v>697</v>
      </c>
      <c r="C1688" s="3" t="s">
        <v>101</v>
      </c>
      <c r="D1688" s="15" t="n">
        <v>1004.6</v>
      </c>
    </row>
    <row r="1689" customFormat="false" ht="15" hidden="false" customHeight="false" outlineLevel="0" collapsed="false">
      <c r="A1689" s="3" t="n">
        <v>5</v>
      </c>
      <c r="B1689" s="3" t="s">
        <v>697</v>
      </c>
      <c r="C1689" s="3" t="s">
        <v>102</v>
      </c>
      <c r="D1689" s="15" t="n">
        <v>3.9</v>
      </c>
    </row>
    <row r="1690" customFormat="false" ht="15" hidden="false" customHeight="false" outlineLevel="0" collapsed="false">
      <c r="A1690" s="3" t="n">
        <v>5</v>
      </c>
      <c r="B1690" s="3" t="s">
        <v>698</v>
      </c>
      <c r="C1690" s="3" t="s">
        <v>101</v>
      </c>
      <c r="D1690" s="15" t="n">
        <v>7815.93</v>
      </c>
    </row>
    <row r="1691" customFormat="false" ht="15" hidden="false" customHeight="false" outlineLevel="0" collapsed="false">
      <c r="A1691" s="3" t="n">
        <v>5</v>
      </c>
      <c r="B1691" s="3" t="s">
        <v>698</v>
      </c>
      <c r="C1691" s="3" t="s">
        <v>102</v>
      </c>
      <c r="D1691" s="15" t="n">
        <v>489.9</v>
      </c>
    </row>
    <row r="1692" customFormat="false" ht="15" hidden="false" customHeight="false" outlineLevel="0" collapsed="false">
      <c r="A1692" s="3" t="n">
        <v>5</v>
      </c>
      <c r="B1692" s="3" t="s">
        <v>699</v>
      </c>
      <c r="C1692" s="3" t="s">
        <v>101</v>
      </c>
      <c r="D1692" s="15" t="n">
        <v>6694.6</v>
      </c>
    </row>
    <row r="1693" customFormat="false" ht="15" hidden="false" customHeight="false" outlineLevel="0" collapsed="false">
      <c r="A1693" s="3" t="n">
        <v>5</v>
      </c>
      <c r="B1693" s="3" t="s">
        <v>699</v>
      </c>
      <c r="C1693" s="3" t="s">
        <v>102</v>
      </c>
      <c r="D1693" s="15" t="n">
        <v>217.5</v>
      </c>
    </row>
    <row r="1694" customFormat="false" ht="15" hidden="false" customHeight="false" outlineLevel="0" collapsed="false">
      <c r="A1694" s="3" t="n">
        <v>5</v>
      </c>
      <c r="B1694" s="3" t="s">
        <v>700</v>
      </c>
      <c r="C1694" s="3" t="s">
        <v>101</v>
      </c>
      <c r="D1694" s="15" t="n">
        <v>1179</v>
      </c>
    </row>
    <row r="1695" customFormat="false" ht="15" hidden="false" customHeight="false" outlineLevel="0" collapsed="false">
      <c r="A1695" s="3" t="n">
        <v>5</v>
      </c>
      <c r="B1695" s="3" t="s">
        <v>700</v>
      </c>
      <c r="C1695" s="3" t="s">
        <v>102</v>
      </c>
      <c r="D1695" s="15" t="n">
        <v>53.7</v>
      </c>
    </row>
    <row r="1696" customFormat="false" ht="15" hidden="false" customHeight="false" outlineLevel="0" collapsed="false">
      <c r="A1696" s="3" t="n">
        <v>5</v>
      </c>
      <c r="B1696" s="3" t="s">
        <v>701</v>
      </c>
      <c r="C1696" s="3" t="s">
        <v>101</v>
      </c>
      <c r="D1696" s="15" t="n">
        <v>3821</v>
      </c>
    </row>
    <row r="1697" customFormat="false" ht="15" hidden="false" customHeight="false" outlineLevel="0" collapsed="false">
      <c r="A1697" s="3" t="n">
        <v>5</v>
      </c>
      <c r="B1697" s="3" t="s">
        <v>701</v>
      </c>
      <c r="C1697" s="3" t="s">
        <v>102</v>
      </c>
      <c r="D1697" s="15" t="n">
        <v>50.7</v>
      </c>
    </row>
    <row r="1698" customFormat="false" ht="15" hidden="false" customHeight="false" outlineLevel="0" collapsed="false">
      <c r="A1698" s="3" t="n">
        <v>5</v>
      </c>
      <c r="B1698" s="3" t="s">
        <v>702</v>
      </c>
      <c r="C1698" s="3" t="s">
        <v>101</v>
      </c>
      <c r="D1698" s="15" t="n">
        <v>5178</v>
      </c>
    </row>
    <row r="1699" customFormat="false" ht="15" hidden="false" customHeight="false" outlineLevel="0" collapsed="false">
      <c r="A1699" s="3" t="n">
        <v>5</v>
      </c>
      <c r="B1699" s="3" t="s">
        <v>702</v>
      </c>
      <c r="C1699" s="3" t="s">
        <v>103</v>
      </c>
      <c r="D1699" s="15" t="n">
        <v>-1933.33</v>
      </c>
    </row>
    <row r="1700" customFormat="false" ht="15" hidden="false" customHeight="false" outlineLevel="0" collapsed="false">
      <c r="A1700" s="3" t="n">
        <v>5</v>
      </c>
      <c r="B1700" s="3" t="s">
        <v>702</v>
      </c>
      <c r="C1700" s="3" t="s">
        <v>102</v>
      </c>
      <c r="D1700" s="15" t="n">
        <v>7636.22</v>
      </c>
    </row>
    <row r="1701" customFormat="false" ht="15" hidden="false" customHeight="false" outlineLevel="0" collapsed="false">
      <c r="A1701" s="3" t="n">
        <v>5</v>
      </c>
      <c r="B1701" s="3" t="s">
        <v>703</v>
      </c>
      <c r="C1701" s="3" t="s">
        <v>101</v>
      </c>
      <c r="D1701" s="15" t="n">
        <v>13992.05</v>
      </c>
    </row>
    <row r="1702" customFormat="false" ht="15" hidden="false" customHeight="false" outlineLevel="0" collapsed="false">
      <c r="A1702" s="3" t="n">
        <v>5</v>
      </c>
      <c r="B1702" s="3" t="s">
        <v>703</v>
      </c>
      <c r="C1702" s="3" t="s">
        <v>102</v>
      </c>
      <c r="D1702" s="15" t="n">
        <v>23</v>
      </c>
    </row>
    <row r="1703" customFormat="false" ht="15" hidden="false" customHeight="false" outlineLevel="0" collapsed="false">
      <c r="A1703" s="3" t="n">
        <v>5</v>
      </c>
      <c r="B1703" s="3" t="s">
        <v>703</v>
      </c>
      <c r="C1703" s="3" t="s">
        <v>82</v>
      </c>
      <c r="D1703" s="15" t="n">
        <v>7.92</v>
      </c>
    </row>
    <row r="1704" customFormat="false" ht="15" hidden="false" customHeight="false" outlineLevel="0" collapsed="false">
      <c r="A1704" s="3" t="n">
        <v>5</v>
      </c>
      <c r="B1704" s="3" t="s">
        <v>704</v>
      </c>
      <c r="C1704" s="3" t="s">
        <v>102</v>
      </c>
      <c r="D1704" s="15" t="n">
        <v>13639.8</v>
      </c>
    </row>
    <row r="1705" customFormat="false" ht="15" hidden="false" customHeight="false" outlineLevel="0" collapsed="false">
      <c r="A1705" s="3" t="n">
        <v>5</v>
      </c>
      <c r="B1705" s="3" t="s">
        <v>705</v>
      </c>
      <c r="C1705" s="3" t="s">
        <v>101</v>
      </c>
      <c r="D1705" s="15" t="n">
        <v>1293.2</v>
      </c>
    </row>
    <row r="1706" customFormat="false" ht="15" hidden="false" customHeight="false" outlineLevel="0" collapsed="false">
      <c r="A1706" s="3" t="n">
        <v>5</v>
      </c>
      <c r="B1706" s="3" t="s">
        <v>705</v>
      </c>
      <c r="C1706" s="3" t="s">
        <v>102</v>
      </c>
      <c r="D1706" s="15" t="n">
        <v>4000</v>
      </c>
    </row>
    <row r="1707" customFormat="false" ht="15" hidden="false" customHeight="false" outlineLevel="0" collapsed="false">
      <c r="A1707" s="3" t="n">
        <v>5</v>
      </c>
      <c r="B1707" s="3" t="s">
        <v>706</v>
      </c>
      <c r="C1707" s="3" t="s">
        <v>101</v>
      </c>
      <c r="D1707" s="15" t="n">
        <v>956.6</v>
      </c>
    </row>
    <row r="1708" customFormat="false" ht="15" hidden="false" customHeight="false" outlineLevel="0" collapsed="false">
      <c r="A1708" s="3" t="n">
        <v>5</v>
      </c>
      <c r="B1708" s="3" t="s">
        <v>706</v>
      </c>
      <c r="C1708" s="3" t="s">
        <v>102</v>
      </c>
      <c r="D1708" s="15" t="n">
        <v>301.9</v>
      </c>
    </row>
    <row r="1709" customFormat="false" ht="15" hidden="false" customHeight="false" outlineLevel="0" collapsed="false">
      <c r="A1709" s="3" t="n">
        <v>5</v>
      </c>
      <c r="B1709" s="3" t="s">
        <v>707</v>
      </c>
      <c r="C1709" s="3" t="s">
        <v>101</v>
      </c>
      <c r="D1709" s="15" t="n">
        <v>4602.7</v>
      </c>
    </row>
    <row r="1710" customFormat="false" ht="15" hidden="false" customHeight="false" outlineLevel="0" collapsed="false">
      <c r="A1710" s="3" t="n">
        <v>5</v>
      </c>
      <c r="B1710" s="3" t="s">
        <v>707</v>
      </c>
      <c r="C1710" s="3" t="s">
        <v>102</v>
      </c>
      <c r="D1710" s="15" t="n">
        <v>23761.06</v>
      </c>
    </row>
    <row r="1711" customFormat="false" ht="15" hidden="false" customHeight="false" outlineLevel="0" collapsed="false">
      <c r="A1711" s="3" t="n">
        <v>5</v>
      </c>
      <c r="B1711" s="3" t="s">
        <v>708</v>
      </c>
      <c r="C1711" s="3" t="s">
        <v>101</v>
      </c>
      <c r="D1711" s="15" t="n">
        <v>4632.65</v>
      </c>
    </row>
    <row r="1712" customFormat="false" ht="15" hidden="false" customHeight="false" outlineLevel="0" collapsed="false">
      <c r="A1712" s="3" t="n">
        <v>5</v>
      </c>
      <c r="B1712" s="3" t="s">
        <v>708</v>
      </c>
      <c r="C1712" s="3" t="s">
        <v>102</v>
      </c>
      <c r="D1712" s="15" t="n">
        <v>244.4</v>
      </c>
    </row>
    <row r="1713" customFormat="false" ht="15" hidden="false" customHeight="false" outlineLevel="0" collapsed="false">
      <c r="A1713" s="3" t="n">
        <v>5</v>
      </c>
      <c r="B1713" s="3" t="s">
        <v>709</v>
      </c>
      <c r="C1713" s="3" t="s">
        <v>102</v>
      </c>
      <c r="D1713" s="15" t="n">
        <v>156.6</v>
      </c>
    </row>
    <row r="1714" customFormat="false" ht="15" hidden="false" customHeight="false" outlineLevel="0" collapsed="false">
      <c r="A1714" s="3" t="n">
        <v>5</v>
      </c>
      <c r="B1714" s="3" t="s">
        <v>710</v>
      </c>
      <c r="C1714" s="3" t="s">
        <v>101</v>
      </c>
      <c r="D1714" s="15" t="n">
        <v>937.25</v>
      </c>
    </row>
    <row r="1715" customFormat="false" ht="15" hidden="false" customHeight="false" outlineLevel="0" collapsed="false">
      <c r="A1715" s="3" t="n">
        <v>5</v>
      </c>
      <c r="B1715" s="3" t="s">
        <v>710</v>
      </c>
      <c r="C1715" s="3" t="s">
        <v>102</v>
      </c>
      <c r="D1715" s="15" t="n">
        <v>274.9</v>
      </c>
    </row>
    <row r="1716" customFormat="false" ht="15" hidden="false" customHeight="false" outlineLevel="0" collapsed="false">
      <c r="A1716" s="3" t="n">
        <v>5</v>
      </c>
      <c r="B1716" s="3" t="s">
        <v>711</v>
      </c>
      <c r="C1716" s="3" t="s">
        <v>101</v>
      </c>
      <c r="D1716" s="15" t="n">
        <v>1298</v>
      </c>
    </row>
    <row r="1717" customFormat="false" ht="15" hidden="false" customHeight="false" outlineLevel="0" collapsed="false">
      <c r="A1717" s="3" t="n">
        <v>5</v>
      </c>
      <c r="B1717" s="3" t="s">
        <v>711</v>
      </c>
      <c r="C1717" s="3" t="s">
        <v>102</v>
      </c>
      <c r="D1717" s="15" t="n">
        <v>6324.35</v>
      </c>
    </row>
    <row r="1718" customFormat="false" ht="15" hidden="false" customHeight="false" outlineLevel="0" collapsed="false">
      <c r="A1718" s="3" t="n">
        <v>5</v>
      </c>
      <c r="B1718" s="3" t="s">
        <v>712</v>
      </c>
      <c r="C1718" s="3" t="s">
        <v>101</v>
      </c>
      <c r="D1718" s="15" t="n">
        <v>4835.05</v>
      </c>
    </row>
    <row r="1719" customFormat="false" ht="15" hidden="false" customHeight="false" outlineLevel="0" collapsed="false">
      <c r="A1719" s="3" t="n">
        <v>5</v>
      </c>
      <c r="B1719" s="3" t="s">
        <v>712</v>
      </c>
      <c r="C1719" s="3" t="s">
        <v>102</v>
      </c>
      <c r="D1719" s="15" t="n">
        <v>8481.16</v>
      </c>
    </row>
    <row r="1720" customFormat="false" ht="15" hidden="false" customHeight="false" outlineLevel="0" collapsed="false">
      <c r="A1720" s="3" t="n">
        <v>5</v>
      </c>
      <c r="B1720" s="3" t="s">
        <v>713</v>
      </c>
      <c r="C1720" s="3" t="s">
        <v>101</v>
      </c>
      <c r="D1720" s="15" t="n">
        <v>1778</v>
      </c>
    </row>
    <row r="1721" customFormat="false" ht="15" hidden="false" customHeight="false" outlineLevel="0" collapsed="false">
      <c r="A1721" s="3" t="n">
        <v>5</v>
      </c>
      <c r="B1721" s="3" t="s">
        <v>713</v>
      </c>
      <c r="C1721" s="3" t="s">
        <v>102</v>
      </c>
      <c r="D1721" s="15" t="n">
        <v>32.7</v>
      </c>
    </row>
    <row r="1722" customFormat="false" ht="15" hidden="false" customHeight="false" outlineLevel="0" collapsed="false">
      <c r="A1722" s="3" t="n">
        <v>5</v>
      </c>
      <c r="B1722" s="3" t="s">
        <v>714</v>
      </c>
      <c r="C1722" s="3" t="s">
        <v>101</v>
      </c>
      <c r="D1722" s="15" t="n">
        <v>4384.22</v>
      </c>
    </row>
    <row r="1723" customFormat="false" ht="15" hidden="false" customHeight="false" outlineLevel="0" collapsed="false">
      <c r="A1723" s="3" t="n">
        <v>5</v>
      </c>
      <c r="B1723" s="3" t="s">
        <v>714</v>
      </c>
      <c r="C1723" s="3" t="s">
        <v>102</v>
      </c>
      <c r="D1723" s="15" t="n">
        <v>39.3</v>
      </c>
    </row>
    <row r="1724" customFormat="false" ht="15" hidden="false" customHeight="false" outlineLevel="0" collapsed="false">
      <c r="A1724" s="3" t="n">
        <v>5</v>
      </c>
      <c r="B1724" s="3" t="s">
        <v>715</v>
      </c>
      <c r="C1724" s="3" t="s">
        <v>101</v>
      </c>
      <c r="D1724" s="15" t="n">
        <v>4871.74</v>
      </c>
    </row>
    <row r="1725" customFormat="false" ht="15" hidden="false" customHeight="false" outlineLevel="0" collapsed="false">
      <c r="A1725" s="3" t="n">
        <v>5</v>
      </c>
      <c r="B1725" s="3" t="s">
        <v>715</v>
      </c>
      <c r="C1725" s="3" t="s">
        <v>102</v>
      </c>
      <c r="D1725" s="15" t="n">
        <v>19.5</v>
      </c>
    </row>
    <row r="1726" customFormat="false" ht="15" hidden="false" customHeight="false" outlineLevel="0" collapsed="false">
      <c r="A1726" s="3" t="n">
        <v>5</v>
      </c>
      <c r="B1726" s="3" t="s">
        <v>716</v>
      </c>
      <c r="C1726" s="3" t="s">
        <v>101</v>
      </c>
      <c r="D1726" s="15" t="n">
        <v>1006.6</v>
      </c>
    </row>
    <row r="1727" customFormat="false" ht="15" hidden="false" customHeight="false" outlineLevel="0" collapsed="false">
      <c r="A1727" s="3" t="n">
        <v>5</v>
      </c>
      <c r="B1727" s="3" t="s">
        <v>716</v>
      </c>
      <c r="C1727" s="3" t="s">
        <v>102</v>
      </c>
      <c r="D1727" s="15" t="n">
        <v>3.9</v>
      </c>
    </row>
    <row r="1728" customFormat="false" ht="15" hidden="false" customHeight="false" outlineLevel="0" collapsed="false">
      <c r="A1728" s="3" t="n">
        <v>5</v>
      </c>
      <c r="B1728" s="3" t="s">
        <v>717</v>
      </c>
      <c r="C1728" s="3" t="s">
        <v>101</v>
      </c>
      <c r="D1728" s="15" t="n">
        <v>2479.8</v>
      </c>
    </row>
    <row r="1729" customFormat="false" ht="15" hidden="false" customHeight="false" outlineLevel="0" collapsed="false">
      <c r="A1729" s="3" t="n">
        <v>5</v>
      </c>
      <c r="B1729" s="3" t="s">
        <v>717</v>
      </c>
      <c r="C1729" s="3" t="s">
        <v>102</v>
      </c>
      <c r="D1729" s="15" t="n">
        <v>11.7</v>
      </c>
    </row>
    <row r="1730" customFormat="false" ht="15" hidden="false" customHeight="false" outlineLevel="0" collapsed="false">
      <c r="A1730" s="3" t="n">
        <v>5</v>
      </c>
      <c r="B1730" s="3" t="s">
        <v>718</v>
      </c>
      <c r="C1730" s="3" t="s">
        <v>101</v>
      </c>
      <c r="D1730" s="15" t="n">
        <v>646.6</v>
      </c>
    </row>
    <row r="1731" customFormat="false" ht="15" hidden="false" customHeight="false" outlineLevel="0" collapsed="false">
      <c r="A1731" s="3" t="n">
        <v>5</v>
      </c>
      <c r="B1731" s="3" t="s">
        <v>718</v>
      </c>
      <c r="C1731" s="3" t="s">
        <v>102</v>
      </c>
      <c r="D1731" s="15" t="n">
        <v>3000</v>
      </c>
    </row>
    <row r="1732" customFormat="false" ht="15" hidden="false" customHeight="false" outlineLevel="0" collapsed="false">
      <c r="A1732" s="3" t="n">
        <v>5</v>
      </c>
      <c r="B1732" s="3" t="s">
        <v>719</v>
      </c>
      <c r="C1732" s="3" t="s">
        <v>101</v>
      </c>
      <c r="D1732" s="15" t="n">
        <v>388.17</v>
      </c>
    </row>
    <row r="1733" customFormat="false" ht="15" hidden="false" customHeight="false" outlineLevel="0" collapsed="false">
      <c r="A1733" s="3" t="n">
        <v>5</v>
      </c>
      <c r="B1733" s="3" t="s">
        <v>720</v>
      </c>
      <c r="C1733" s="3" t="s">
        <v>101</v>
      </c>
      <c r="D1733" s="15" t="n">
        <v>2113.37</v>
      </c>
    </row>
    <row r="1734" customFormat="false" ht="15" hidden="false" customHeight="false" outlineLevel="0" collapsed="false">
      <c r="A1734" s="3" t="n">
        <v>5</v>
      </c>
      <c r="B1734" s="3" t="s">
        <v>720</v>
      </c>
      <c r="C1734" s="3" t="s">
        <v>102</v>
      </c>
      <c r="D1734" s="15" t="n">
        <v>11.7</v>
      </c>
    </row>
    <row r="1735" customFormat="false" ht="15" hidden="false" customHeight="false" outlineLevel="0" collapsed="false">
      <c r="A1735" s="3" t="n">
        <v>5</v>
      </c>
      <c r="B1735" s="3" t="s">
        <v>721</v>
      </c>
      <c r="C1735" s="3" t="s">
        <v>101</v>
      </c>
      <c r="D1735" s="15" t="n">
        <v>8405.8</v>
      </c>
    </row>
    <row r="1736" customFormat="false" ht="15" hidden="false" customHeight="false" outlineLevel="0" collapsed="false">
      <c r="A1736" s="3" t="n">
        <v>5</v>
      </c>
      <c r="B1736" s="3" t="s">
        <v>721</v>
      </c>
      <c r="C1736" s="3" t="s">
        <v>102</v>
      </c>
      <c r="D1736" s="15" t="n">
        <v>33284.37</v>
      </c>
    </row>
    <row r="1737" customFormat="false" ht="15" hidden="false" customHeight="false" outlineLevel="0" collapsed="false">
      <c r="A1737" s="3" t="n">
        <v>5</v>
      </c>
      <c r="B1737" s="3" t="s">
        <v>722</v>
      </c>
      <c r="C1737" s="3" t="s">
        <v>101</v>
      </c>
      <c r="D1737" s="15" t="n">
        <v>10629.58</v>
      </c>
    </row>
    <row r="1738" customFormat="false" ht="15" hidden="false" customHeight="false" outlineLevel="0" collapsed="false">
      <c r="A1738" s="3" t="n">
        <v>5</v>
      </c>
      <c r="B1738" s="3" t="s">
        <v>722</v>
      </c>
      <c r="C1738" s="3" t="s">
        <v>102</v>
      </c>
      <c r="D1738" s="15" t="n">
        <v>12</v>
      </c>
    </row>
    <row r="1739" customFormat="false" ht="15" hidden="false" customHeight="false" outlineLevel="0" collapsed="false">
      <c r="A1739" s="3" t="n">
        <v>5</v>
      </c>
      <c r="B1739" s="3" t="s">
        <v>723</v>
      </c>
      <c r="C1739" s="3" t="s">
        <v>101</v>
      </c>
      <c r="D1739" s="15" t="n">
        <v>2742.31</v>
      </c>
    </row>
    <row r="1740" customFormat="false" ht="15" hidden="false" customHeight="false" outlineLevel="0" collapsed="false">
      <c r="A1740" s="3" t="n">
        <v>5</v>
      </c>
      <c r="B1740" s="3" t="s">
        <v>723</v>
      </c>
      <c r="C1740" s="3" t="s">
        <v>102</v>
      </c>
      <c r="D1740" s="15" t="n">
        <v>15.6</v>
      </c>
    </row>
    <row r="1741" customFormat="false" ht="15" hidden="false" customHeight="false" outlineLevel="0" collapsed="false">
      <c r="A1741" s="3" t="n">
        <v>5</v>
      </c>
      <c r="B1741" s="3" t="s">
        <v>724</v>
      </c>
      <c r="C1741" s="3" t="s">
        <v>101</v>
      </c>
      <c r="D1741" s="15" t="n">
        <v>265.98</v>
      </c>
    </row>
    <row r="1742" customFormat="false" ht="15" hidden="false" customHeight="false" outlineLevel="0" collapsed="false">
      <c r="A1742" s="3" t="n">
        <v>5</v>
      </c>
      <c r="B1742" s="3" t="s">
        <v>725</v>
      </c>
      <c r="C1742" s="3" t="s">
        <v>101</v>
      </c>
      <c r="D1742" s="15" t="n">
        <v>844.6</v>
      </c>
    </row>
    <row r="1743" customFormat="false" ht="15" hidden="false" customHeight="false" outlineLevel="0" collapsed="false">
      <c r="A1743" s="3" t="n">
        <v>5</v>
      </c>
      <c r="B1743" s="3" t="s">
        <v>725</v>
      </c>
      <c r="C1743" s="3" t="s">
        <v>102</v>
      </c>
      <c r="D1743" s="15" t="n">
        <v>3.9</v>
      </c>
    </row>
    <row r="1744" customFormat="false" ht="15" hidden="false" customHeight="false" outlineLevel="0" collapsed="false">
      <c r="A1744" s="3" t="n">
        <v>5</v>
      </c>
      <c r="B1744" s="3" t="s">
        <v>726</v>
      </c>
      <c r="C1744" s="3" t="s">
        <v>101</v>
      </c>
      <c r="D1744" s="15" t="n">
        <v>1533.2</v>
      </c>
    </row>
    <row r="1745" customFormat="false" ht="15" hidden="false" customHeight="false" outlineLevel="0" collapsed="false">
      <c r="A1745" s="3" t="n">
        <v>5</v>
      </c>
      <c r="B1745" s="3" t="s">
        <v>726</v>
      </c>
      <c r="C1745" s="3" t="s">
        <v>102</v>
      </c>
      <c r="D1745" s="15" t="n">
        <v>7.8</v>
      </c>
    </row>
    <row r="1746" customFormat="false" ht="15" hidden="false" customHeight="false" outlineLevel="0" collapsed="false">
      <c r="A1746" s="3" t="n">
        <v>5</v>
      </c>
      <c r="B1746" s="3" t="s">
        <v>727</v>
      </c>
      <c r="C1746" s="3" t="s">
        <v>101</v>
      </c>
      <c r="D1746" s="15" t="n">
        <v>39396.9</v>
      </c>
    </row>
    <row r="1747" customFormat="false" ht="15" hidden="false" customHeight="false" outlineLevel="0" collapsed="false">
      <c r="A1747" s="3" t="n">
        <v>5</v>
      </c>
      <c r="B1747" s="3" t="s">
        <v>727</v>
      </c>
      <c r="C1747" s="3" t="s">
        <v>102</v>
      </c>
      <c r="D1747" s="15" t="n">
        <v>4962.54</v>
      </c>
    </row>
    <row r="1748" customFormat="false" ht="15" hidden="false" customHeight="false" outlineLevel="0" collapsed="false">
      <c r="A1748" s="3" t="n">
        <v>6</v>
      </c>
      <c r="B1748" s="3" t="s">
        <v>728</v>
      </c>
      <c r="C1748" s="3" t="s">
        <v>103</v>
      </c>
      <c r="D1748" s="15" t="n">
        <v>-6341.17</v>
      </c>
    </row>
    <row r="1749" customFormat="false" ht="15" hidden="false" customHeight="false" outlineLevel="0" collapsed="false">
      <c r="A1749" s="3" t="n">
        <v>6</v>
      </c>
      <c r="B1749" s="3" t="s">
        <v>728</v>
      </c>
      <c r="C1749" s="3" t="s">
        <v>100</v>
      </c>
      <c r="D1749" s="15" t="n">
        <v>88710.32</v>
      </c>
    </row>
    <row r="1750" customFormat="false" ht="15" hidden="false" customHeight="false" outlineLevel="0" collapsed="false">
      <c r="A1750" s="3" t="n">
        <v>6</v>
      </c>
      <c r="B1750" s="3" t="s">
        <v>728</v>
      </c>
      <c r="C1750" s="3" t="s">
        <v>99</v>
      </c>
      <c r="D1750" s="15" t="n">
        <v>14875.37</v>
      </c>
    </row>
    <row r="1751" customFormat="false" ht="15" hidden="false" customHeight="false" outlineLevel="0" collapsed="false">
      <c r="A1751" s="3" t="n">
        <v>6</v>
      </c>
      <c r="B1751" s="3" t="s">
        <v>728</v>
      </c>
      <c r="C1751" s="3" t="s">
        <v>98</v>
      </c>
      <c r="D1751" s="15" t="n">
        <v>128356.39</v>
      </c>
    </row>
    <row r="1752" customFormat="false" ht="15" hidden="false" customHeight="false" outlineLevel="0" collapsed="false">
      <c r="A1752" s="3" t="n">
        <v>6</v>
      </c>
      <c r="B1752" s="3" t="s">
        <v>728</v>
      </c>
      <c r="C1752" s="3" t="s">
        <v>82</v>
      </c>
      <c r="D1752" s="15" t="n">
        <v>68526.34</v>
      </c>
    </row>
    <row r="1753" customFormat="false" ht="15" hidden="false" customHeight="false" outlineLevel="0" collapsed="false">
      <c r="A1753" s="3" t="n">
        <v>6</v>
      </c>
      <c r="B1753" s="3" t="s">
        <v>729</v>
      </c>
      <c r="C1753" s="3" t="s">
        <v>103</v>
      </c>
      <c r="D1753" s="15" t="n">
        <v>-173.55</v>
      </c>
    </row>
    <row r="1754" customFormat="false" ht="15" hidden="false" customHeight="false" outlineLevel="0" collapsed="false">
      <c r="A1754" s="3" t="n">
        <v>6</v>
      </c>
      <c r="B1754" s="3" t="s">
        <v>729</v>
      </c>
      <c r="C1754" s="3" t="s">
        <v>100</v>
      </c>
      <c r="D1754" s="15" t="n">
        <v>978.75</v>
      </c>
    </row>
    <row r="1755" customFormat="false" ht="15" hidden="false" customHeight="false" outlineLevel="0" collapsed="false">
      <c r="A1755" s="3" t="n">
        <v>6</v>
      </c>
      <c r="B1755" s="3" t="s">
        <v>729</v>
      </c>
      <c r="C1755" s="3" t="s">
        <v>99</v>
      </c>
      <c r="D1755" s="15" t="n">
        <v>32.07</v>
      </c>
    </row>
    <row r="1756" customFormat="false" ht="15" hidden="false" customHeight="false" outlineLevel="0" collapsed="false">
      <c r="A1756" s="3" t="n">
        <v>6</v>
      </c>
      <c r="B1756" s="3" t="s">
        <v>729</v>
      </c>
      <c r="C1756" s="3" t="s">
        <v>98</v>
      </c>
      <c r="D1756" s="15" t="n">
        <v>1707</v>
      </c>
    </row>
    <row r="1757" customFormat="false" ht="15" hidden="false" customHeight="false" outlineLevel="0" collapsed="false">
      <c r="A1757" s="3" t="n">
        <v>6</v>
      </c>
      <c r="B1757" s="3" t="s">
        <v>729</v>
      </c>
      <c r="C1757" s="3" t="s">
        <v>82</v>
      </c>
      <c r="D1757" s="15" t="n">
        <v>907.95</v>
      </c>
    </row>
    <row r="1758" customFormat="false" ht="15" hidden="false" customHeight="false" outlineLevel="0" collapsed="false">
      <c r="A1758" s="3" t="n">
        <v>6</v>
      </c>
      <c r="B1758" s="3" t="s">
        <v>730</v>
      </c>
      <c r="C1758" s="3" t="s">
        <v>103</v>
      </c>
      <c r="D1758" s="15" t="n">
        <v>-1516.62</v>
      </c>
    </row>
    <row r="1759" customFormat="false" ht="15" hidden="false" customHeight="false" outlineLevel="0" collapsed="false">
      <c r="A1759" s="3" t="n">
        <v>6</v>
      </c>
      <c r="B1759" s="3" t="s">
        <v>730</v>
      </c>
      <c r="C1759" s="3" t="s">
        <v>100</v>
      </c>
      <c r="D1759" s="15" t="n">
        <v>7577.14</v>
      </c>
    </row>
    <row r="1760" customFormat="false" ht="15" hidden="false" customHeight="false" outlineLevel="0" collapsed="false">
      <c r="A1760" s="3" t="n">
        <v>6</v>
      </c>
      <c r="B1760" s="3" t="s">
        <v>730</v>
      </c>
      <c r="C1760" s="3" t="s">
        <v>99</v>
      </c>
      <c r="D1760" s="15" t="n">
        <v>72.63</v>
      </c>
    </row>
    <row r="1761" customFormat="false" ht="15" hidden="false" customHeight="false" outlineLevel="0" collapsed="false">
      <c r="A1761" s="3" t="n">
        <v>6</v>
      </c>
      <c r="B1761" s="3" t="s">
        <v>730</v>
      </c>
      <c r="C1761" s="3" t="s">
        <v>98</v>
      </c>
      <c r="D1761" s="15" t="n">
        <v>13508.33</v>
      </c>
    </row>
    <row r="1762" customFormat="false" ht="15" hidden="false" customHeight="false" outlineLevel="0" collapsed="false">
      <c r="A1762" s="3" t="n">
        <v>6</v>
      </c>
      <c r="B1762" s="3" t="s">
        <v>730</v>
      </c>
      <c r="C1762" s="3" t="s">
        <v>82</v>
      </c>
      <c r="D1762" s="15" t="n">
        <v>7018.27</v>
      </c>
    </row>
    <row r="1763" customFormat="false" ht="15" hidden="false" customHeight="false" outlineLevel="0" collapsed="false">
      <c r="A1763" s="3" t="n">
        <v>6</v>
      </c>
      <c r="B1763" s="3" t="s">
        <v>731</v>
      </c>
      <c r="C1763" s="3" t="s">
        <v>103</v>
      </c>
      <c r="D1763" s="15" t="n">
        <v>-193.04</v>
      </c>
    </row>
    <row r="1764" customFormat="false" ht="15" hidden="false" customHeight="false" outlineLevel="0" collapsed="false">
      <c r="A1764" s="3" t="n">
        <v>6</v>
      </c>
      <c r="B1764" s="3" t="s">
        <v>731</v>
      </c>
      <c r="C1764" s="3" t="s">
        <v>100</v>
      </c>
      <c r="D1764" s="15" t="n">
        <v>960.7</v>
      </c>
    </row>
    <row r="1765" customFormat="false" ht="15" hidden="false" customHeight="false" outlineLevel="0" collapsed="false">
      <c r="A1765" s="3" t="n">
        <v>6</v>
      </c>
      <c r="B1765" s="3" t="s">
        <v>731</v>
      </c>
      <c r="C1765" s="3" t="s">
        <v>98</v>
      </c>
      <c r="D1765" s="15" t="n">
        <v>1707</v>
      </c>
    </row>
    <row r="1766" customFormat="false" ht="15" hidden="false" customHeight="false" outlineLevel="0" collapsed="false">
      <c r="A1766" s="3" t="n">
        <v>6</v>
      </c>
      <c r="B1766" s="3" t="s">
        <v>731</v>
      </c>
      <c r="C1766" s="3" t="s">
        <v>82</v>
      </c>
      <c r="D1766" s="15" t="n">
        <v>886.76</v>
      </c>
    </row>
    <row r="1767" customFormat="false" ht="15" hidden="false" customHeight="false" outlineLevel="0" collapsed="false">
      <c r="A1767" s="3" t="n">
        <v>6</v>
      </c>
      <c r="B1767" s="3" t="s">
        <v>733</v>
      </c>
      <c r="C1767" s="3" t="s">
        <v>103</v>
      </c>
      <c r="D1767" s="15" t="n">
        <v>-1387.82</v>
      </c>
    </row>
    <row r="1768" customFormat="false" ht="15" hidden="false" customHeight="false" outlineLevel="0" collapsed="false">
      <c r="A1768" s="3" t="n">
        <v>6</v>
      </c>
      <c r="B1768" s="3" t="s">
        <v>733</v>
      </c>
      <c r="C1768" s="3" t="s">
        <v>100</v>
      </c>
      <c r="D1768" s="15" t="n">
        <v>5128.54</v>
      </c>
    </row>
    <row r="1769" customFormat="false" ht="15" hidden="false" customHeight="false" outlineLevel="0" collapsed="false">
      <c r="A1769" s="3" t="n">
        <v>6</v>
      </c>
      <c r="B1769" s="3" t="s">
        <v>733</v>
      </c>
      <c r="C1769" s="3" t="s">
        <v>99</v>
      </c>
      <c r="D1769" s="15" t="n">
        <v>322.09</v>
      </c>
    </row>
    <row r="1770" customFormat="false" ht="15" hidden="false" customHeight="false" outlineLevel="0" collapsed="false">
      <c r="A1770" s="3" t="n">
        <v>6</v>
      </c>
      <c r="B1770" s="3" t="s">
        <v>733</v>
      </c>
      <c r="C1770" s="3" t="s">
        <v>98</v>
      </c>
      <c r="D1770" s="15" t="n">
        <v>8699.34</v>
      </c>
    </row>
    <row r="1771" customFormat="false" ht="15" hidden="false" customHeight="false" outlineLevel="0" collapsed="false">
      <c r="A1771" s="3" t="n">
        <v>6</v>
      </c>
      <c r="B1771" s="3" t="s">
        <v>733</v>
      </c>
      <c r="C1771" s="3" t="s">
        <v>82</v>
      </c>
      <c r="D1771" s="15" t="n">
        <v>4616.66</v>
      </c>
    </row>
    <row r="1772" customFormat="false" ht="15" hidden="false" customHeight="false" outlineLevel="0" collapsed="false">
      <c r="A1772" s="3" t="n">
        <v>6</v>
      </c>
      <c r="B1772" s="3" t="s">
        <v>734</v>
      </c>
      <c r="C1772" s="3" t="s">
        <v>103</v>
      </c>
      <c r="D1772" s="15" t="n">
        <v>-386.08</v>
      </c>
    </row>
    <row r="1773" customFormat="false" ht="15" hidden="false" customHeight="false" outlineLevel="0" collapsed="false">
      <c r="A1773" s="3" t="n">
        <v>6</v>
      </c>
      <c r="B1773" s="3" t="s">
        <v>734</v>
      </c>
      <c r="C1773" s="3" t="s">
        <v>100</v>
      </c>
      <c r="D1773" s="15" t="n">
        <v>1921.4</v>
      </c>
    </row>
    <row r="1774" customFormat="false" ht="15" hidden="false" customHeight="false" outlineLevel="0" collapsed="false">
      <c r="A1774" s="3" t="n">
        <v>6</v>
      </c>
      <c r="B1774" s="3" t="s">
        <v>734</v>
      </c>
      <c r="C1774" s="3" t="s">
        <v>98</v>
      </c>
      <c r="D1774" s="15" t="n">
        <v>3414</v>
      </c>
    </row>
    <row r="1775" customFormat="false" ht="15" hidden="false" customHeight="false" outlineLevel="0" collapsed="false">
      <c r="A1775" s="3" t="n">
        <v>6</v>
      </c>
      <c r="B1775" s="3" t="s">
        <v>734</v>
      </c>
      <c r="C1775" s="3" t="s">
        <v>82</v>
      </c>
      <c r="D1775" s="15" t="n">
        <v>1773.52</v>
      </c>
    </row>
    <row r="1776" customFormat="false" ht="15" hidden="false" customHeight="false" outlineLevel="0" collapsed="false">
      <c r="A1776" s="3" t="n">
        <v>6</v>
      </c>
      <c r="B1776" s="3" t="s">
        <v>735</v>
      </c>
      <c r="C1776" s="3" t="s">
        <v>103</v>
      </c>
      <c r="D1776" s="15" t="n">
        <v>-736.76</v>
      </c>
    </row>
    <row r="1777" customFormat="false" ht="15" hidden="false" customHeight="false" outlineLevel="0" collapsed="false">
      <c r="A1777" s="3" t="n">
        <v>6</v>
      </c>
      <c r="B1777" s="3" t="s">
        <v>735</v>
      </c>
      <c r="C1777" s="3" t="s">
        <v>102</v>
      </c>
      <c r="D1777" s="15" t="n">
        <v>720</v>
      </c>
    </row>
    <row r="1778" customFormat="false" ht="15" hidden="false" customHeight="false" outlineLevel="0" collapsed="false">
      <c r="A1778" s="3" t="n">
        <v>6</v>
      </c>
      <c r="B1778" s="3" t="s">
        <v>735</v>
      </c>
      <c r="C1778" s="3" t="s">
        <v>100</v>
      </c>
      <c r="D1778" s="15" t="n">
        <v>16795.66</v>
      </c>
    </row>
    <row r="1779" customFormat="false" ht="15" hidden="false" customHeight="false" outlineLevel="0" collapsed="false">
      <c r="A1779" s="3" t="n">
        <v>6</v>
      </c>
      <c r="B1779" s="3" t="s">
        <v>735</v>
      </c>
      <c r="C1779" s="3" t="s">
        <v>98</v>
      </c>
      <c r="D1779" s="15" t="n">
        <v>29843</v>
      </c>
    </row>
    <row r="1780" customFormat="false" ht="15" hidden="false" customHeight="false" outlineLevel="0" collapsed="false">
      <c r="A1780" s="3" t="n">
        <v>6</v>
      </c>
      <c r="B1780" s="3" t="s">
        <v>735</v>
      </c>
      <c r="C1780" s="3" t="s">
        <v>82</v>
      </c>
      <c r="D1780" s="15" t="n">
        <v>16269.38</v>
      </c>
    </row>
    <row r="1781" customFormat="false" ht="15" hidden="false" customHeight="false" outlineLevel="0" collapsed="false">
      <c r="A1781" s="3" t="n">
        <v>6</v>
      </c>
      <c r="B1781" s="3" t="s">
        <v>736</v>
      </c>
      <c r="C1781" s="3" t="s">
        <v>103</v>
      </c>
      <c r="D1781" s="15" t="n">
        <v>-1797.24</v>
      </c>
    </row>
    <row r="1782" customFormat="false" ht="15" hidden="false" customHeight="false" outlineLevel="0" collapsed="false">
      <c r="A1782" s="3" t="n">
        <v>6</v>
      </c>
      <c r="B1782" s="3" t="s">
        <v>736</v>
      </c>
      <c r="C1782" s="3" t="s">
        <v>102</v>
      </c>
      <c r="D1782" s="15" t="n">
        <v>1621</v>
      </c>
    </row>
    <row r="1783" customFormat="false" ht="15" hidden="false" customHeight="false" outlineLevel="0" collapsed="false">
      <c r="A1783" s="3" t="n">
        <v>6</v>
      </c>
      <c r="B1783" s="3" t="s">
        <v>736</v>
      </c>
      <c r="C1783" s="3" t="s">
        <v>100</v>
      </c>
      <c r="D1783" s="15" t="n">
        <v>907.88</v>
      </c>
    </row>
    <row r="1784" customFormat="false" ht="15" hidden="false" customHeight="false" outlineLevel="0" collapsed="false">
      <c r="A1784" s="3" t="n">
        <v>6</v>
      </c>
      <c r="B1784" s="3" t="s">
        <v>736</v>
      </c>
      <c r="C1784" s="3" t="s">
        <v>98</v>
      </c>
      <c r="D1784" s="15" t="n">
        <v>1621</v>
      </c>
    </row>
    <row r="1785" customFormat="false" ht="15" hidden="false" customHeight="false" outlineLevel="0" collapsed="false">
      <c r="A1785" s="3" t="n">
        <v>6</v>
      </c>
      <c r="B1785" s="3" t="s">
        <v>736</v>
      </c>
      <c r="C1785" s="3" t="s">
        <v>82</v>
      </c>
      <c r="D1785" s="15" t="n">
        <v>840.76</v>
      </c>
    </row>
    <row r="1786" customFormat="false" ht="15" hidden="false" customHeight="false" outlineLevel="0" collapsed="false">
      <c r="A1786" s="3" t="n">
        <v>6</v>
      </c>
      <c r="B1786" s="3" t="s">
        <v>737</v>
      </c>
      <c r="C1786" s="3" t="s">
        <v>103</v>
      </c>
      <c r="D1786" s="15" t="n">
        <v>-142.26</v>
      </c>
    </row>
    <row r="1787" customFormat="false" ht="15" hidden="false" customHeight="false" outlineLevel="0" collapsed="false">
      <c r="A1787" s="3" t="n">
        <v>6</v>
      </c>
      <c r="B1787" s="3" t="s">
        <v>737</v>
      </c>
      <c r="C1787" s="3" t="s">
        <v>102</v>
      </c>
      <c r="D1787" s="15" t="n">
        <v>240</v>
      </c>
    </row>
    <row r="1788" customFormat="false" ht="15" hidden="false" customHeight="false" outlineLevel="0" collapsed="false">
      <c r="A1788" s="3" t="n">
        <v>6</v>
      </c>
      <c r="B1788" s="3" t="s">
        <v>737</v>
      </c>
      <c r="C1788" s="3" t="s">
        <v>100</v>
      </c>
      <c r="D1788" s="15" t="n">
        <v>8009.76</v>
      </c>
    </row>
    <row r="1789" customFormat="false" ht="15" hidden="false" customHeight="false" outlineLevel="0" collapsed="false">
      <c r="A1789" s="3" t="n">
        <v>6</v>
      </c>
      <c r="B1789" s="3" t="s">
        <v>737</v>
      </c>
      <c r="C1789" s="3" t="s">
        <v>98</v>
      </c>
      <c r="D1789" s="15" t="n">
        <v>14232</v>
      </c>
    </row>
    <row r="1790" customFormat="false" ht="15" hidden="false" customHeight="false" outlineLevel="0" collapsed="false">
      <c r="A1790" s="3" t="n">
        <v>6</v>
      </c>
      <c r="B1790" s="3" t="s">
        <v>737</v>
      </c>
      <c r="C1790" s="3" t="s">
        <v>82</v>
      </c>
      <c r="D1790" s="15" t="n">
        <v>7763.94</v>
      </c>
    </row>
    <row r="1791" customFormat="false" ht="15" hidden="false" customHeight="false" outlineLevel="0" collapsed="false">
      <c r="A1791" s="3" t="n">
        <v>6</v>
      </c>
      <c r="B1791" s="3" t="s">
        <v>738</v>
      </c>
      <c r="C1791" s="3" t="s">
        <v>103</v>
      </c>
      <c r="D1791" s="15" t="n">
        <v>-497.91</v>
      </c>
    </row>
    <row r="1792" customFormat="false" ht="15" hidden="false" customHeight="false" outlineLevel="0" collapsed="false">
      <c r="A1792" s="3" t="n">
        <v>6</v>
      </c>
      <c r="B1792" s="3" t="s">
        <v>738</v>
      </c>
      <c r="C1792" s="3" t="s">
        <v>102</v>
      </c>
      <c r="D1792" s="15" t="n">
        <v>840</v>
      </c>
    </row>
    <row r="1793" customFormat="false" ht="15" hidden="false" customHeight="false" outlineLevel="0" collapsed="false">
      <c r="A1793" s="3" t="n">
        <v>6</v>
      </c>
      <c r="B1793" s="3" t="s">
        <v>738</v>
      </c>
      <c r="C1793" s="3" t="s">
        <v>100</v>
      </c>
      <c r="D1793" s="15" t="n">
        <v>12937.68</v>
      </c>
    </row>
    <row r="1794" customFormat="false" ht="15" hidden="false" customHeight="false" outlineLevel="0" collapsed="false">
      <c r="A1794" s="3" t="n">
        <v>6</v>
      </c>
      <c r="B1794" s="3" t="s">
        <v>738</v>
      </c>
      <c r="C1794" s="3" t="s">
        <v>98</v>
      </c>
      <c r="D1794" s="15" t="n">
        <v>22988</v>
      </c>
    </row>
    <row r="1795" customFormat="false" ht="15" hidden="false" customHeight="false" outlineLevel="0" collapsed="false">
      <c r="A1795" s="3" t="n">
        <v>6</v>
      </c>
      <c r="B1795" s="3" t="s">
        <v>738</v>
      </c>
      <c r="C1795" s="3" t="s">
        <v>82</v>
      </c>
      <c r="D1795" s="15" t="n">
        <v>12644.8</v>
      </c>
    </row>
    <row r="1796" customFormat="false" ht="15" hidden="false" customHeight="false" outlineLevel="0" collapsed="false">
      <c r="A1796" s="3" t="n">
        <v>6</v>
      </c>
      <c r="B1796" s="3" t="s">
        <v>740</v>
      </c>
      <c r="C1796" s="3" t="s">
        <v>103</v>
      </c>
      <c r="D1796" s="15" t="n">
        <v>-331.19</v>
      </c>
    </row>
    <row r="1797" customFormat="false" ht="15" hidden="false" customHeight="false" outlineLevel="0" collapsed="false">
      <c r="A1797" s="3" t="n">
        <v>6</v>
      </c>
      <c r="B1797" s="3" t="s">
        <v>740</v>
      </c>
      <c r="C1797" s="3" t="s">
        <v>100</v>
      </c>
      <c r="D1797" s="15" t="n">
        <v>1833.14</v>
      </c>
    </row>
    <row r="1798" customFormat="false" ht="15" hidden="false" customHeight="false" outlineLevel="0" collapsed="false">
      <c r="A1798" s="3" t="n">
        <v>6</v>
      </c>
      <c r="B1798" s="3" t="s">
        <v>740</v>
      </c>
      <c r="C1798" s="3" t="s">
        <v>99</v>
      </c>
      <c r="D1798" s="15" t="n">
        <v>15.53</v>
      </c>
    </row>
    <row r="1799" customFormat="false" ht="15" hidden="false" customHeight="false" outlineLevel="0" collapsed="false">
      <c r="A1799" s="3" t="n">
        <v>6</v>
      </c>
      <c r="B1799" s="3" t="s">
        <v>740</v>
      </c>
      <c r="C1799" s="3" t="s">
        <v>98</v>
      </c>
      <c r="D1799" s="15" t="n">
        <v>3242</v>
      </c>
    </row>
    <row r="1800" customFormat="false" ht="15" hidden="false" customHeight="false" outlineLevel="0" collapsed="false">
      <c r="A1800" s="3" t="n">
        <v>6</v>
      </c>
      <c r="B1800" s="3" t="s">
        <v>740</v>
      </c>
      <c r="C1800" s="3" t="s">
        <v>82</v>
      </c>
      <c r="D1800" s="15" t="n">
        <v>1699.42</v>
      </c>
    </row>
    <row r="1801" customFormat="false" ht="15" hidden="false" customHeight="false" outlineLevel="0" collapsed="false">
      <c r="A1801" s="3" t="n">
        <v>6</v>
      </c>
      <c r="B1801" s="3" t="s">
        <v>741</v>
      </c>
      <c r="C1801" s="3" t="s">
        <v>103</v>
      </c>
      <c r="D1801" s="15" t="n">
        <v>-483.53</v>
      </c>
    </row>
    <row r="1802" customFormat="false" ht="15" hidden="false" customHeight="false" outlineLevel="0" collapsed="false">
      <c r="A1802" s="3" t="n">
        <v>6</v>
      </c>
      <c r="B1802" s="3" t="s">
        <v>741</v>
      </c>
      <c r="C1802" s="3" t="s">
        <v>100</v>
      </c>
      <c r="D1802" s="15" t="n">
        <v>18294.4</v>
      </c>
    </row>
    <row r="1803" customFormat="false" ht="15" hidden="false" customHeight="false" outlineLevel="0" collapsed="false">
      <c r="A1803" s="3" t="n">
        <v>6</v>
      </c>
      <c r="B1803" s="3" t="s">
        <v>741</v>
      </c>
      <c r="C1803" s="3" t="s">
        <v>98</v>
      </c>
      <c r="D1803" s="15" t="n">
        <v>32506</v>
      </c>
    </row>
    <row r="1804" customFormat="false" ht="15" hidden="false" customHeight="false" outlineLevel="0" collapsed="false">
      <c r="A1804" s="3" t="n">
        <v>6</v>
      </c>
      <c r="B1804" s="3" t="s">
        <v>741</v>
      </c>
      <c r="C1804" s="3" t="s">
        <v>82</v>
      </c>
      <c r="D1804" s="15" t="n">
        <v>17511.85</v>
      </c>
    </row>
    <row r="1805" customFormat="false" ht="15" hidden="false" customHeight="false" outlineLevel="0" collapsed="false">
      <c r="A1805" s="3" t="n">
        <v>6</v>
      </c>
      <c r="B1805" s="3" t="s">
        <v>742</v>
      </c>
      <c r="C1805" s="3" t="s">
        <v>103</v>
      </c>
      <c r="D1805" s="15" t="n">
        <v>-694.46</v>
      </c>
    </row>
    <row r="1806" customFormat="false" ht="15" hidden="false" customHeight="false" outlineLevel="0" collapsed="false">
      <c r="A1806" s="3" t="n">
        <v>6</v>
      </c>
      <c r="B1806" s="3" t="s">
        <v>742</v>
      </c>
      <c r="C1806" s="3" t="s">
        <v>100</v>
      </c>
      <c r="D1806" s="15" t="n">
        <v>3641.52</v>
      </c>
    </row>
    <row r="1807" customFormat="false" ht="15" hidden="false" customHeight="false" outlineLevel="0" collapsed="false">
      <c r="A1807" s="3" t="n">
        <v>6</v>
      </c>
      <c r="B1807" s="3" t="s">
        <v>742</v>
      </c>
      <c r="C1807" s="3" t="s">
        <v>99</v>
      </c>
      <c r="D1807" s="15" t="n">
        <v>7.24</v>
      </c>
    </row>
    <row r="1808" customFormat="false" ht="15" hidden="false" customHeight="false" outlineLevel="0" collapsed="false">
      <c r="A1808" s="3" t="n">
        <v>6</v>
      </c>
      <c r="B1808" s="3" t="s">
        <v>742</v>
      </c>
      <c r="C1808" s="3" t="s">
        <v>98</v>
      </c>
      <c r="D1808" s="15" t="n">
        <v>6484</v>
      </c>
    </row>
    <row r="1809" customFormat="false" ht="15" hidden="false" customHeight="false" outlineLevel="0" collapsed="false">
      <c r="A1809" s="3" t="n">
        <v>6</v>
      </c>
      <c r="B1809" s="3" t="s">
        <v>742</v>
      </c>
      <c r="C1809" s="3" t="s">
        <v>82</v>
      </c>
      <c r="D1809" s="15" t="n">
        <v>3372.65</v>
      </c>
    </row>
    <row r="1810" customFormat="false" ht="15" hidden="false" customHeight="false" outlineLevel="0" collapsed="false">
      <c r="A1810" s="3" t="n">
        <v>6</v>
      </c>
      <c r="B1810" s="3" t="s">
        <v>743</v>
      </c>
      <c r="C1810" s="3" t="s">
        <v>103</v>
      </c>
      <c r="D1810" s="15" t="n">
        <v>-781.23</v>
      </c>
    </row>
    <row r="1811" customFormat="false" ht="15" hidden="false" customHeight="false" outlineLevel="0" collapsed="false">
      <c r="A1811" s="3" t="n">
        <v>6</v>
      </c>
      <c r="B1811" s="3" t="s">
        <v>743</v>
      </c>
      <c r="C1811" s="3" t="s">
        <v>100</v>
      </c>
      <c r="D1811" s="15" t="n">
        <v>1823.75</v>
      </c>
    </row>
    <row r="1812" customFormat="false" ht="15" hidden="false" customHeight="false" outlineLevel="0" collapsed="false">
      <c r="A1812" s="3" t="n">
        <v>6</v>
      </c>
      <c r="B1812" s="3" t="s">
        <v>743</v>
      </c>
      <c r="C1812" s="3" t="s">
        <v>99</v>
      </c>
      <c r="D1812" s="15" t="n">
        <v>64.72</v>
      </c>
    </row>
    <row r="1813" customFormat="false" ht="15" hidden="false" customHeight="false" outlineLevel="0" collapsed="false">
      <c r="A1813" s="3" t="n">
        <v>6</v>
      </c>
      <c r="B1813" s="3" t="s">
        <v>743</v>
      </c>
      <c r="C1813" s="3" t="s">
        <v>98</v>
      </c>
      <c r="D1813" s="15" t="n">
        <v>2958.8</v>
      </c>
    </row>
    <row r="1814" customFormat="false" ht="15" hidden="false" customHeight="false" outlineLevel="0" collapsed="false">
      <c r="A1814" s="3" t="n">
        <v>6</v>
      </c>
      <c r="B1814" s="3" t="s">
        <v>743</v>
      </c>
      <c r="C1814" s="3" t="s">
        <v>82</v>
      </c>
      <c r="D1814" s="15" t="n">
        <v>1520.01</v>
      </c>
    </row>
    <row r="1815" customFormat="false" ht="15" hidden="false" customHeight="false" outlineLevel="0" collapsed="false">
      <c r="A1815" s="3" t="n">
        <v>6</v>
      </c>
      <c r="B1815" s="3" t="s">
        <v>744</v>
      </c>
      <c r="C1815" s="3" t="s">
        <v>103</v>
      </c>
      <c r="D1815" s="15" t="n">
        <v>-396.98</v>
      </c>
    </row>
    <row r="1816" customFormat="false" ht="15" hidden="false" customHeight="false" outlineLevel="0" collapsed="false">
      <c r="A1816" s="3" t="n">
        <v>6</v>
      </c>
      <c r="B1816" s="3" t="s">
        <v>744</v>
      </c>
      <c r="C1816" s="3" t="s">
        <v>100</v>
      </c>
      <c r="D1816" s="15" t="n">
        <v>1833.24</v>
      </c>
    </row>
    <row r="1817" customFormat="false" ht="15" hidden="false" customHeight="false" outlineLevel="0" collapsed="false">
      <c r="A1817" s="3" t="n">
        <v>6</v>
      </c>
      <c r="B1817" s="3" t="s">
        <v>744</v>
      </c>
      <c r="C1817" s="3" t="s">
        <v>99</v>
      </c>
      <c r="D1817" s="15" t="n">
        <v>75.57</v>
      </c>
    </row>
    <row r="1818" customFormat="false" ht="15" hidden="false" customHeight="false" outlineLevel="0" collapsed="false">
      <c r="A1818" s="3" t="n">
        <v>6</v>
      </c>
      <c r="B1818" s="3" t="s">
        <v>744</v>
      </c>
      <c r="C1818" s="3" t="s">
        <v>98</v>
      </c>
      <c r="D1818" s="15" t="n">
        <v>3242</v>
      </c>
    </row>
    <row r="1819" customFormat="false" ht="15" hidden="false" customHeight="false" outlineLevel="0" collapsed="false">
      <c r="A1819" s="3" t="n">
        <v>6</v>
      </c>
      <c r="B1819" s="3" t="s">
        <v>744</v>
      </c>
      <c r="C1819" s="3" t="s">
        <v>82</v>
      </c>
      <c r="D1819" s="15" t="n">
        <v>1698.36</v>
      </c>
    </row>
    <row r="1820" customFormat="false" ht="15" hidden="false" customHeight="false" outlineLevel="0" collapsed="false">
      <c r="A1820" s="3" t="n">
        <v>6</v>
      </c>
      <c r="B1820" s="3" t="s">
        <v>745</v>
      </c>
      <c r="C1820" s="3" t="s">
        <v>103</v>
      </c>
      <c r="D1820" s="15" t="n">
        <v>-924.69</v>
      </c>
    </row>
    <row r="1821" customFormat="false" ht="15" hidden="false" customHeight="false" outlineLevel="0" collapsed="false">
      <c r="A1821" s="3" t="n">
        <v>6</v>
      </c>
      <c r="B1821" s="3" t="s">
        <v>745</v>
      </c>
      <c r="C1821" s="3" t="s">
        <v>102</v>
      </c>
      <c r="D1821" s="15" t="n">
        <v>1560</v>
      </c>
    </row>
    <row r="1822" customFormat="false" ht="15" hidden="false" customHeight="false" outlineLevel="0" collapsed="false">
      <c r="A1822" s="3" t="n">
        <v>6</v>
      </c>
      <c r="B1822" s="3" t="s">
        <v>745</v>
      </c>
      <c r="C1822" s="3" t="s">
        <v>100</v>
      </c>
      <c r="D1822" s="15" t="n">
        <v>28772.64</v>
      </c>
    </row>
    <row r="1823" customFormat="false" ht="15" hidden="false" customHeight="false" outlineLevel="0" collapsed="false">
      <c r="A1823" s="3" t="n">
        <v>6</v>
      </c>
      <c r="B1823" s="3" t="s">
        <v>745</v>
      </c>
      <c r="C1823" s="3" t="s">
        <v>98</v>
      </c>
      <c r="D1823" s="15" t="n">
        <v>51124</v>
      </c>
    </row>
    <row r="1824" customFormat="false" ht="15" hidden="false" customHeight="false" outlineLevel="0" collapsed="false">
      <c r="A1824" s="3" t="n">
        <v>6</v>
      </c>
      <c r="B1824" s="3" t="s">
        <v>745</v>
      </c>
      <c r="C1824" s="3" t="s">
        <v>82</v>
      </c>
      <c r="D1824" s="15" t="n">
        <v>28050.32</v>
      </c>
    </row>
    <row r="1825" customFormat="false" ht="15" hidden="false" customHeight="false" outlineLevel="0" collapsed="false">
      <c r="A1825" s="3" t="n">
        <v>6</v>
      </c>
      <c r="B1825" s="3" t="s">
        <v>746</v>
      </c>
      <c r="C1825" s="3" t="s">
        <v>103</v>
      </c>
      <c r="D1825" s="15" t="n">
        <v>-71.13</v>
      </c>
    </row>
    <row r="1826" customFormat="false" ht="15" hidden="false" customHeight="false" outlineLevel="0" collapsed="false">
      <c r="A1826" s="3" t="n">
        <v>6</v>
      </c>
      <c r="B1826" s="3" t="s">
        <v>746</v>
      </c>
      <c r="C1826" s="3" t="s">
        <v>102</v>
      </c>
      <c r="D1826" s="15" t="n">
        <v>120</v>
      </c>
    </row>
    <row r="1827" customFormat="false" ht="15" hidden="false" customHeight="false" outlineLevel="0" collapsed="false">
      <c r="A1827" s="3" t="n">
        <v>6</v>
      </c>
      <c r="B1827" s="3" t="s">
        <v>746</v>
      </c>
      <c r="C1827" s="3" t="s">
        <v>100</v>
      </c>
      <c r="D1827" s="15" t="n">
        <v>3088.65</v>
      </c>
    </row>
    <row r="1828" customFormat="false" ht="15" hidden="false" customHeight="false" outlineLevel="0" collapsed="false">
      <c r="A1828" s="3" t="n">
        <v>6</v>
      </c>
      <c r="B1828" s="3" t="s">
        <v>746</v>
      </c>
      <c r="C1828" s="3" t="s">
        <v>98</v>
      </c>
      <c r="D1828" s="15" t="n">
        <v>5488</v>
      </c>
    </row>
    <row r="1829" customFormat="false" ht="15" hidden="false" customHeight="false" outlineLevel="0" collapsed="false">
      <c r="A1829" s="3" t="n">
        <v>6</v>
      </c>
      <c r="B1829" s="3" t="s">
        <v>746</v>
      </c>
      <c r="C1829" s="3" t="s">
        <v>82</v>
      </c>
      <c r="D1829" s="15" t="n">
        <v>3000.18</v>
      </c>
    </row>
    <row r="1830" customFormat="false" ht="15" hidden="false" customHeight="false" outlineLevel="0" collapsed="false">
      <c r="A1830" s="3" t="n">
        <v>6</v>
      </c>
      <c r="B1830" s="3" t="s">
        <v>747</v>
      </c>
      <c r="C1830" s="3" t="s">
        <v>103</v>
      </c>
      <c r="D1830" s="15" t="n">
        <v>-5397.76</v>
      </c>
    </row>
    <row r="1831" customFormat="false" ht="15" hidden="false" customHeight="false" outlineLevel="0" collapsed="false">
      <c r="A1831" s="3" t="n">
        <v>6</v>
      </c>
      <c r="B1831" s="3" t="s">
        <v>747</v>
      </c>
      <c r="C1831" s="3" t="s">
        <v>102</v>
      </c>
      <c r="D1831" s="15" t="n">
        <v>223.46</v>
      </c>
    </row>
    <row r="1832" customFormat="false" ht="15" hidden="false" customHeight="false" outlineLevel="0" collapsed="false">
      <c r="A1832" s="3" t="n">
        <v>6</v>
      </c>
      <c r="B1832" s="3" t="s">
        <v>747</v>
      </c>
      <c r="C1832" s="3" t="s">
        <v>100</v>
      </c>
      <c r="D1832" s="15" t="n">
        <v>18636.54</v>
      </c>
    </row>
    <row r="1833" customFormat="false" ht="15" hidden="false" customHeight="false" outlineLevel="0" collapsed="false">
      <c r="A1833" s="3" t="n">
        <v>6</v>
      </c>
      <c r="B1833" s="3" t="s">
        <v>747</v>
      </c>
      <c r="C1833" s="3" t="s">
        <v>99</v>
      </c>
      <c r="D1833" s="15" t="n">
        <v>1859.69</v>
      </c>
    </row>
    <row r="1834" customFormat="false" ht="15" hidden="false" customHeight="false" outlineLevel="0" collapsed="false">
      <c r="A1834" s="3" t="n">
        <v>6</v>
      </c>
      <c r="B1834" s="3" t="s">
        <v>747</v>
      </c>
      <c r="C1834" s="3" t="s">
        <v>98</v>
      </c>
      <c r="D1834" s="15" t="n">
        <v>31844</v>
      </c>
    </row>
    <row r="1835" customFormat="false" ht="15" hidden="false" customHeight="false" outlineLevel="0" collapsed="false">
      <c r="A1835" s="3" t="n">
        <v>6</v>
      </c>
      <c r="B1835" s="3" t="s">
        <v>747</v>
      </c>
      <c r="C1835" s="3" t="s">
        <v>82</v>
      </c>
      <c r="D1835" s="15" t="n">
        <v>16856.600418</v>
      </c>
    </row>
    <row r="1836" customFormat="false" ht="15" hidden="false" customHeight="false" outlineLevel="0" collapsed="false">
      <c r="A1836" s="3" t="n">
        <v>6</v>
      </c>
      <c r="B1836" s="3" t="s">
        <v>748</v>
      </c>
      <c r="C1836" s="3" t="s">
        <v>103</v>
      </c>
      <c r="D1836" s="15" t="n">
        <v>-1138.08</v>
      </c>
    </row>
    <row r="1837" customFormat="false" ht="15" hidden="false" customHeight="false" outlineLevel="0" collapsed="false">
      <c r="A1837" s="3" t="n">
        <v>6</v>
      </c>
      <c r="B1837" s="3" t="s">
        <v>748</v>
      </c>
      <c r="C1837" s="3" t="s">
        <v>102</v>
      </c>
      <c r="D1837" s="15" t="n">
        <v>1920</v>
      </c>
    </row>
    <row r="1838" customFormat="false" ht="15" hidden="false" customHeight="false" outlineLevel="0" collapsed="false">
      <c r="A1838" s="3" t="n">
        <v>6</v>
      </c>
      <c r="B1838" s="3" t="s">
        <v>748</v>
      </c>
      <c r="C1838" s="3" t="s">
        <v>100</v>
      </c>
      <c r="D1838" s="15" t="n">
        <v>41435.64</v>
      </c>
    </row>
    <row r="1839" customFormat="false" ht="15" hidden="false" customHeight="false" outlineLevel="0" collapsed="false">
      <c r="A1839" s="3" t="n">
        <v>6</v>
      </c>
      <c r="B1839" s="3" t="s">
        <v>748</v>
      </c>
      <c r="C1839" s="3" t="s">
        <v>98</v>
      </c>
      <c r="D1839" s="15" t="n">
        <v>73624</v>
      </c>
    </row>
    <row r="1840" customFormat="false" ht="15" hidden="false" customHeight="false" outlineLevel="0" collapsed="false">
      <c r="A1840" s="3" t="n">
        <v>6</v>
      </c>
      <c r="B1840" s="3" t="s">
        <v>748</v>
      </c>
      <c r="C1840" s="3" t="s">
        <v>82</v>
      </c>
      <c r="D1840" s="15" t="n">
        <v>40320.2</v>
      </c>
    </row>
    <row r="1841" customFormat="false" ht="15" hidden="false" customHeight="false" outlineLevel="0" collapsed="false">
      <c r="A1841" s="3" t="n">
        <v>6</v>
      </c>
      <c r="B1841" s="3" t="s">
        <v>749</v>
      </c>
      <c r="C1841" s="3" t="s">
        <v>103</v>
      </c>
      <c r="D1841" s="15" t="n">
        <v>-593.05</v>
      </c>
    </row>
    <row r="1842" customFormat="false" ht="15" hidden="false" customHeight="false" outlineLevel="0" collapsed="false">
      <c r="A1842" s="3" t="n">
        <v>6</v>
      </c>
      <c r="B1842" s="3" t="s">
        <v>749</v>
      </c>
      <c r="C1842" s="3" t="s">
        <v>100</v>
      </c>
      <c r="D1842" s="15" t="n">
        <v>3532.23</v>
      </c>
    </row>
    <row r="1843" customFormat="false" ht="15" hidden="false" customHeight="false" outlineLevel="0" collapsed="false">
      <c r="A1843" s="3" t="n">
        <v>6</v>
      </c>
      <c r="B1843" s="3" t="s">
        <v>749</v>
      </c>
      <c r="C1843" s="3" t="s">
        <v>99</v>
      </c>
      <c r="D1843" s="15" t="n">
        <v>423.2</v>
      </c>
    </row>
    <row r="1844" customFormat="false" ht="15" hidden="false" customHeight="false" outlineLevel="0" collapsed="false">
      <c r="A1844" s="3" t="n">
        <v>6</v>
      </c>
      <c r="B1844" s="3" t="s">
        <v>749</v>
      </c>
      <c r="C1844" s="3" t="s">
        <v>98</v>
      </c>
      <c r="D1844" s="15" t="n">
        <v>5121</v>
      </c>
    </row>
    <row r="1845" customFormat="false" ht="15" hidden="false" customHeight="false" outlineLevel="0" collapsed="false">
      <c r="A1845" s="3" t="n">
        <v>6</v>
      </c>
      <c r="B1845" s="3" t="s">
        <v>749</v>
      </c>
      <c r="C1845" s="3" t="s">
        <v>82</v>
      </c>
      <c r="D1845" s="15" t="n">
        <v>3018.64</v>
      </c>
    </row>
    <row r="1846" customFormat="false" ht="15" hidden="false" customHeight="false" outlineLevel="0" collapsed="false">
      <c r="A1846" s="3" t="n">
        <v>6</v>
      </c>
      <c r="B1846" s="3" t="s">
        <v>750</v>
      </c>
      <c r="C1846" s="3" t="s">
        <v>103</v>
      </c>
      <c r="D1846" s="15" t="n">
        <v>-1049.76</v>
      </c>
    </row>
    <row r="1847" customFormat="false" ht="15" hidden="false" customHeight="false" outlineLevel="0" collapsed="false">
      <c r="A1847" s="3" t="n">
        <v>6</v>
      </c>
      <c r="B1847" s="3" t="s">
        <v>750</v>
      </c>
      <c r="C1847" s="3" t="s">
        <v>100</v>
      </c>
      <c r="D1847" s="15" t="n">
        <v>5154.54</v>
      </c>
    </row>
    <row r="1848" customFormat="false" ht="15" hidden="false" customHeight="false" outlineLevel="0" collapsed="false">
      <c r="A1848" s="3" t="n">
        <v>6</v>
      </c>
      <c r="B1848" s="3" t="s">
        <v>750</v>
      </c>
      <c r="C1848" s="3" t="s">
        <v>99</v>
      </c>
      <c r="D1848" s="15" t="n">
        <v>95.01</v>
      </c>
    </row>
    <row r="1849" customFormat="false" ht="15" hidden="false" customHeight="false" outlineLevel="0" collapsed="false">
      <c r="A1849" s="3" t="n">
        <v>6</v>
      </c>
      <c r="B1849" s="3" t="s">
        <v>750</v>
      </c>
      <c r="C1849" s="3" t="s">
        <v>98</v>
      </c>
      <c r="D1849" s="15" t="n">
        <v>9185.66</v>
      </c>
    </row>
    <row r="1850" customFormat="false" ht="15" hidden="false" customHeight="false" outlineLevel="0" collapsed="false">
      <c r="A1850" s="3" t="n">
        <v>6</v>
      </c>
      <c r="B1850" s="3" t="s">
        <v>750</v>
      </c>
      <c r="C1850" s="3" t="s">
        <v>82</v>
      </c>
      <c r="D1850" s="15" t="n">
        <v>4148.66</v>
      </c>
    </row>
    <row r="1851" customFormat="false" ht="15" hidden="false" customHeight="false" outlineLevel="0" collapsed="false">
      <c r="A1851" s="3" t="n">
        <v>6</v>
      </c>
      <c r="B1851" s="3" t="s">
        <v>751</v>
      </c>
      <c r="C1851" s="3" t="s">
        <v>103</v>
      </c>
      <c r="D1851" s="15" t="n">
        <v>-1991.33</v>
      </c>
    </row>
    <row r="1852" customFormat="false" ht="15" hidden="false" customHeight="false" outlineLevel="0" collapsed="false">
      <c r="A1852" s="3" t="n">
        <v>6</v>
      </c>
      <c r="B1852" s="3" t="s">
        <v>751</v>
      </c>
      <c r="C1852" s="3" t="s">
        <v>102</v>
      </c>
      <c r="D1852" s="15" t="n">
        <v>2040</v>
      </c>
    </row>
    <row r="1853" customFormat="false" ht="15" hidden="false" customHeight="false" outlineLevel="0" collapsed="false">
      <c r="A1853" s="3" t="n">
        <v>6</v>
      </c>
      <c r="B1853" s="3" t="s">
        <v>751</v>
      </c>
      <c r="C1853" s="3" t="s">
        <v>100</v>
      </c>
      <c r="D1853" s="15" t="n">
        <v>42544.58</v>
      </c>
    </row>
    <row r="1854" customFormat="false" ht="15" hidden="false" customHeight="false" outlineLevel="0" collapsed="false">
      <c r="A1854" s="3" t="n">
        <v>6</v>
      </c>
      <c r="B1854" s="3" t="s">
        <v>751</v>
      </c>
      <c r="C1854" s="3" t="s">
        <v>98</v>
      </c>
      <c r="D1854" s="15" t="n">
        <v>75594.4</v>
      </c>
    </row>
    <row r="1855" customFormat="false" ht="15" hidden="false" customHeight="false" outlineLevel="0" collapsed="false">
      <c r="A1855" s="3" t="n">
        <v>6</v>
      </c>
      <c r="B1855" s="3" t="s">
        <v>751</v>
      </c>
      <c r="C1855" s="3" t="s">
        <v>82</v>
      </c>
      <c r="D1855" s="15" t="n">
        <v>35728.73288</v>
      </c>
    </row>
    <row r="1856" customFormat="false" ht="15" hidden="false" customHeight="false" outlineLevel="0" collapsed="false">
      <c r="A1856" s="3" t="n">
        <v>6</v>
      </c>
      <c r="B1856" s="3" t="s">
        <v>752</v>
      </c>
      <c r="C1856" s="3" t="s">
        <v>103</v>
      </c>
      <c r="D1856" s="15" t="n">
        <v>-173.55</v>
      </c>
    </row>
    <row r="1857" customFormat="false" ht="15" hidden="false" customHeight="false" outlineLevel="0" collapsed="false">
      <c r="A1857" s="3" t="n">
        <v>6</v>
      </c>
      <c r="B1857" s="3" t="s">
        <v>752</v>
      </c>
      <c r="C1857" s="3" t="s">
        <v>100</v>
      </c>
      <c r="D1857" s="15" t="n">
        <v>1031.18</v>
      </c>
    </row>
    <row r="1858" customFormat="false" ht="15" hidden="false" customHeight="false" outlineLevel="0" collapsed="false">
      <c r="A1858" s="3" t="n">
        <v>6</v>
      </c>
      <c r="B1858" s="3" t="s">
        <v>752</v>
      </c>
      <c r="C1858" s="3" t="s">
        <v>99</v>
      </c>
      <c r="D1858" s="15" t="n">
        <v>125.23</v>
      </c>
    </row>
    <row r="1859" customFormat="false" ht="15" hidden="false" customHeight="false" outlineLevel="0" collapsed="false">
      <c r="A1859" s="3" t="n">
        <v>6</v>
      </c>
      <c r="B1859" s="3" t="s">
        <v>752</v>
      </c>
      <c r="C1859" s="3" t="s">
        <v>98</v>
      </c>
      <c r="D1859" s="15" t="n">
        <v>1707</v>
      </c>
    </row>
    <row r="1860" customFormat="false" ht="15" hidden="false" customHeight="false" outlineLevel="0" collapsed="false">
      <c r="A1860" s="3" t="n">
        <v>6</v>
      </c>
      <c r="B1860" s="3" t="s">
        <v>752</v>
      </c>
      <c r="C1860" s="3" t="s">
        <v>82</v>
      </c>
      <c r="D1860" s="15" t="n">
        <v>958.41</v>
      </c>
    </row>
    <row r="1861" customFormat="false" ht="15" hidden="false" customHeight="false" outlineLevel="0" collapsed="false">
      <c r="A1861" s="3" t="n">
        <v>6</v>
      </c>
      <c r="B1861" s="3" t="s">
        <v>753</v>
      </c>
      <c r="C1861" s="3" t="s">
        <v>103</v>
      </c>
      <c r="D1861" s="15" t="n">
        <v>-284.52</v>
      </c>
    </row>
    <row r="1862" customFormat="false" ht="15" hidden="false" customHeight="false" outlineLevel="0" collapsed="false">
      <c r="A1862" s="3" t="n">
        <v>6</v>
      </c>
      <c r="B1862" s="3" t="s">
        <v>753</v>
      </c>
      <c r="C1862" s="3" t="s">
        <v>100</v>
      </c>
      <c r="D1862" s="15" t="n">
        <v>9765.72</v>
      </c>
    </row>
    <row r="1863" customFormat="false" ht="15" hidden="false" customHeight="false" outlineLevel="0" collapsed="false">
      <c r="A1863" s="3" t="n">
        <v>6</v>
      </c>
      <c r="B1863" s="3" t="s">
        <v>753</v>
      </c>
      <c r="C1863" s="3" t="s">
        <v>98</v>
      </c>
      <c r="D1863" s="15" t="n">
        <v>17352</v>
      </c>
    </row>
    <row r="1864" customFormat="false" ht="15" hidden="false" customHeight="false" outlineLevel="0" collapsed="false">
      <c r="A1864" s="3" t="n">
        <v>6</v>
      </c>
      <c r="B1864" s="3" t="s">
        <v>753</v>
      </c>
      <c r="C1864" s="3" t="s">
        <v>82</v>
      </c>
      <c r="D1864" s="15" t="n">
        <v>9342.8</v>
      </c>
    </row>
    <row r="1865" customFormat="false" ht="15" hidden="false" customHeight="false" outlineLevel="0" collapsed="false">
      <c r="A1865" s="3" t="n">
        <v>6</v>
      </c>
      <c r="B1865" s="3" t="s">
        <v>754</v>
      </c>
      <c r="C1865" s="3" t="s">
        <v>103</v>
      </c>
      <c r="D1865" s="15" t="n">
        <v>-0.16</v>
      </c>
    </row>
    <row r="1866" customFormat="false" ht="15" hidden="false" customHeight="false" outlineLevel="0" collapsed="false">
      <c r="A1866" s="3" t="n">
        <v>6</v>
      </c>
      <c r="B1866" s="3" t="s">
        <v>754</v>
      </c>
      <c r="C1866" s="3" t="s">
        <v>100</v>
      </c>
      <c r="D1866" s="15" t="n">
        <v>206.4</v>
      </c>
    </row>
    <row r="1867" customFormat="false" ht="15" hidden="false" customHeight="false" outlineLevel="0" collapsed="false">
      <c r="A1867" s="3" t="n">
        <v>6</v>
      </c>
      <c r="B1867" s="3" t="s">
        <v>754</v>
      </c>
      <c r="C1867" s="3" t="s">
        <v>99</v>
      </c>
      <c r="D1867" s="15" t="n">
        <v>2.86</v>
      </c>
    </row>
    <row r="1868" customFormat="false" ht="15" hidden="false" customHeight="false" outlineLevel="0" collapsed="false">
      <c r="A1868" s="3" t="n">
        <v>6</v>
      </c>
      <c r="B1868" s="3" t="s">
        <v>754</v>
      </c>
      <c r="C1868" s="3" t="s">
        <v>82</v>
      </c>
      <c r="D1868" s="15" t="n">
        <v>72.47</v>
      </c>
    </row>
    <row r="1869" customFormat="false" ht="15" hidden="false" customHeight="false" outlineLevel="0" collapsed="false">
      <c r="A1869" s="3" t="n">
        <v>6</v>
      </c>
      <c r="B1869" s="3" t="s">
        <v>755</v>
      </c>
      <c r="C1869" s="3" t="s">
        <v>103</v>
      </c>
      <c r="D1869" s="15" t="n">
        <v>-172.58</v>
      </c>
    </row>
    <row r="1870" customFormat="false" ht="15" hidden="false" customHeight="false" outlineLevel="0" collapsed="false">
      <c r="A1870" s="3" t="n">
        <v>6</v>
      </c>
      <c r="B1870" s="3" t="s">
        <v>755</v>
      </c>
      <c r="C1870" s="3" t="s">
        <v>100</v>
      </c>
      <c r="D1870" s="15" t="n">
        <v>1335.98</v>
      </c>
    </row>
    <row r="1871" customFormat="false" ht="15" hidden="false" customHeight="false" outlineLevel="0" collapsed="false">
      <c r="A1871" s="3" t="n">
        <v>6</v>
      </c>
      <c r="B1871" s="3" t="s">
        <v>755</v>
      </c>
      <c r="C1871" s="3" t="s">
        <v>99</v>
      </c>
      <c r="D1871" s="15" t="n">
        <v>85.12</v>
      </c>
    </row>
    <row r="1872" customFormat="false" ht="15" hidden="false" customHeight="false" outlineLevel="0" collapsed="false">
      <c r="A1872" s="3" t="n">
        <v>6</v>
      </c>
      <c r="B1872" s="3" t="s">
        <v>755</v>
      </c>
      <c r="C1872" s="3" t="s">
        <v>98</v>
      </c>
      <c r="D1872" s="15" t="n">
        <v>1621</v>
      </c>
    </row>
    <row r="1873" customFormat="false" ht="15" hidden="false" customHeight="false" outlineLevel="0" collapsed="false">
      <c r="A1873" s="3" t="n">
        <v>6</v>
      </c>
      <c r="B1873" s="3" t="s">
        <v>755</v>
      </c>
      <c r="C1873" s="3" t="s">
        <v>82</v>
      </c>
      <c r="D1873" s="15" t="n">
        <v>1019.92</v>
      </c>
    </row>
    <row r="1874" customFormat="false" ht="15" hidden="false" customHeight="false" outlineLevel="0" collapsed="false">
      <c r="A1874" s="3" t="n">
        <v>6</v>
      </c>
      <c r="B1874" s="3" t="s">
        <v>756</v>
      </c>
      <c r="C1874" s="3" t="s">
        <v>103</v>
      </c>
      <c r="D1874" s="15" t="n">
        <v>-168.39</v>
      </c>
    </row>
    <row r="1875" customFormat="false" ht="15" hidden="false" customHeight="false" outlineLevel="0" collapsed="false">
      <c r="A1875" s="3" t="n">
        <v>6</v>
      </c>
      <c r="B1875" s="3" t="s">
        <v>756</v>
      </c>
      <c r="C1875" s="3" t="s">
        <v>100</v>
      </c>
      <c r="D1875" s="15" t="n">
        <v>920.78</v>
      </c>
    </row>
    <row r="1876" customFormat="false" ht="15" hidden="false" customHeight="false" outlineLevel="0" collapsed="false">
      <c r="A1876" s="3" t="n">
        <v>6</v>
      </c>
      <c r="B1876" s="3" t="s">
        <v>756</v>
      </c>
      <c r="C1876" s="3" t="s">
        <v>99</v>
      </c>
      <c r="D1876" s="15" t="n">
        <v>15.08</v>
      </c>
    </row>
    <row r="1877" customFormat="false" ht="15" hidden="false" customHeight="false" outlineLevel="0" collapsed="false">
      <c r="A1877" s="3" t="n">
        <v>6</v>
      </c>
      <c r="B1877" s="3" t="s">
        <v>756</v>
      </c>
      <c r="C1877" s="3" t="s">
        <v>98</v>
      </c>
      <c r="D1877" s="15" t="n">
        <v>1621</v>
      </c>
    </row>
    <row r="1878" customFormat="false" ht="15" hidden="false" customHeight="false" outlineLevel="0" collapsed="false">
      <c r="A1878" s="3" t="n">
        <v>6</v>
      </c>
      <c r="B1878" s="3" t="s">
        <v>756</v>
      </c>
      <c r="C1878" s="3" t="s">
        <v>82</v>
      </c>
      <c r="D1878" s="15" t="n">
        <v>853.17</v>
      </c>
    </row>
    <row r="1879" customFormat="false" ht="15" hidden="false" customHeight="false" outlineLevel="0" collapsed="false">
      <c r="A1879" s="3" t="n">
        <v>6</v>
      </c>
      <c r="B1879" s="3" t="s">
        <v>757</v>
      </c>
      <c r="C1879" s="3" t="s">
        <v>103</v>
      </c>
      <c r="D1879" s="15" t="n">
        <v>-276.45</v>
      </c>
    </row>
    <row r="1880" customFormat="false" ht="15" hidden="false" customHeight="false" outlineLevel="0" collapsed="false">
      <c r="A1880" s="3" t="n">
        <v>6</v>
      </c>
      <c r="B1880" s="3" t="s">
        <v>757</v>
      </c>
      <c r="C1880" s="3" t="s">
        <v>100</v>
      </c>
      <c r="D1880" s="15" t="n">
        <v>895.76</v>
      </c>
    </row>
    <row r="1881" customFormat="false" ht="15" hidden="false" customHeight="false" outlineLevel="0" collapsed="false">
      <c r="A1881" s="3" t="n">
        <v>6</v>
      </c>
      <c r="B1881" s="3" t="s">
        <v>757</v>
      </c>
      <c r="C1881" s="3" t="s">
        <v>99</v>
      </c>
      <c r="D1881" s="15" t="n">
        <v>78.68</v>
      </c>
    </row>
    <row r="1882" customFormat="false" ht="15" hidden="false" customHeight="false" outlineLevel="0" collapsed="false">
      <c r="A1882" s="3" t="n">
        <v>6</v>
      </c>
      <c r="B1882" s="3" t="s">
        <v>757</v>
      </c>
      <c r="C1882" s="3" t="s">
        <v>98</v>
      </c>
      <c r="D1882" s="15" t="n">
        <v>1621</v>
      </c>
    </row>
    <row r="1883" customFormat="false" ht="15" hidden="false" customHeight="false" outlineLevel="0" collapsed="false">
      <c r="A1883" s="3" t="n">
        <v>6</v>
      </c>
      <c r="B1883" s="3" t="s">
        <v>757</v>
      </c>
      <c r="C1883" s="3" t="s">
        <v>82</v>
      </c>
      <c r="D1883" s="15" t="n">
        <v>829.1</v>
      </c>
    </row>
    <row r="1884" customFormat="false" ht="15" hidden="false" customHeight="false" outlineLevel="0" collapsed="false">
      <c r="A1884" s="3" t="n">
        <v>6</v>
      </c>
      <c r="B1884" s="3" t="s">
        <v>758</v>
      </c>
      <c r="C1884" s="3" t="s">
        <v>103</v>
      </c>
      <c r="D1884" s="15" t="n">
        <v>-232.45</v>
      </c>
    </row>
    <row r="1885" customFormat="false" ht="15" hidden="false" customHeight="false" outlineLevel="0" collapsed="false">
      <c r="A1885" s="3" t="n">
        <v>6</v>
      </c>
      <c r="B1885" s="3" t="s">
        <v>758</v>
      </c>
      <c r="C1885" s="3" t="s">
        <v>100</v>
      </c>
      <c r="D1885" s="15" t="n">
        <v>953.16</v>
      </c>
    </row>
    <row r="1886" customFormat="false" ht="15" hidden="false" customHeight="false" outlineLevel="0" collapsed="false">
      <c r="A1886" s="3" t="n">
        <v>6</v>
      </c>
      <c r="B1886" s="3" t="s">
        <v>758</v>
      </c>
      <c r="C1886" s="3" t="s">
        <v>99</v>
      </c>
      <c r="D1886" s="15" t="n">
        <v>45.5</v>
      </c>
    </row>
    <row r="1887" customFormat="false" ht="15" hidden="false" customHeight="false" outlineLevel="0" collapsed="false">
      <c r="A1887" s="3" t="n">
        <v>6</v>
      </c>
      <c r="B1887" s="3" t="s">
        <v>758</v>
      </c>
      <c r="C1887" s="3" t="s">
        <v>98</v>
      </c>
      <c r="D1887" s="15" t="n">
        <v>1707</v>
      </c>
    </row>
    <row r="1888" customFormat="false" ht="15" hidden="false" customHeight="false" outlineLevel="0" collapsed="false">
      <c r="A1888" s="3" t="n">
        <v>6</v>
      </c>
      <c r="B1888" s="3" t="s">
        <v>758</v>
      </c>
      <c r="C1888" s="3" t="s">
        <v>82</v>
      </c>
      <c r="D1888" s="15" t="n">
        <v>883.33</v>
      </c>
    </row>
    <row r="1889" customFormat="false" ht="15" hidden="false" customHeight="false" outlineLevel="0" collapsed="false">
      <c r="A1889" s="3" t="n">
        <v>6</v>
      </c>
      <c r="B1889" s="3" t="s">
        <v>759</v>
      </c>
      <c r="C1889" s="3" t="s">
        <v>103</v>
      </c>
      <c r="D1889" s="15" t="n">
        <v>-267.65</v>
      </c>
    </row>
    <row r="1890" customFormat="false" ht="15" hidden="false" customHeight="false" outlineLevel="0" collapsed="false">
      <c r="A1890" s="3" t="n">
        <v>6</v>
      </c>
      <c r="B1890" s="3" t="s">
        <v>759</v>
      </c>
      <c r="C1890" s="3" t="s">
        <v>100</v>
      </c>
      <c r="D1890" s="15" t="n">
        <v>1027.44</v>
      </c>
    </row>
    <row r="1891" customFormat="false" ht="15" hidden="false" customHeight="false" outlineLevel="0" collapsed="false">
      <c r="A1891" s="3" t="n">
        <v>6</v>
      </c>
      <c r="B1891" s="3" t="s">
        <v>759</v>
      </c>
      <c r="C1891" s="3" t="s">
        <v>99</v>
      </c>
      <c r="D1891" s="15" t="n">
        <v>3.33</v>
      </c>
    </row>
    <row r="1892" customFormat="false" ht="15" hidden="false" customHeight="false" outlineLevel="0" collapsed="false">
      <c r="A1892" s="3" t="n">
        <v>6</v>
      </c>
      <c r="B1892" s="3" t="s">
        <v>759</v>
      </c>
      <c r="C1892" s="3" t="s">
        <v>98</v>
      </c>
      <c r="D1892" s="15" t="n">
        <v>1621</v>
      </c>
    </row>
    <row r="1893" customFormat="false" ht="15" hidden="false" customHeight="false" outlineLevel="0" collapsed="false">
      <c r="A1893" s="3" t="n">
        <v>6</v>
      </c>
      <c r="B1893" s="3" t="s">
        <v>759</v>
      </c>
      <c r="C1893" s="3" t="s">
        <v>82</v>
      </c>
      <c r="D1893" s="15" t="n">
        <v>851.69</v>
      </c>
    </row>
    <row r="1894" customFormat="false" ht="15" hidden="false" customHeight="false" outlineLevel="0" collapsed="false">
      <c r="A1894" s="3" t="n">
        <v>6</v>
      </c>
      <c r="B1894" s="3" t="s">
        <v>760</v>
      </c>
      <c r="C1894" s="3" t="s">
        <v>103</v>
      </c>
      <c r="D1894" s="15" t="n">
        <v>-71.13</v>
      </c>
    </row>
    <row r="1895" customFormat="false" ht="15" hidden="false" customHeight="false" outlineLevel="0" collapsed="false">
      <c r="A1895" s="3" t="n">
        <v>6</v>
      </c>
      <c r="B1895" s="3" t="s">
        <v>760</v>
      </c>
      <c r="C1895" s="3" t="s">
        <v>102</v>
      </c>
      <c r="D1895" s="15" t="n">
        <v>120</v>
      </c>
    </row>
    <row r="1896" customFormat="false" ht="15" hidden="false" customHeight="false" outlineLevel="0" collapsed="false">
      <c r="A1896" s="3" t="n">
        <v>6</v>
      </c>
      <c r="B1896" s="3" t="s">
        <v>760</v>
      </c>
      <c r="C1896" s="3" t="s">
        <v>100</v>
      </c>
      <c r="D1896" s="15" t="n">
        <v>2532.6</v>
      </c>
    </row>
    <row r="1897" customFormat="false" ht="15" hidden="false" customHeight="false" outlineLevel="0" collapsed="false">
      <c r="A1897" s="3" t="n">
        <v>6</v>
      </c>
      <c r="B1897" s="3" t="s">
        <v>760</v>
      </c>
      <c r="C1897" s="3" t="s">
        <v>98</v>
      </c>
      <c r="D1897" s="15" t="n">
        <v>4500</v>
      </c>
    </row>
    <row r="1898" customFormat="false" ht="15" hidden="false" customHeight="false" outlineLevel="0" collapsed="false">
      <c r="A1898" s="3" t="n">
        <v>6</v>
      </c>
      <c r="B1898" s="3" t="s">
        <v>760</v>
      </c>
      <c r="C1898" s="3" t="s">
        <v>82</v>
      </c>
      <c r="D1898" s="15" t="n">
        <v>2465.04</v>
      </c>
    </row>
    <row r="1899" customFormat="false" ht="15" hidden="false" customHeight="false" outlineLevel="0" collapsed="false">
      <c r="A1899" s="3" t="n">
        <v>6</v>
      </c>
      <c r="B1899" s="3" t="s">
        <v>761</v>
      </c>
      <c r="C1899" s="3" t="s">
        <v>103</v>
      </c>
      <c r="D1899" s="15" t="n">
        <v>-172.58</v>
      </c>
    </row>
    <row r="1900" customFormat="false" ht="15" hidden="false" customHeight="false" outlineLevel="0" collapsed="false">
      <c r="A1900" s="3" t="n">
        <v>6</v>
      </c>
      <c r="B1900" s="3" t="s">
        <v>761</v>
      </c>
      <c r="C1900" s="3" t="s">
        <v>100</v>
      </c>
      <c r="D1900" s="15" t="n">
        <v>916.29</v>
      </c>
    </row>
    <row r="1901" customFormat="false" ht="15" hidden="false" customHeight="false" outlineLevel="0" collapsed="false">
      <c r="A1901" s="3" t="n">
        <v>6</v>
      </c>
      <c r="B1901" s="3" t="s">
        <v>761</v>
      </c>
      <c r="C1901" s="3" t="s">
        <v>99</v>
      </c>
      <c r="D1901" s="15" t="n">
        <v>11.28</v>
      </c>
    </row>
    <row r="1902" customFormat="false" ht="15" hidden="false" customHeight="false" outlineLevel="0" collapsed="false">
      <c r="A1902" s="3" t="n">
        <v>6</v>
      </c>
      <c r="B1902" s="3" t="s">
        <v>761</v>
      </c>
      <c r="C1902" s="3" t="s">
        <v>98</v>
      </c>
      <c r="D1902" s="15" t="n">
        <v>1621</v>
      </c>
    </row>
    <row r="1903" customFormat="false" ht="15" hidden="false" customHeight="false" outlineLevel="0" collapsed="false">
      <c r="A1903" s="3" t="n">
        <v>6</v>
      </c>
      <c r="B1903" s="3" t="s">
        <v>761</v>
      </c>
      <c r="C1903" s="3" t="s">
        <v>82</v>
      </c>
      <c r="D1903" s="15" t="n">
        <v>848.85</v>
      </c>
    </row>
    <row r="1904" customFormat="false" ht="15" hidden="false" customHeight="false" outlineLevel="0" collapsed="false">
      <c r="A1904" s="3" t="n">
        <v>6</v>
      </c>
      <c r="B1904" s="3" t="s">
        <v>762</v>
      </c>
      <c r="C1904" s="3" t="s">
        <v>103</v>
      </c>
      <c r="D1904" s="15" t="n">
        <v>-477.85</v>
      </c>
    </row>
    <row r="1905" customFormat="false" ht="15" hidden="false" customHeight="false" outlineLevel="0" collapsed="false">
      <c r="A1905" s="3" t="n">
        <v>6</v>
      </c>
      <c r="B1905" s="3" t="s">
        <v>762</v>
      </c>
      <c r="C1905" s="3" t="s">
        <v>100</v>
      </c>
      <c r="D1905" s="15" t="n">
        <v>2635.21</v>
      </c>
    </row>
    <row r="1906" customFormat="false" ht="15" hidden="false" customHeight="false" outlineLevel="0" collapsed="false">
      <c r="A1906" s="3" t="n">
        <v>6</v>
      </c>
      <c r="B1906" s="3" t="s">
        <v>762</v>
      </c>
      <c r="C1906" s="3" t="s">
        <v>99</v>
      </c>
      <c r="D1906" s="15" t="n">
        <v>660.79</v>
      </c>
    </row>
    <row r="1907" customFormat="false" ht="15" hidden="false" customHeight="false" outlineLevel="0" collapsed="false">
      <c r="A1907" s="3" t="n">
        <v>6</v>
      </c>
      <c r="B1907" s="3" t="s">
        <v>762</v>
      </c>
      <c r="C1907" s="3" t="s">
        <v>98</v>
      </c>
      <c r="D1907" s="15" t="n">
        <v>2133.33</v>
      </c>
    </row>
    <row r="1908" customFormat="false" ht="15" hidden="false" customHeight="false" outlineLevel="0" collapsed="false">
      <c r="A1908" s="3" t="n">
        <v>6</v>
      </c>
      <c r="B1908" s="3" t="s">
        <v>762</v>
      </c>
      <c r="C1908" s="3" t="s">
        <v>82</v>
      </c>
      <c r="D1908" s="15" t="n">
        <v>1771.13</v>
      </c>
    </row>
    <row r="1909" customFormat="false" ht="15" hidden="false" customHeight="false" outlineLevel="0" collapsed="false">
      <c r="A1909" s="3" t="n">
        <v>6</v>
      </c>
      <c r="B1909" s="3" t="s">
        <v>763</v>
      </c>
      <c r="C1909" s="3" t="s">
        <v>103</v>
      </c>
      <c r="D1909" s="15" t="n">
        <v>-477.85</v>
      </c>
    </row>
    <row r="1910" customFormat="false" ht="15" hidden="false" customHeight="false" outlineLevel="0" collapsed="false">
      <c r="A1910" s="3" t="n">
        <v>6</v>
      </c>
      <c r="B1910" s="3" t="s">
        <v>763</v>
      </c>
      <c r="C1910" s="3" t="s">
        <v>100</v>
      </c>
      <c r="D1910" s="15" t="n">
        <v>2635.21</v>
      </c>
    </row>
    <row r="1911" customFormat="false" ht="15" hidden="false" customHeight="false" outlineLevel="0" collapsed="false">
      <c r="A1911" s="3" t="n">
        <v>6</v>
      </c>
      <c r="B1911" s="3" t="s">
        <v>763</v>
      </c>
      <c r="C1911" s="3" t="s">
        <v>99</v>
      </c>
      <c r="D1911" s="15" t="n">
        <v>660.79</v>
      </c>
    </row>
    <row r="1912" customFormat="false" ht="15" hidden="false" customHeight="false" outlineLevel="0" collapsed="false">
      <c r="A1912" s="3" t="n">
        <v>6</v>
      </c>
      <c r="B1912" s="3" t="s">
        <v>763</v>
      </c>
      <c r="C1912" s="3" t="s">
        <v>98</v>
      </c>
      <c r="D1912" s="15" t="n">
        <v>2133.33</v>
      </c>
    </row>
    <row r="1913" customFormat="false" ht="15" hidden="false" customHeight="false" outlineLevel="0" collapsed="false">
      <c r="A1913" s="3" t="n">
        <v>6</v>
      </c>
      <c r="B1913" s="3" t="s">
        <v>763</v>
      </c>
      <c r="C1913" s="3" t="s">
        <v>82</v>
      </c>
      <c r="D1913" s="15" t="n">
        <v>1771.13</v>
      </c>
    </row>
    <row r="1914" customFormat="false" ht="15" hidden="false" customHeight="false" outlineLevel="0" collapsed="false">
      <c r="A1914" s="3" t="n">
        <v>6</v>
      </c>
      <c r="B1914" s="3" t="s">
        <v>764</v>
      </c>
      <c r="C1914" s="3" t="s">
        <v>101</v>
      </c>
      <c r="D1914" s="15" t="n">
        <v>25049.97</v>
      </c>
    </row>
    <row r="1915" customFormat="false" ht="15" hidden="false" customHeight="false" outlineLevel="0" collapsed="false">
      <c r="A1915" s="3" t="n">
        <v>6</v>
      </c>
      <c r="B1915" s="3" t="s">
        <v>764</v>
      </c>
      <c r="C1915" s="3" t="s">
        <v>102</v>
      </c>
      <c r="D1915" s="15" t="n">
        <v>288.2</v>
      </c>
    </row>
    <row r="1916" customFormat="false" ht="15" hidden="false" customHeight="false" outlineLevel="0" collapsed="false">
      <c r="A1916" s="3" t="n">
        <v>6</v>
      </c>
      <c r="B1916" s="3" t="s">
        <v>764</v>
      </c>
      <c r="C1916" s="3" t="s">
        <v>82</v>
      </c>
      <c r="D1916" s="15" t="n">
        <v>21.42</v>
      </c>
    </row>
    <row r="1917" customFormat="false" ht="15" hidden="false" customHeight="false" outlineLevel="0" collapsed="false">
      <c r="A1917" s="3" t="n">
        <v>6</v>
      </c>
      <c r="B1917" s="3" t="s">
        <v>765</v>
      </c>
      <c r="C1917" s="3" t="s">
        <v>101</v>
      </c>
      <c r="D1917" s="15" t="n">
        <v>13685.3</v>
      </c>
    </row>
    <row r="1918" customFormat="false" ht="15" hidden="false" customHeight="false" outlineLevel="0" collapsed="false">
      <c r="A1918" s="3" t="n">
        <v>6</v>
      </c>
      <c r="B1918" s="3" t="s">
        <v>765</v>
      </c>
      <c r="C1918" s="3" t="s">
        <v>102</v>
      </c>
      <c r="D1918" s="15" t="n">
        <v>252.15</v>
      </c>
    </row>
    <row r="1919" customFormat="false" ht="15" hidden="false" customHeight="false" outlineLevel="0" collapsed="false">
      <c r="A1919" s="3" t="n">
        <v>6</v>
      </c>
      <c r="B1919" s="3" t="s">
        <v>766</v>
      </c>
      <c r="C1919" s="3" t="s">
        <v>101</v>
      </c>
      <c r="D1919" s="15" t="n">
        <v>1105.06</v>
      </c>
    </row>
    <row r="1920" customFormat="false" ht="15" hidden="false" customHeight="false" outlineLevel="0" collapsed="false">
      <c r="A1920" s="3" t="n">
        <v>6</v>
      </c>
      <c r="B1920" s="3" t="s">
        <v>766</v>
      </c>
      <c r="C1920" s="3" t="s">
        <v>102</v>
      </c>
      <c r="D1920" s="15" t="n">
        <v>3.9</v>
      </c>
    </row>
    <row r="1921" customFormat="false" ht="15" hidden="false" customHeight="false" outlineLevel="0" collapsed="false">
      <c r="A1921" s="3" t="n">
        <v>6</v>
      </c>
      <c r="B1921" s="3" t="s">
        <v>767</v>
      </c>
      <c r="C1921" s="3" t="s">
        <v>101</v>
      </c>
      <c r="D1921" s="15" t="n">
        <v>9235.36</v>
      </c>
    </row>
    <row r="1922" customFormat="false" ht="15" hidden="false" customHeight="false" outlineLevel="0" collapsed="false">
      <c r="A1922" s="3" t="n">
        <v>6</v>
      </c>
      <c r="B1922" s="3" t="s">
        <v>767</v>
      </c>
      <c r="C1922" s="3" t="s">
        <v>102</v>
      </c>
      <c r="D1922" s="15" t="n">
        <v>90</v>
      </c>
    </row>
    <row r="1923" customFormat="false" ht="15" hidden="false" customHeight="false" outlineLevel="0" collapsed="false">
      <c r="A1923" s="3" t="n">
        <v>6</v>
      </c>
      <c r="B1923" s="3" t="s">
        <v>768</v>
      </c>
      <c r="C1923" s="3" t="s">
        <v>101</v>
      </c>
      <c r="D1923" s="15" t="n">
        <v>1447.95</v>
      </c>
    </row>
    <row r="1924" customFormat="false" ht="15" hidden="false" customHeight="false" outlineLevel="0" collapsed="false">
      <c r="A1924" s="3" t="n">
        <v>6</v>
      </c>
      <c r="B1924" s="3" t="s">
        <v>768</v>
      </c>
      <c r="C1924" s="3" t="s">
        <v>102</v>
      </c>
      <c r="D1924" s="15" t="n">
        <v>3.9</v>
      </c>
    </row>
    <row r="1925" customFormat="false" ht="15" hidden="false" customHeight="false" outlineLevel="0" collapsed="false">
      <c r="A1925" s="3" t="n">
        <v>6</v>
      </c>
      <c r="B1925" s="3" t="s">
        <v>769</v>
      </c>
      <c r="C1925" s="3" t="s">
        <v>101</v>
      </c>
      <c r="D1925" s="15" t="n">
        <v>4198.85</v>
      </c>
    </row>
    <row r="1926" customFormat="false" ht="15" hidden="false" customHeight="false" outlineLevel="0" collapsed="false">
      <c r="A1926" s="3" t="n">
        <v>6</v>
      </c>
      <c r="B1926" s="3" t="s">
        <v>769</v>
      </c>
      <c r="C1926" s="3" t="s">
        <v>102</v>
      </c>
      <c r="D1926" s="15" t="n">
        <v>15.6</v>
      </c>
    </row>
    <row r="1927" customFormat="false" ht="15" hidden="false" customHeight="false" outlineLevel="0" collapsed="false">
      <c r="A1927" s="3" t="n">
        <v>6</v>
      </c>
      <c r="B1927" s="3" t="s">
        <v>770</v>
      </c>
      <c r="C1927" s="3" t="s">
        <v>101</v>
      </c>
      <c r="D1927" s="15" t="n">
        <v>2685.9</v>
      </c>
    </row>
    <row r="1928" customFormat="false" ht="15" hidden="false" customHeight="false" outlineLevel="0" collapsed="false">
      <c r="A1928" s="3" t="n">
        <v>6</v>
      </c>
      <c r="B1928" s="3" t="s">
        <v>770</v>
      </c>
      <c r="C1928" s="3" t="s">
        <v>102</v>
      </c>
      <c r="D1928" s="15" t="n">
        <v>7.8</v>
      </c>
    </row>
    <row r="1929" customFormat="false" ht="15" hidden="false" customHeight="false" outlineLevel="0" collapsed="false">
      <c r="A1929" s="3" t="n">
        <v>6</v>
      </c>
      <c r="B1929" s="3" t="s">
        <v>771</v>
      </c>
      <c r="C1929" s="3" t="s">
        <v>101</v>
      </c>
      <c r="D1929" s="15" t="n">
        <v>6941.4</v>
      </c>
    </row>
    <row r="1930" customFormat="false" ht="15" hidden="false" customHeight="false" outlineLevel="0" collapsed="false">
      <c r="A1930" s="3" t="n">
        <v>6</v>
      </c>
      <c r="B1930" s="3" t="s">
        <v>771</v>
      </c>
      <c r="C1930" s="3" t="s">
        <v>102</v>
      </c>
      <c r="D1930" s="15" t="n">
        <v>5150.25</v>
      </c>
    </row>
    <row r="1931" customFormat="false" ht="15" hidden="false" customHeight="false" outlineLevel="0" collapsed="false">
      <c r="A1931" s="3" t="n">
        <v>6</v>
      </c>
      <c r="B1931" s="3" t="s">
        <v>772</v>
      </c>
      <c r="C1931" s="3" t="s">
        <v>101</v>
      </c>
      <c r="D1931" s="15" t="n">
        <v>1052.26</v>
      </c>
    </row>
    <row r="1932" customFormat="false" ht="15" hidden="false" customHeight="false" outlineLevel="0" collapsed="false">
      <c r="A1932" s="3" t="n">
        <v>6</v>
      </c>
      <c r="B1932" s="3" t="s">
        <v>772</v>
      </c>
      <c r="C1932" s="3" t="s">
        <v>102</v>
      </c>
      <c r="D1932" s="15" t="n">
        <v>113.9</v>
      </c>
    </row>
    <row r="1933" customFormat="false" ht="15" hidden="false" customHeight="false" outlineLevel="0" collapsed="false">
      <c r="A1933" s="3" t="n">
        <v>6</v>
      </c>
      <c r="B1933" s="3" t="s">
        <v>773</v>
      </c>
      <c r="C1933" s="3" t="s">
        <v>101</v>
      </c>
      <c r="D1933" s="15" t="n">
        <v>1422.52</v>
      </c>
    </row>
    <row r="1934" customFormat="false" ht="15" hidden="false" customHeight="false" outlineLevel="0" collapsed="false">
      <c r="A1934" s="3" t="n">
        <v>6</v>
      </c>
      <c r="B1934" s="3" t="s">
        <v>773</v>
      </c>
      <c r="C1934" s="3" t="s">
        <v>102</v>
      </c>
      <c r="D1934" s="15" t="n">
        <v>1000</v>
      </c>
    </row>
    <row r="1935" customFormat="false" ht="15" hidden="false" customHeight="false" outlineLevel="0" collapsed="false">
      <c r="A1935" s="3" t="n">
        <v>6</v>
      </c>
      <c r="B1935" s="3" t="s">
        <v>774</v>
      </c>
      <c r="C1935" s="3" t="s">
        <v>101</v>
      </c>
      <c r="D1935" s="15" t="n">
        <v>4978.82</v>
      </c>
    </row>
    <row r="1936" customFormat="false" ht="15" hidden="false" customHeight="false" outlineLevel="0" collapsed="false">
      <c r="A1936" s="3" t="n">
        <v>6</v>
      </c>
      <c r="B1936" s="3" t="s">
        <v>774</v>
      </c>
      <c r="C1936" s="3" t="s">
        <v>102</v>
      </c>
      <c r="D1936" s="15" t="n">
        <v>10000</v>
      </c>
    </row>
    <row r="1937" customFormat="false" ht="15" hidden="false" customHeight="false" outlineLevel="0" collapsed="false">
      <c r="A1937" s="3" t="n">
        <v>6</v>
      </c>
      <c r="B1937" s="3" t="s">
        <v>775</v>
      </c>
      <c r="C1937" s="3" t="s">
        <v>101</v>
      </c>
      <c r="D1937" s="15" t="n">
        <v>1866.9</v>
      </c>
    </row>
    <row r="1938" customFormat="false" ht="15" hidden="false" customHeight="false" outlineLevel="0" collapsed="false">
      <c r="A1938" s="3" t="n">
        <v>6</v>
      </c>
      <c r="B1938" s="3" t="s">
        <v>775</v>
      </c>
      <c r="C1938" s="3" t="s">
        <v>102</v>
      </c>
      <c r="D1938" s="15" t="n">
        <v>19.8</v>
      </c>
    </row>
    <row r="1939" customFormat="false" ht="15" hidden="false" customHeight="false" outlineLevel="0" collapsed="false">
      <c r="A1939" s="3" t="n">
        <v>6</v>
      </c>
      <c r="B1939" s="3" t="s">
        <v>776</v>
      </c>
      <c r="C1939" s="3" t="s">
        <v>101</v>
      </c>
      <c r="D1939" s="15" t="n">
        <v>5581.4</v>
      </c>
    </row>
    <row r="1940" customFormat="false" ht="15" hidden="false" customHeight="false" outlineLevel="0" collapsed="false">
      <c r="A1940" s="3" t="n">
        <v>6</v>
      </c>
      <c r="B1940" s="3" t="s">
        <v>776</v>
      </c>
      <c r="C1940" s="3" t="s">
        <v>103</v>
      </c>
      <c r="D1940" s="15" t="n">
        <v>-136.67</v>
      </c>
    </row>
    <row r="1941" customFormat="false" ht="15" hidden="false" customHeight="false" outlineLevel="0" collapsed="false">
      <c r="A1941" s="3" t="n">
        <v>6</v>
      </c>
      <c r="B1941" s="3" t="s">
        <v>776</v>
      </c>
      <c r="C1941" s="3" t="s">
        <v>102</v>
      </c>
      <c r="D1941" s="15" t="n">
        <v>10097.58</v>
      </c>
    </row>
    <row r="1942" customFormat="false" ht="15" hidden="false" customHeight="false" outlineLevel="0" collapsed="false">
      <c r="A1942" s="3" t="n">
        <v>6</v>
      </c>
      <c r="B1942" s="3" t="s">
        <v>777</v>
      </c>
      <c r="C1942" s="3" t="s">
        <v>101</v>
      </c>
      <c r="D1942" s="15" t="n">
        <v>4495.04</v>
      </c>
    </row>
    <row r="1943" customFormat="false" ht="15" hidden="false" customHeight="false" outlineLevel="0" collapsed="false">
      <c r="A1943" s="3" t="n">
        <v>6</v>
      </c>
      <c r="B1943" s="3" t="s">
        <v>777</v>
      </c>
      <c r="C1943" s="3" t="s">
        <v>102</v>
      </c>
      <c r="D1943" s="15" t="n">
        <v>65.6</v>
      </c>
    </row>
    <row r="1944" customFormat="false" ht="15" hidden="false" customHeight="false" outlineLevel="0" collapsed="false">
      <c r="A1944" s="3" t="n">
        <v>6</v>
      </c>
      <c r="B1944" s="3" t="s">
        <v>778</v>
      </c>
      <c r="C1944" s="3" t="s">
        <v>101</v>
      </c>
      <c r="D1944" s="15" t="n">
        <v>2421.97</v>
      </c>
    </row>
    <row r="1945" customFormat="false" ht="15" hidden="false" customHeight="false" outlineLevel="0" collapsed="false">
      <c r="A1945" s="3" t="n">
        <v>6</v>
      </c>
      <c r="B1945" s="3" t="s">
        <v>778</v>
      </c>
      <c r="C1945" s="3" t="s">
        <v>102</v>
      </c>
      <c r="D1945" s="15" t="n">
        <v>61.7</v>
      </c>
    </row>
    <row r="1946" customFormat="false" ht="15" hidden="false" customHeight="false" outlineLevel="0" collapsed="false">
      <c r="A1946" s="3" t="n">
        <v>6</v>
      </c>
      <c r="B1946" s="3" t="s">
        <v>779</v>
      </c>
      <c r="C1946" s="3" t="s">
        <v>101</v>
      </c>
      <c r="D1946" s="15" t="n">
        <v>1897.72</v>
      </c>
    </row>
    <row r="1947" customFormat="false" ht="15" hidden="false" customHeight="false" outlineLevel="0" collapsed="false">
      <c r="A1947" s="3" t="n">
        <v>6</v>
      </c>
      <c r="B1947" s="3" t="s">
        <v>779</v>
      </c>
      <c r="C1947" s="3" t="s">
        <v>102</v>
      </c>
      <c r="D1947" s="15" t="n">
        <v>7.8</v>
      </c>
    </row>
    <row r="1948" customFormat="false" ht="15" hidden="false" customHeight="false" outlineLevel="0" collapsed="false">
      <c r="A1948" s="3" t="n">
        <v>6</v>
      </c>
      <c r="B1948" s="3" t="s">
        <v>780</v>
      </c>
      <c r="C1948" s="3" t="s">
        <v>101</v>
      </c>
      <c r="D1948" s="15" t="n">
        <v>9246.38</v>
      </c>
    </row>
    <row r="1949" customFormat="false" ht="15" hidden="false" customHeight="false" outlineLevel="0" collapsed="false">
      <c r="A1949" s="3" t="n">
        <v>6</v>
      </c>
      <c r="B1949" s="3" t="s">
        <v>780</v>
      </c>
      <c r="C1949" s="3" t="s">
        <v>102</v>
      </c>
      <c r="D1949" s="15" t="n">
        <v>31711.42</v>
      </c>
    </row>
    <row r="1950" customFormat="false" ht="15" hidden="false" customHeight="false" outlineLevel="0" collapsed="false">
      <c r="A1950" s="3" t="n">
        <v>6</v>
      </c>
      <c r="B1950" s="3" t="s">
        <v>781</v>
      </c>
      <c r="C1950" s="3" t="s">
        <v>101</v>
      </c>
      <c r="D1950" s="15" t="n">
        <v>711.26</v>
      </c>
    </row>
    <row r="1951" customFormat="false" ht="15" hidden="false" customHeight="false" outlineLevel="0" collapsed="false">
      <c r="A1951" s="3" t="n">
        <v>6</v>
      </c>
      <c r="B1951" s="3" t="s">
        <v>781</v>
      </c>
      <c r="C1951" s="3" t="s">
        <v>102</v>
      </c>
      <c r="D1951" s="15" t="n">
        <v>2635.71</v>
      </c>
    </row>
    <row r="1952" customFormat="false" ht="15" hidden="false" customHeight="false" outlineLevel="0" collapsed="false">
      <c r="A1952" s="3" t="n">
        <v>6</v>
      </c>
      <c r="B1952" s="3" t="s">
        <v>782</v>
      </c>
      <c r="C1952" s="3" t="s">
        <v>101</v>
      </c>
      <c r="D1952" s="15" t="n">
        <v>16180.91</v>
      </c>
    </row>
    <row r="1953" customFormat="false" ht="15" hidden="false" customHeight="false" outlineLevel="0" collapsed="false">
      <c r="A1953" s="3" t="n">
        <v>6</v>
      </c>
      <c r="B1953" s="3" t="s">
        <v>782</v>
      </c>
      <c r="C1953" s="3" t="s">
        <v>102</v>
      </c>
      <c r="D1953" s="15" t="n">
        <v>66.3</v>
      </c>
    </row>
    <row r="1954" customFormat="false" ht="15" hidden="false" customHeight="false" outlineLevel="0" collapsed="false">
      <c r="A1954" s="3" t="n">
        <v>6</v>
      </c>
      <c r="B1954" s="3" t="s">
        <v>783</v>
      </c>
      <c r="C1954" s="3" t="s">
        <v>101</v>
      </c>
      <c r="D1954" s="15" t="n">
        <v>2701.38</v>
      </c>
    </row>
    <row r="1955" customFormat="false" ht="15" hidden="false" customHeight="false" outlineLevel="0" collapsed="false">
      <c r="A1955" s="3" t="n">
        <v>6</v>
      </c>
      <c r="B1955" s="3" t="s">
        <v>783</v>
      </c>
      <c r="C1955" s="3" t="s">
        <v>102</v>
      </c>
      <c r="D1955" s="15" t="n">
        <v>11.7</v>
      </c>
    </row>
    <row r="1956" customFormat="false" ht="15" hidden="false" customHeight="false" outlineLevel="0" collapsed="false">
      <c r="A1956" s="3" t="n">
        <v>6</v>
      </c>
      <c r="B1956" s="3" t="s">
        <v>784</v>
      </c>
      <c r="C1956" s="3" t="s">
        <v>101</v>
      </c>
      <c r="D1956" s="15" t="n">
        <v>13629.98</v>
      </c>
    </row>
    <row r="1957" customFormat="false" ht="15" hidden="false" customHeight="false" outlineLevel="0" collapsed="false">
      <c r="A1957" s="3" t="n">
        <v>6</v>
      </c>
      <c r="B1957" s="3" t="s">
        <v>784</v>
      </c>
      <c r="C1957" s="3" t="s">
        <v>103</v>
      </c>
      <c r="D1957" s="15" t="n">
        <v>-2989.36</v>
      </c>
    </row>
    <row r="1958" customFormat="false" ht="15" hidden="false" customHeight="false" outlineLevel="0" collapsed="false">
      <c r="A1958" s="3" t="n">
        <v>6</v>
      </c>
      <c r="B1958" s="3" t="s">
        <v>784</v>
      </c>
      <c r="C1958" s="3" t="s">
        <v>102</v>
      </c>
      <c r="D1958" s="15" t="n">
        <v>70603.44</v>
      </c>
    </row>
    <row r="1959" customFormat="false" ht="15" hidden="false" customHeight="false" outlineLevel="0" collapsed="false">
      <c r="A1959" s="3" t="n">
        <v>6</v>
      </c>
      <c r="B1959" s="3" t="s">
        <v>785</v>
      </c>
      <c r="C1959" s="3" t="s">
        <v>101</v>
      </c>
      <c r="D1959" s="15" t="n">
        <v>5712.02</v>
      </c>
    </row>
    <row r="1960" customFormat="false" ht="15" hidden="false" customHeight="false" outlineLevel="0" collapsed="false">
      <c r="A1960" s="3" t="n">
        <v>6</v>
      </c>
      <c r="B1960" s="3" t="s">
        <v>785</v>
      </c>
      <c r="C1960" s="3" t="s">
        <v>102</v>
      </c>
      <c r="D1960" s="15" t="n">
        <v>526.4</v>
      </c>
    </row>
    <row r="1961" customFormat="false" ht="15" hidden="false" customHeight="false" outlineLevel="0" collapsed="false">
      <c r="A1961" s="3" t="n">
        <v>6</v>
      </c>
      <c r="B1961" s="3" t="s">
        <v>786</v>
      </c>
      <c r="C1961" s="3" t="s">
        <v>101</v>
      </c>
      <c r="D1961" s="15" t="n">
        <v>16697.1</v>
      </c>
    </row>
    <row r="1962" customFormat="false" ht="15" hidden="false" customHeight="false" outlineLevel="0" collapsed="false">
      <c r="A1962" s="3" t="n">
        <v>6</v>
      </c>
      <c r="B1962" s="3" t="s">
        <v>786</v>
      </c>
      <c r="C1962" s="3" t="s">
        <v>103</v>
      </c>
      <c r="D1962" s="15" t="n">
        <v>-690.39</v>
      </c>
    </row>
    <row r="1963" customFormat="false" ht="15" hidden="false" customHeight="false" outlineLevel="0" collapsed="false">
      <c r="A1963" s="3" t="n">
        <v>6</v>
      </c>
      <c r="B1963" s="3" t="s">
        <v>786</v>
      </c>
      <c r="C1963" s="3" t="s">
        <v>102</v>
      </c>
      <c r="D1963" s="15" t="n">
        <v>12939.9</v>
      </c>
    </row>
    <row r="1964" customFormat="false" ht="15" hidden="false" customHeight="false" outlineLevel="0" collapsed="false">
      <c r="A1964" s="3" t="n">
        <v>6</v>
      </c>
      <c r="B1964" s="3" t="s">
        <v>787</v>
      </c>
      <c r="C1964" s="3" t="s">
        <v>101</v>
      </c>
      <c r="D1964" s="15" t="n">
        <v>1215.06</v>
      </c>
    </row>
    <row r="1965" customFormat="false" ht="15" hidden="false" customHeight="false" outlineLevel="0" collapsed="false">
      <c r="A1965" s="3" t="n">
        <v>6</v>
      </c>
      <c r="B1965" s="3" t="s">
        <v>787</v>
      </c>
      <c r="C1965" s="3" t="s">
        <v>102</v>
      </c>
      <c r="D1965" s="15" t="n">
        <v>3.9</v>
      </c>
    </row>
    <row r="1966" customFormat="false" ht="15" hidden="false" customHeight="false" outlineLevel="0" collapsed="false">
      <c r="A1966" s="3" t="n">
        <v>6</v>
      </c>
      <c r="B1966" s="3" t="s">
        <v>788</v>
      </c>
      <c r="C1966" s="3" t="s">
        <v>101</v>
      </c>
      <c r="D1966" s="15" t="n">
        <v>3931.84</v>
      </c>
    </row>
    <row r="1967" customFormat="false" ht="15" hidden="false" customHeight="false" outlineLevel="0" collapsed="false">
      <c r="A1967" s="3" t="n">
        <v>6</v>
      </c>
      <c r="B1967" s="3" t="s">
        <v>788</v>
      </c>
      <c r="C1967" s="3" t="s">
        <v>102</v>
      </c>
      <c r="D1967" s="15" t="n">
        <v>103.8</v>
      </c>
    </row>
    <row r="1968" customFormat="false" ht="15" hidden="false" customHeight="false" outlineLevel="0" collapsed="false">
      <c r="A1968" s="3" t="n">
        <v>6</v>
      </c>
      <c r="B1968" s="3" t="s">
        <v>789</v>
      </c>
      <c r="C1968" s="3" t="s">
        <v>101</v>
      </c>
      <c r="D1968" s="15" t="n">
        <v>2845.04</v>
      </c>
    </row>
    <row r="1969" customFormat="false" ht="15" hidden="false" customHeight="false" outlineLevel="0" collapsed="false">
      <c r="A1969" s="3" t="n">
        <v>6</v>
      </c>
      <c r="B1969" s="3" t="s">
        <v>789</v>
      </c>
      <c r="C1969" s="3" t="s">
        <v>102</v>
      </c>
      <c r="D1969" s="15" t="n">
        <v>2431.66</v>
      </c>
    </row>
    <row r="1970" customFormat="false" ht="15" hidden="false" customHeight="false" outlineLevel="0" collapsed="false">
      <c r="A1970" s="3" t="n">
        <v>6</v>
      </c>
      <c r="B1970" s="3" t="s">
        <v>790</v>
      </c>
      <c r="C1970" s="3" t="s">
        <v>101</v>
      </c>
      <c r="D1970" s="15" t="n">
        <v>1168.86</v>
      </c>
    </row>
    <row r="1971" customFormat="false" ht="15" hidden="false" customHeight="false" outlineLevel="0" collapsed="false">
      <c r="A1971" s="3" t="n">
        <v>6</v>
      </c>
      <c r="B1971" s="3" t="s">
        <v>790</v>
      </c>
      <c r="C1971" s="3" t="s">
        <v>102</v>
      </c>
      <c r="D1971" s="15" t="n">
        <v>3.9</v>
      </c>
    </row>
    <row r="1972" customFormat="false" ht="15" hidden="false" customHeight="false" outlineLevel="0" collapsed="false">
      <c r="A1972" s="3" t="n">
        <v>6</v>
      </c>
      <c r="B1972" s="3" t="s">
        <v>791</v>
      </c>
      <c r="C1972" s="3" t="s">
        <v>101</v>
      </c>
      <c r="D1972" s="15" t="n">
        <v>909.26</v>
      </c>
    </row>
    <row r="1973" customFormat="false" ht="15" hidden="false" customHeight="false" outlineLevel="0" collapsed="false">
      <c r="A1973" s="3" t="n">
        <v>6</v>
      </c>
      <c r="B1973" s="3" t="s">
        <v>791</v>
      </c>
      <c r="C1973" s="3" t="s">
        <v>102</v>
      </c>
      <c r="D1973" s="15" t="n">
        <v>81.9</v>
      </c>
    </row>
    <row r="1974" customFormat="false" ht="15" hidden="false" customHeight="false" outlineLevel="0" collapsed="false">
      <c r="A1974" s="3" t="n">
        <v>6</v>
      </c>
      <c r="B1974" s="3" t="s">
        <v>792</v>
      </c>
      <c r="C1974" s="3" t="s">
        <v>101</v>
      </c>
      <c r="D1974" s="15" t="n">
        <v>1063.26</v>
      </c>
    </row>
    <row r="1975" customFormat="false" ht="15" hidden="false" customHeight="false" outlineLevel="0" collapsed="false">
      <c r="A1975" s="3" t="n">
        <v>6</v>
      </c>
      <c r="B1975" s="3" t="s">
        <v>792</v>
      </c>
      <c r="C1975" s="3" t="s">
        <v>102</v>
      </c>
      <c r="D1975" s="15" t="n">
        <v>3.9</v>
      </c>
    </row>
    <row r="1976" customFormat="false" ht="15" hidden="false" customHeight="false" outlineLevel="0" collapsed="false">
      <c r="A1976" s="3" t="n">
        <v>6</v>
      </c>
      <c r="B1976" s="3" t="s">
        <v>793</v>
      </c>
      <c r="C1976" s="3" t="s">
        <v>101</v>
      </c>
      <c r="D1976" s="15" t="n">
        <v>887.26</v>
      </c>
    </row>
    <row r="1977" customFormat="false" ht="15" hidden="false" customHeight="false" outlineLevel="0" collapsed="false">
      <c r="A1977" s="3" t="n">
        <v>6</v>
      </c>
      <c r="B1977" s="3" t="s">
        <v>793</v>
      </c>
      <c r="C1977" s="3" t="s">
        <v>102</v>
      </c>
      <c r="D1977" s="15" t="n">
        <v>3.9</v>
      </c>
    </row>
    <row r="1978" customFormat="false" ht="15" hidden="false" customHeight="false" outlineLevel="0" collapsed="false">
      <c r="A1978" s="3" t="n">
        <v>6</v>
      </c>
      <c r="B1978" s="3" t="s">
        <v>794</v>
      </c>
      <c r="C1978" s="3" t="s">
        <v>101</v>
      </c>
      <c r="D1978" s="15" t="n">
        <v>948.86</v>
      </c>
    </row>
    <row r="1979" customFormat="false" ht="15" hidden="false" customHeight="false" outlineLevel="0" collapsed="false">
      <c r="A1979" s="3" t="n">
        <v>6</v>
      </c>
      <c r="B1979" s="3" t="s">
        <v>794</v>
      </c>
      <c r="C1979" s="3" t="s">
        <v>102</v>
      </c>
      <c r="D1979" s="15" t="n">
        <v>53.9</v>
      </c>
    </row>
    <row r="1980" customFormat="false" ht="15" hidden="false" customHeight="false" outlineLevel="0" collapsed="false">
      <c r="A1980" s="3" t="n">
        <v>6</v>
      </c>
      <c r="B1980" s="3" t="s">
        <v>795</v>
      </c>
      <c r="C1980" s="3" t="s">
        <v>101</v>
      </c>
      <c r="D1980" s="15" t="n">
        <v>711.26</v>
      </c>
    </row>
    <row r="1981" customFormat="false" ht="15" hidden="false" customHeight="false" outlineLevel="0" collapsed="false">
      <c r="A1981" s="3" t="n">
        <v>6</v>
      </c>
      <c r="B1981" s="3" t="s">
        <v>795</v>
      </c>
      <c r="C1981" s="3" t="s">
        <v>102</v>
      </c>
      <c r="D1981" s="15" t="n">
        <v>32</v>
      </c>
    </row>
    <row r="1982" customFormat="false" ht="15" hidden="false" customHeight="false" outlineLevel="0" collapsed="false">
      <c r="A1982" s="3" t="n">
        <v>6</v>
      </c>
      <c r="B1982" s="3" t="s">
        <v>796</v>
      </c>
      <c r="C1982" s="3" t="s">
        <v>101</v>
      </c>
      <c r="D1982" s="15" t="n">
        <v>935.66</v>
      </c>
    </row>
    <row r="1983" customFormat="false" ht="15" hidden="false" customHeight="false" outlineLevel="0" collapsed="false">
      <c r="A1983" s="3" t="n">
        <v>6</v>
      </c>
      <c r="B1983" s="3" t="s">
        <v>796</v>
      </c>
      <c r="C1983" s="3" t="s">
        <v>102</v>
      </c>
      <c r="D1983" s="15" t="n">
        <v>3.9</v>
      </c>
    </row>
    <row r="1984" customFormat="false" ht="15" hidden="false" customHeight="false" outlineLevel="0" collapsed="false">
      <c r="A1984" s="3" t="n">
        <v>6</v>
      </c>
      <c r="B1984" s="3" t="s">
        <v>797</v>
      </c>
      <c r="C1984" s="3" t="s">
        <v>101</v>
      </c>
      <c r="D1984" s="15" t="n">
        <v>33795.7</v>
      </c>
    </row>
    <row r="1985" customFormat="false" ht="15" hidden="false" customHeight="false" outlineLevel="0" collapsed="false">
      <c r="A1985" s="3" t="n">
        <v>6</v>
      </c>
      <c r="B1985" s="3" t="s">
        <v>797</v>
      </c>
      <c r="C1985" s="3" t="s">
        <v>102</v>
      </c>
      <c r="D1985" s="15" t="n">
        <v>2863</v>
      </c>
    </row>
    <row r="1986" customFormat="false" ht="15" hidden="false" customHeight="false" outlineLevel="0" collapsed="false">
      <c r="A1986" s="3" t="n">
        <v>6</v>
      </c>
      <c r="B1986" s="3" t="s">
        <v>798</v>
      </c>
      <c r="C1986" s="3" t="s">
        <v>101</v>
      </c>
      <c r="D1986" s="15" t="n">
        <v>376.86</v>
      </c>
    </row>
    <row r="1987" customFormat="false" ht="15" hidden="false" customHeight="false" outlineLevel="0" collapsed="false">
      <c r="A1987" s="3" t="n">
        <v>6</v>
      </c>
      <c r="B1987" s="3" t="s">
        <v>798</v>
      </c>
      <c r="C1987" s="3" t="s">
        <v>102</v>
      </c>
      <c r="D1987" s="15" t="n">
        <v>202.5</v>
      </c>
    </row>
    <row r="1988" customFormat="false" ht="15" hidden="false" customHeight="false" outlineLevel="0" collapsed="false">
      <c r="A1988" s="3" t="n">
        <v>6</v>
      </c>
      <c r="B1988" s="3" t="s">
        <v>799</v>
      </c>
      <c r="C1988" s="3" t="s">
        <v>102</v>
      </c>
      <c r="D1988" s="15" t="n">
        <v>4790.82</v>
      </c>
    </row>
    <row r="1989" customFormat="false" ht="15" hidden="false" customHeight="false" outlineLevel="0" collapsed="false">
      <c r="A1989" s="3" t="n">
        <v>6</v>
      </c>
      <c r="B1989" s="3" t="s">
        <v>800</v>
      </c>
      <c r="C1989" s="3" t="s">
        <v>102</v>
      </c>
      <c r="D1989" s="15" t="n">
        <v>5915.72</v>
      </c>
    </row>
    <row r="1990" customFormat="false" ht="15" hidden="false" customHeight="false" outlineLevel="0" collapsed="false">
      <c r="A1990" s="3" t="n">
        <v>6</v>
      </c>
      <c r="B1990" s="3" t="s">
        <v>801</v>
      </c>
      <c r="C1990" s="3" t="s">
        <v>103</v>
      </c>
      <c r="D1990" s="15" t="n">
        <v>-785.95</v>
      </c>
    </row>
    <row r="1991" customFormat="false" ht="15" hidden="false" customHeight="false" outlineLevel="0" collapsed="false">
      <c r="A1991" s="3" t="n">
        <v>6</v>
      </c>
      <c r="B1991" s="3" t="s">
        <v>801</v>
      </c>
      <c r="C1991" s="3" t="s">
        <v>100</v>
      </c>
      <c r="D1991" s="15" t="n">
        <v>3619.32</v>
      </c>
    </row>
    <row r="1992" customFormat="false" ht="15" hidden="false" customHeight="false" outlineLevel="0" collapsed="false">
      <c r="A1992" s="3" t="n">
        <v>6</v>
      </c>
      <c r="B1992" s="3" t="s">
        <v>801</v>
      </c>
      <c r="C1992" s="3" t="s">
        <v>99</v>
      </c>
      <c r="D1992" s="15" t="n">
        <v>59.31</v>
      </c>
    </row>
    <row r="1993" customFormat="false" ht="15" hidden="false" customHeight="false" outlineLevel="0" collapsed="false">
      <c r="A1993" s="3" t="n">
        <v>6</v>
      </c>
      <c r="B1993" s="3" t="s">
        <v>801</v>
      </c>
      <c r="C1993" s="3" t="s">
        <v>98</v>
      </c>
      <c r="D1993" s="15" t="n">
        <v>6484</v>
      </c>
    </row>
    <row r="1994" customFormat="false" ht="15" hidden="false" customHeight="false" outlineLevel="0" collapsed="false">
      <c r="A1994" s="3" t="n">
        <v>6</v>
      </c>
      <c r="B1994" s="3" t="s">
        <v>801</v>
      </c>
      <c r="C1994" s="3" t="s">
        <v>82</v>
      </c>
      <c r="D1994" s="15" t="n">
        <v>3351.32</v>
      </c>
    </row>
    <row r="1995" customFormat="false" ht="15" hidden="false" customHeight="false" outlineLevel="0" collapsed="false">
      <c r="A1995" s="3" t="n">
        <v>6</v>
      </c>
      <c r="B1995" s="3" t="s">
        <v>802</v>
      </c>
      <c r="C1995" s="3" t="s">
        <v>103</v>
      </c>
      <c r="D1995" s="15" t="n">
        <v>-60813.96</v>
      </c>
    </row>
    <row r="1996" customFormat="false" ht="15" hidden="false" customHeight="false" outlineLevel="0" collapsed="false">
      <c r="A1996" s="3" t="n">
        <v>6</v>
      </c>
      <c r="B1996" s="3" t="s">
        <v>802</v>
      </c>
      <c r="C1996" s="3" t="s">
        <v>102</v>
      </c>
      <c r="D1996" s="15" t="n">
        <v>6643.91</v>
      </c>
    </row>
    <row r="1997" customFormat="false" ht="15" hidden="false" customHeight="false" outlineLevel="0" collapsed="false">
      <c r="A1997" s="3" t="n">
        <v>6</v>
      </c>
      <c r="B1997" s="3" t="s">
        <v>802</v>
      </c>
      <c r="C1997" s="3" t="s">
        <v>100</v>
      </c>
      <c r="D1997" s="15" t="n">
        <v>209584.54</v>
      </c>
    </row>
    <row r="1998" customFormat="false" ht="15" hidden="false" customHeight="false" outlineLevel="0" collapsed="false">
      <c r="A1998" s="3" t="n">
        <v>6</v>
      </c>
      <c r="B1998" s="3" t="s">
        <v>802</v>
      </c>
      <c r="C1998" s="3" t="s">
        <v>99</v>
      </c>
      <c r="D1998" s="15" t="n">
        <v>33524.03</v>
      </c>
    </row>
    <row r="1999" customFormat="false" ht="15" hidden="false" customHeight="false" outlineLevel="0" collapsed="false">
      <c r="A1999" s="3" t="n">
        <v>6</v>
      </c>
      <c r="B1999" s="3" t="s">
        <v>802</v>
      </c>
      <c r="C1999" s="3" t="s">
        <v>98</v>
      </c>
      <c r="D1999" s="15" t="n">
        <v>276779.21</v>
      </c>
    </row>
    <row r="2000" customFormat="false" ht="15" hidden="false" customHeight="false" outlineLevel="0" collapsed="false">
      <c r="A2000" s="3" t="n">
        <v>6</v>
      </c>
      <c r="B2000" s="3" t="s">
        <v>802</v>
      </c>
      <c r="C2000" s="3" t="s">
        <v>82</v>
      </c>
      <c r="D2000" s="15" t="n">
        <v>164697.4</v>
      </c>
    </row>
    <row r="2001" customFormat="false" ht="15" hidden="false" customHeight="false" outlineLevel="0" collapsed="false">
      <c r="A2001" s="3" t="n">
        <v>6</v>
      </c>
      <c r="B2001" s="3" t="s">
        <v>803</v>
      </c>
      <c r="C2001" s="3" t="s">
        <v>103</v>
      </c>
      <c r="D2001" s="15" t="n">
        <v>-168422.76</v>
      </c>
    </row>
    <row r="2002" customFormat="false" ht="15" hidden="false" customHeight="false" outlineLevel="0" collapsed="false">
      <c r="A2002" s="3" t="n">
        <v>6</v>
      </c>
      <c r="B2002" s="3" t="s">
        <v>803</v>
      </c>
      <c r="C2002" s="3" t="s">
        <v>102</v>
      </c>
      <c r="D2002" s="15" t="n">
        <v>6254.57</v>
      </c>
    </row>
    <row r="2003" customFormat="false" ht="15" hidden="false" customHeight="false" outlineLevel="0" collapsed="false">
      <c r="A2003" s="3" t="n">
        <v>6</v>
      </c>
      <c r="B2003" s="3" t="s">
        <v>803</v>
      </c>
      <c r="C2003" s="3" t="s">
        <v>100</v>
      </c>
      <c r="D2003" s="15" t="n">
        <v>222269.26</v>
      </c>
    </row>
    <row r="2004" customFormat="false" ht="15" hidden="false" customHeight="false" outlineLevel="0" collapsed="false">
      <c r="A2004" s="3" t="n">
        <v>6</v>
      </c>
      <c r="B2004" s="3" t="s">
        <v>803</v>
      </c>
      <c r="C2004" s="3" t="s">
        <v>99</v>
      </c>
      <c r="D2004" s="15" t="n">
        <v>72085.36</v>
      </c>
    </row>
    <row r="2005" customFormat="false" ht="15" hidden="false" customHeight="false" outlineLevel="0" collapsed="false">
      <c r="A2005" s="3" t="n">
        <v>6</v>
      </c>
      <c r="B2005" s="3" t="s">
        <v>803</v>
      </c>
      <c r="C2005" s="3" t="s">
        <v>98</v>
      </c>
      <c r="D2005" s="15" t="n">
        <v>301003.69</v>
      </c>
    </row>
    <row r="2006" customFormat="false" ht="15" hidden="false" customHeight="false" outlineLevel="0" collapsed="false">
      <c r="A2006" s="3" t="n">
        <v>6</v>
      </c>
      <c r="B2006" s="3" t="s">
        <v>803</v>
      </c>
      <c r="C2006" s="3" t="s">
        <v>82</v>
      </c>
      <c r="D2006" s="15" t="n">
        <v>155644.24</v>
      </c>
    </row>
    <row r="2007" customFormat="false" ht="15" hidden="false" customHeight="false" outlineLevel="0" collapsed="false">
      <c r="A2007" s="3" t="n">
        <v>6</v>
      </c>
      <c r="B2007" s="3" t="s">
        <v>804</v>
      </c>
      <c r="C2007" s="3" t="s">
        <v>101</v>
      </c>
      <c r="D2007" s="15" t="n">
        <v>59759.7</v>
      </c>
    </row>
    <row r="2008" customFormat="false" ht="15" hidden="false" customHeight="false" outlineLevel="0" collapsed="false">
      <c r="A2008" s="3" t="n">
        <v>6</v>
      </c>
      <c r="B2008" s="3" t="s">
        <v>804</v>
      </c>
      <c r="C2008" s="3" t="s">
        <v>102</v>
      </c>
      <c r="D2008" s="15" t="n">
        <v>6379.51</v>
      </c>
    </row>
    <row r="2009" customFormat="false" ht="15" hidden="false" customHeight="false" outlineLevel="0" collapsed="false">
      <c r="A2009" s="3" t="n">
        <v>6</v>
      </c>
      <c r="B2009" s="3" t="s">
        <v>805</v>
      </c>
      <c r="C2009" s="3" t="s">
        <v>103</v>
      </c>
      <c r="D2009" s="15" t="n">
        <v>-6080.23</v>
      </c>
    </row>
    <row r="2010" customFormat="false" ht="15" hidden="false" customHeight="false" outlineLevel="0" collapsed="false">
      <c r="A2010" s="3" t="n">
        <v>6</v>
      </c>
      <c r="B2010" s="3" t="s">
        <v>805</v>
      </c>
      <c r="C2010" s="3" t="s">
        <v>102</v>
      </c>
      <c r="D2010" s="15" t="n">
        <v>207.44</v>
      </c>
    </row>
    <row r="2011" customFormat="false" ht="15" hidden="false" customHeight="false" outlineLevel="0" collapsed="false">
      <c r="A2011" s="3" t="n">
        <v>6</v>
      </c>
      <c r="B2011" s="3" t="s">
        <v>805</v>
      </c>
      <c r="C2011" s="3" t="s">
        <v>100</v>
      </c>
      <c r="D2011" s="15" t="n">
        <v>44710.55</v>
      </c>
    </row>
    <row r="2012" customFormat="false" ht="15" hidden="false" customHeight="false" outlineLevel="0" collapsed="false">
      <c r="A2012" s="3" t="n">
        <v>6</v>
      </c>
      <c r="B2012" s="3" t="s">
        <v>805</v>
      </c>
      <c r="C2012" s="3" t="s">
        <v>99</v>
      </c>
      <c r="D2012" s="15" t="n">
        <v>12601.99</v>
      </c>
    </row>
    <row r="2013" customFormat="false" ht="15" hidden="false" customHeight="false" outlineLevel="0" collapsed="false">
      <c r="A2013" s="3" t="n">
        <v>6</v>
      </c>
      <c r="B2013" s="3" t="s">
        <v>805</v>
      </c>
      <c r="C2013" s="3" t="s">
        <v>98</v>
      </c>
      <c r="D2013" s="15" t="n">
        <v>58162.69</v>
      </c>
    </row>
    <row r="2014" customFormat="false" ht="15" hidden="false" customHeight="false" outlineLevel="0" collapsed="false">
      <c r="A2014" s="3" t="n">
        <v>6</v>
      </c>
      <c r="B2014" s="3" t="s">
        <v>805</v>
      </c>
      <c r="C2014" s="3" t="s">
        <v>82</v>
      </c>
      <c r="D2014" s="15" t="n">
        <v>38670.264942</v>
      </c>
    </row>
    <row r="2015" customFormat="false" ht="15" hidden="false" customHeight="false" outlineLevel="0" collapsed="false">
      <c r="A2015" s="3" t="n">
        <v>7</v>
      </c>
      <c r="B2015" s="3" t="s">
        <v>806</v>
      </c>
      <c r="C2015" s="3" t="s">
        <v>103</v>
      </c>
      <c r="D2015" s="15" t="n">
        <v>-356.22</v>
      </c>
    </row>
    <row r="2016" customFormat="false" ht="15" hidden="false" customHeight="false" outlineLevel="0" collapsed="false">
      <c r="A2016" s="3" t="n">
        <v>7</v>
      </c>
      <c r="B2016" s="3" t="s">
        <v>806</v>
      </c>
      <c r="C2016" s="3" t="s">
        <v>100</v>
      </c>
      <c r="D2016" s="15" t="n">
        <v>9520.68</v>
      </c>
    </row>
    <row r="2017" customFormat="false" ht="15" hidden="false" customHeight="false" outlineLevel="0" collapsed="false">
      <c r="A2017" s="3" t="n">
        <v>7</v>
      </c>
      <c r="B2017" s="3" t="s">
        <v>806</v>
      </c>
      <c r="C2017" s="3" t="s">
        <v>99</v>
      </c>
      <c r="D2017" s="15" t="n">
        <v>1454.63</v>
      </c>
    </row>
    <row r="2018" customFormat="false" ht="15" hidden="false" customHeight="false" outlineLevel="0" collapsed="false">
      <c r="A2018" s="3" t="n">
        <v>7</v>
      </c>
      <c r="B2018" s="3" t="s">
        <v>806</v>
      </c>
      <c r="C2018" s="3" t="s">
        <v>98</v>
      </c>
      <c r="D2018" s="15" t="n">
        <v>15462</v>
      </c>
    </row>
    <row r="2019" customFormat="false" ht="15" hidden="false" customHeight="false" outlineLevel="0" collapsed="false">
      <c r="A2019" s="3" t="n">
        <v>7</v>
      </c>
      <c r="B2019" s="3" t="s">
        <v>806</v>
      </c>
      <c r="C2019" s="3" t="s">
        <v>82</v>
      </c>
      <c r="D2019" s="15" t="n">
        <v>7872.36</v>
      </c>
    </row>
    <row r="2020" customFormat="false" ht="15" hidden="false" customHeight="false" outlineLevel="0" collapsed="false">
      <c r="A2020" s="3" t="n">
        <v>7</v>
      </c>
      <c r="B2020" s="3" t="s">
        <v>808</v>
      </c>
      <c r="C2020" s="3" t="s">
        <v>103</v>
      </c>
      <c r="D2020" s="15" t="n">
        <v>-1567.99</v>
      </c>
    </row>
    <row r="2021" customFormat="false" ht="15" hidden="false" customHeight="false" outlineLevel="0" collapsed="false">
      <c r="A2021" s="3" t="n">
        <v>7</v>
      </c>
      <c r="B2021" s="3" t="s">
        <v>808</v>
      </c>
      <c r="C2021" s="3" t="s">
        <v>100</v>
      </c>
      <c r="D2021" s="15" t="n">
        <v>38167.04</v>
      </c>
    </row>
    <row r="2022" customFormat="false" ht="15" hidden="false" customHeight="false" outlineLevel="0" collapsed="false">
      <c r="A2022" s="3" t="n">
        <v>7</v>
      </c>
      <c r="B2022" s="3" t="s">
        <v>808</v>
      </c>
      <c r="C2022" s="3" t="s">
        <v>99</v>
      </c>
      <c r="D2022" s="15" t="n">
        <v>2617.35</v>
      </c>
    </row>
    <row r="2023" customFormat="false" ht="15" hidden="false" customHeight="false" outlineLevel="0" collapsed="false">
      <c r="A2023" s="3" t="n">
        <v>7</v>
      </c>
      <c r="B2023" s="3" t="s">
        <v>808</v>
      </c>
      <c r="C2023" s="3" t="s">
        <v>98</v>
      </c>
      <c r="D2023" s="15" t="n">
        <v>64120.86</v>
      </c>
    </row>
    <row r="2024" customFormat="false" ht="15" hidden="false" customHeight="false" outlineLevel="0" collapsed="false">
      <c r="A2024" s="3" t="n">
        <v>7</v>
      </c>
      <c r="B2024" s="3" t="s">
        <v>808</v>
      </c>
      <c r="C2024" s="3" t="s">
        <v>82</v>
      </c>
      <c r="D2024" s="15" t="n">
        <v>31202.830568</v>
      </c>
    </row>
    <row r="2025" customFormat="false" ht="15" hidden="false" customHeight="false" outlineLevel="0" collapsed="false">
      <c r="A2025" s="3" t="n">
        <v>7</v>
      </c>
      <c r="B2025" s="3" t="s">
        <v>809</v>
      </c>
      <c r="C2025" s="3" t="s">
        <v>103</v>
      </c>
      <c r="D2025" s="15" t="n">
        <v>-4211.15</v>
      </c>
    </row>
    <row r="2026" customFormat="false" ht="15" hidden="false" customHeight="false" outlineLevel="0" collapsed="false">
      <c r="A2026" s="3" t="n">
        <v>7</v>
      </c>
      <c r="B2026" s="3" t="s">
        <v>809</v>
      </c>
      <c r="C2026" s="3" t="s">
        <v>102</v>
      </c>
      <c r="D2026" s="15" t="n">
        <v>21.96</v>
      </c>
    </row>
    <row r="2027" customFormat="false" ht="15" hidden="false" customHeight="false" outlineLevel="0" collapsed="false">
      <c r="A2027" s="3" t="n">
        <v>7</v>
      </c>
      <c r="B2027" s="3" t="s">
        <v>809</v>
      </c>
      <c r="C2027" s="3" t="s">
        <v>100</v>
      </c>
      <c r="D2027" s="15" t="n">
        <v>33946.94</v>
      </c>
    </row>
    <row r="2028" customFormat="false" ht="15" hidden="false" customHeight="false" outlineLevel="0" collapsed="false">
      <c r="A2028" s="3" t="n">
        <v>7</v>
      </c>
      <c r="B2028" s="3" t="s">
        <v>809</v>
      </c>
      <c r="C2028" s="3" t="s">
        <v>99</v>
      </c>
      <c r="D2028" s="15" t="n">
        <v>7973.52</v>
      </c>
    </row>
    <row r="2029" customFormat="false" ht="15" hidden="false" customHeight="false" outlineLevel="0" collapsed="false">
      <c r="A2029" s="3" t="n">
        <v>7</v>
      </c>
      <c r="B2029" s="3" t="s">
        <v>809</v>
      </c>
      <c r="C2029" s="3" t="s">
        <v>98</v>
      </c>
      <c r="D2029" s="15" t="n">
        <v>49737.4</v>
      </c>
    </row>
    <row r="2030" customFormat="false" ht="15" hidden="false" customHeight="false" outlineLevel="0" collapsed="false">
      <c r="A2030" s="3" t="n">
        <v>7</v>
      </c>
      <c r="B2030" s="3" t="s">
        <v>809</v>
      </c>
      <c r="C2030" s="3" t="s">
        <v>82</v>
      </c>
      <c r="D2030" s="15" t="n">
        <v>30910.23</v>
      </c>
    </row>
    <row r="2031" customFormat="false" ht="15" hidden="false" customHeight="false" outlineLevel="0" collapsed="false">
      <c r="A2031" s="3" t="n">
        <v>7</v>
      </c>
      <c r="B2031" s="3" t="s">
        <v>810</v>
      </c>
      <c r="C2031" s="3" t="s">
        <v>103</v>
      </c>
      <c r="D2031" s="15" t="n">
        <v>-280.68</v>
      </c>
    </row>
    <row r="2032" customFormat="false" ht="15" hidden="false" customHeight="false" outlineLevel="0" collapsed="false">
      <c r="A2032" s="3" t="n">
        <v>7</v>
      </c>
      <c r="B2032" s="3" t="s">
        <v>810</v>
      </c>
      <c r="C2032" s="3" t="s">
        <v>100</v>
      </c>
      <c r="D2032" s="15" t="n">
        <v>947.12</v>
      </c>
    </row>
    <row r="2033" customFormat="false" ht="15" hidden="false" customHeight="false" outlineLevel="0" collapsed="false">
      <c r="A2033" s="3" t="n">
        <v>7</v>
      </c>
      <c r="B2033" s="3" t="s">
        <v>810</v>
      </c>
      <c r="C2033" s="3" t="s">
        <v>99</v>
      </c>
      <c r="D2033" s="15" t="n">
        <v>32.75</v>
      </c>
    </row>
    <row r="2034" customFormat="false" ht="15" hidden="false" customHeight="false" outlineLevel="0" collapsed="false">
      <c r="A2034" s="3" t="n">
        <v>7</v>
      </c>
      <c r="B2034" s="3" t="s">
        <v>810</v>
      </c>
      <c r="C2034" s="3" t="s">
        <v>98</v>
      </c>
      <c r="D2034" s="15" t="n">
        <v>1707</v>
      </c>
    </row>
    <row r="2035" customFormat="false" ht="15" hidden="false" customHeight="false" outlineLevel="0" collapsed="false">
      <c r="A2035" s="3" t="n">
        <v>7</v>
      </c>
      <c r="B2035" s="3" t="s">
        <v>810</v>
      </c>
      <c r="C2035" s="3" t="s">
        <v>82</v>
      </c>
      <c r="D2035" s="15" t="n">
        <v>867.67</v>
      </c>
    </row>
    <row r="2036" customFormat="false" ht="15" hidden="false" customHeight="false" outlineLevel="0" collapsed="false">
      <c r="A2036" s="3" t="n">
        <v>7</v>
      </c>
      <c r="B2036" s="3" t="s">
        <v>811</v>
      </c>
      <c r="C2036" s="3" t="s">
        <v>103</v>
      </c>
      <c r="D2036" s="15" t="n">
        <v>-2311.28</v>
      </c>
    </row>
    <row r="2037" customFormat="false" ht="15" hidden="false" customHeight="false" outlineLevel="0" collapsed="false">
      <c r="A2037" s="3" t="n">
        <v>7</v>
      </c>
      <c r="B2037" s="3" t="s">
        <v>811</v>
      </c>
      <c r="C2037" s="3" t="s">
        <v>100</v>
      </c>
      <c r="D2037" s="15" t="n">
        <v>6999.69</v>
      </c>
    </row>
    <row r="2038" customFormat="false" ht="15" hidden="false" customHeight="false" outlineLevel="0" collapsed="false">
      <c r="A2038" s="3" t="n">
        <v>7</v>
      </c>
      <c r="B2038" s="3" t="s">
        <v>811</v>
      </c>
      <c r="C2038" s="3" t="s">
        <v>99</v>
      </c>
      <c r="D2038" s="15" t="n">
        <v>40.34</v>
      </c>
    </row>
    <row r="2039" customFormat="false" ht="15" hidden="false" customHeight="false" outlineLevel="0" collapsed="false">
      <c r="A2039" s="3" t="n">
        <v>7</v>
      </c>
      <c r="B2039" s="3" t="s">
        <v>811</v>
      </c>
      <c r="C2039" s="3" t="s">
        <v>98</v>
      </c>
      <c r="D2039" s="15" t="n">
        <v>12968</v>
      </c>
    </row>
    <row r="2040" customFormat="false" ht="15" hidden="false" customHeight="false" outlineLevel="0" collapsed="false">
      <c r="A2040" s="3" t="n">
        <v>7</v>
      </c>
      <c r="B2040" s="3" t="s">
        <v>811</v>
      </c>
      <c r="C2040" s="3" t="s">
        <v>82</v>
      </c>
      <c r="D2040" s="15" t="n">
        <v>6395.65</v>
      </c>
    </row>
    <row r="2041" customFormat="false" ht="15" hidden="false" customHeight="false" outlineLevel="0" collapsed="false">
      <c r="A2041" s="3" t="n">
        <v>7</v>
      </c>
      <c r="B2041" s="3" t="s">
        <v>812</v>
      </c>
      <c r="C2041" s="3" t="s">
        <v>103</v>
      </c>
      <c r="D2041" s="15" t="n">
        <v>-403.34</v>
      </c>
    </row>
    <row r="2042" customFormat="false" ht="15" hidden="false" customHeight="false" outlineLevel="0" collapsed="false">
      <c r="A2042" s="3" t="n">
        <v>7</v>
      </c>
      <c r="B2042" s="3" t="s">
        <v>812</v>
      </c>
      <c r="C2042" s="3" t="s">
        <v>100</v>
      </c>
      <c r="D2042" s="15" t="n">
        <v>1921.4</v>
      </c>
    </row>
    <row r="2043" customFormat="false" ht="15" hidden="false" customHeight="false" outlineLevel="0" collapsed="false">
      <c r="A2043" s="3" t="n">
        <v>7</v>
      </c>
      <c r="B2043" s="3" t="s">
        <v>812</v>
      </c>
      <c r="C2043" s="3" t="s">
        <v>98</v>
      </c>
      <c r="D2043" s="15" t="n">
        <v>3414</v>
      </c>
    </row>
    <row r="2044" customFormat="false" ht="15" hidden="false" customHeight="false" outlineLevel="0" collapsed="false">
      <c r="A2044" s="3" t="n">
        <v>7</v>
      </c>
      <c r="B2044" s="3" t="s">
        <v>812</v>
      </c>
      <c r="C2044" s="3" t="s">
        <v>82</v>
      </c>
      <c r="D2044" s="15" t="n">
        <v>1770.14</v>
      </c>
    </row>
    <row r="2045" customFormat="false" ht="15" hidden="false" customHeight="false" outlineLevel="0" collapsed="false">
      <c r="A2045" s="3" t="n">
        <v>7</v>
      </c>
      <c r="B2045" s="3" t="s">
        <v>813</v>
      </c>
      <c r="C2045" s="3" t="s">
        <v>103</v>
      </c>
      <c r="D2045" s="15" t="n">
        <v>-580.58</v>
      </c>
    </row>
    <row r="2046" customFormat="false" ht="15" hidden="false" customHeight="false" outlineLevel="0" collapsed="false">
      <c r="A2046" s="3" t="n">
        <v>7</v>
      </c>
      <c r="B2046" s="3" t="s">
        <v>813</v>
      </c>
      <c r="C2046" s="3" t="s">
        <v>100</v>
      </c>
      <c r="D2046" s="15" t="n">
        <v>1427.01</v>
      </c>
    </row>
    <row r="2047" customFormat="false" ht="15" hidden="false" customHeight="false" outlineLevel="0" collapsed="false">
      <c r="A2047" s="3" t="n">
        <v>7</v>
      </c>
      <c r="B2047" s="3" t="s">
        <v>813</v>
      </c>
      <c r="C2047" s="3" t="s">
        <v>99</v>
      </c>
      <c r="D2047" s="15" t="n">
        <v>753.26</v>
      </c>
    </row>
    <row r="2048" customFormat="false" ht="15" hidden="false" customHeight="false" outlineLevel="0" collapsed="false">
      <c r="A2048" s="3" t="n">
        <v>7</v>
      </c>
      <c r="B2048" s="3" t="s">
        <v>813</v>
      </c>
      <c r="C2048" s="3" t="s">
        <v>98</v>
      </c>
      <c r="D2048" s="15" t="n">
        <v>1783.09</v>
      </c>
    </row>
    <row r="2049" customFormat="false" ht="15" hidden="false" customHeight="false" outlineLevel="0" collapsed="false">
      <c r="A2049" s="3" t="n">
        <v>7</v>
      </c>
      <c r="B2049" s="3" t="s">
        <v>813</v>
      </c>
      <c r="C2049" s="3" t="s">
        <v>82</v>
      </c>
      <c r="D2049" s="15" t="n">
        <v>1218.73</v>
      </c>
    </row>
    <row r="2050" customFormat="false" ht="15" hidden="false" customHeight="false" outlineLevel="0" collapsed="false">
      <c r="A2050" s="3" t="n">
        <v>7</v>
      </c>
      <c r="B2050" s="3" t="s">
        <v>814</v>
      </c>
      <c r="C2050" s="3" t="s">
        <v>103</v>
      </c>
      <c r="D2050" s="15" t="n">
        <v>-1818.02</v>
      </c>
    </row>
    <row r="2051" customFormat="false" ht="15" hidden="false" customHeight="false" outlineLevel="0" collapsed="false">
      <c r="A2051" s="3" t="n">
        <v>7</v>
      </c>
      <c r="B2051" s="3" t="s">
        <v>814</v>
      </c>
      <c r="C2051" s="3" t="s">
        <v>102</v>
      </c>
      <c r="D2051" s="15" t="n">
        <v>1621</v>
      </c>
    </row>
    <row r="2052" customFormat="false" ht="15" hidden="false" customHeight="false" outlineLevel="0" collapsed="false">
      <c r="A2052" s="3" t="n">
        <v>7</v>
      </c>
      <c r="B2052" s="3" t="s">
        <v>814</v>
      </c>
      <c r="C2052" s="3" t="s">
        <v>100</v>
      </c>
      <c r="D2052" s="15" t="n">
        <v>899.73</v>
      </c>
    </row>
    <row r="2053" customFormat="false" ht="15" hidden="false" customHeight="false" outlineLevel="0" collapsed="false">
      <c r="A2053" s="3" t="n">
        <v>7</v>
      </c>
      <c r="B2053" s="3" t="s">
        <v>814</v>
      </c>
      <c r="C2053" s="3" t="s">
        <v>99</v>
      </c>
      <c r="D2053" s="15" t="n">
        <v>3.08</v>
      </c>
    </row>
    <row r="2054" customFormat="false" ht="15" hidden="false" customHeight="false" outlineLevel="0" collapsed="false">
      <c r="A2054" s="3" t="n">
        <v>7</v>
      </c>
      <c r="B2054" s="3" t="s">
        <v>814</v>
      </c>
      <c r="C2054" s="3" t="s">
        <v>98</v>
      </c>
      <c r="D2054" s="15" t="n">
        <v>1621</v>
      </c>
    </row>
    <row r="2055" customFormat="false" ht="15" hidden="false" customHeight="false" outlineLevel="0" collapsed="false">
      <c r="A2055" s="3" t="n">
        <v>7</v>
      </c>
      <c r="B2055" s="3" t="s">
        <v>814</v>
      </c>
      <c r="C2055" s="3" t="s">
        <v>82</v>
      </c>
      <c r="D2055" s="15" t="n">
        <v>832.3</v>
      </c>
    </row>
    <row r="2056" customFormat="false" ht="15" hidden="false" customHeight="false" outlineLevel="0" collapsed="false">
      <c r="A2056" s="3" t="n">
        <v>7</v>
      </c>
      <c r="B2056" s="3" t="s">
        <v>815</v>
      </c>
      <c r="C2056" s="3" t="s">
        <v>103</v>
      </c>
      <c r="D2056" s="15" t="n">
        <v>-142.26</v>
      </c>
    </row>
    <row r="2057" customFormat="false" ht="15" hidden="false" customHeight="false" outlineLevel="0" collapsed="false">
      <c r="A2057" s="3" t="n">
        <v>7</v>
      </c>
      <c r="B2057" s="3" t="s">
        <v>815</v>
      </c>
      <c r="C2057" s="3" t="s">
        <v>100</v>
      </c>
      <c r="D2057" s="15" t="n">
        <v>8009.76</v>
      </c>
    </row>
    <row r="2058" customFormat="false" ht="15" hidden="false" customHeight="false" outlineLevel="0" collapsed="false">
      <c r="A2058" s="3" t="n">
        <v>7</v>
      </c>
      <c r="B2058" s="3" t="s">
        <v>815</v>
      </c>
      <c r="C2058" s="3" t="s">
        <v>98</v>
      </c>
      <c r="D2058" s="15" t="n">
        <v>14232</v>
      </c>
    </row>
    <row r="2059" customFormat="false" ht="15" hidden="false" customHeight="false" outlineLevel="0" collapsed="false">
      <c r="A2059" s="3" t="n">
        <v>7</v>
      </c>
      <c r="B2059" s="3" t="s">
        <v>815</v>
      </c>
      <c r="C2059" s="3" t="s">
        <v>82</v>
      </c>
      <c r="D2059" s="15" t="n">
        <v>7680.76</v>
      </c>
    </row>
    <row r="2060" customFormat="false" ht="15" hidden="false" customHeight="false" outlineLevel="0" collapsed="false">
      <c r="A2060" s="3" t="n">
        <v>7</v>
      </c>
      <c r="B2060" s="3" t="s">
        <v>816</v>
      </c>
      <c r="C2060" s="3" t="s">
        <v>103</v>
      </c>
      <c r="D2060" s="15" t="n">
        <v>-408.6</v>
      </c>
    </row>
    <row r="2061" customFormat="false" ht="15" hidden="false" customHeight="false" outlineLevel="0" collapsed="false">
      <c r="A2061" s="3" t="n">
        <v>7</v>
      </c>
      <c r="B2061" s="3" t="s">
        <v>816</v>
      </c>
      <c r="C2061" s="3" t="s">
        <v>102</v>
      </c>
      <c r="D2061" s="15" t="n">
        <v>381.21</v>
      </c>
    </row>
    <row r="2062" customFormat="false" ht="15" hidden="false" customHeight="false" outlineLevel="0" collapsed="false">
      <c r="A2062" s="3" t="n">
        <v>7</v>
      </c>
      <c r="B2062" s="3" t="s">
        <v>816</v>
      </c>
      <c r="C2062" s="3" t="s">
        <v>100</v>
      </c>
      <c r="D2062" s="15" t="n">
        <v>1494.56</v>
      </c>
    </row>
    <row r="2063" customFormat="false" ht="15" hidden="false" customHeight="false" outlineLevel="0" collapsed="false">
      <c r="A2063" s="3" t="n">
        <v>7</v>
      </c>
      <c r="B2063" s="3" t="s">
        <v>816</v>
      </c>
      <c r="C2063" s="3" t="s">
        <v>99</v>
      </c>
      <c r="D2063" s="15" t="n">
        <v>34.91</v>
      </c>
    </row>
    <row r="2064" customFormat="false" ht="15" hidden="false" customHeight="false" outlineLevel="0" collapsed="false">
      <c r="A2064" s="3" t="n">
        <v>7</v>
      </c>
      <c r="B2064" s="3" t="s">
        <v>816</v>
      </c>
      <c r="C2064" s="3" t="s">
        <v>98</v>
      </c>
      <c r="D2064" s="15" t="n">
        <v>2161.33</v>
      </c>
    </row>
    <row r="2065" customFormat="false" ht="15" hidden="false" customHeight="false" outlineLevel="0" collapsed="false">
      <c r="A2065" s="3" t="n">
        <v>7</v>
      </c>
      <c r="B2065" s="3" t="s">
        <v>816</v>
      </c>
      <c r="C2065" s="3" t="s">
        <v>82</v>
      </c>
      <c r="D2065" s="15" t="n">
        <v>1331.2</v>
      </c>
    </row>
    <row r="2066" customFormat="false" ht="15" hidden="false" customHeight="false" outlineLevel="0" collapsed="false">
      <c r="A2066" s="3" t="n">
        <v>7</v>
      </c>
      <c r="B2066" s="3" t="s">
        <v>817</v>
      </c>
      <c r="C2066" s="3" t="s">
        <v>103</v>
      </c>
      <c r="D2066" s="15" t="n">
        <v>-419.43</v>
      </c>
    </row>
    <row r="2067" customFormat="false" ht="15" hidden="false" customHeight="false" outlineLevel="0" collapsed="false">
      <c r="A2067" s="3" t="n">
        <v>7</v>
      </c>
      <c r="B2067" s="3" t="s">
        <v>817</v>
      </c>
      <c r="C2067" s="3" t="s">
        <v>100</v>
      </c>
      <c r="D2067" s="15" t="n">
        <v>1951.9</v>
      </c>
    </row>
    <row r="2068" customFormat="false" ht="15" hidden="false" customHeight="false" outlineLevel="0" collapsed="false">
      <c r="A2068" s="3" t="n">
        <v>7</v>
      </c>
      <c r="B2068" s="3" t="s">
        <v>817</v>
      </c>
      <c r="C2068" s="3" t="s">
        <v>99</v>
      </c>
      <c r="D2068" s="15" t="n">
        <v>25.53</v>
      </c>
    </row>
    <row r="2069" customFormat="false" ht="15" hidden="false" customHeight="false" outlineLevel="0" collapsed="false">
      <c r="A2069" s="3" t="n">
        <v>7</v>
      </c>
      <c r="B2069" s="3" t="s">
        <v>817</v>
      </c>
      <c r="C2069" s="3" t="s">
        <v>98</v>
      </c>
      <c r="D2069" s="15" t="n">
        <v>3414</v>
      </c>
    </row>
    <row r="2070" customFormat="false" ht="15" hidden="false" customHeight="false" outlineLevel="0" collapsed="false">
      <c r="A2070" s="3" t="n">
        <v>7</v>
      </c>
      <c r="B2070" s="3" t="s">
        <v>817</v>
      </c>
      <c r="C2070" s="3" t="s">
        <v>82</v>
      </c>
      <c r="D2070" s="15" t="n">
        <v>1782.65</v>
      </c>
    </row>
    <row r="2071" customFormat="false" ht="15" hidden="false" customHeight="false" outlineLevel="0" collapsed="false">
      <c r="A2071" s="3" t="n">
        <v>7</v>
      </c>
      <c r="B2071" s="3" t="s">
        <v>818</v>
      </c>
      <c r="C2071" s="3" t="s">
        <v>103</v>
      </c>
      <c r="D2071" s="15" t="n">
        <v>-760.37</v>
      </c>
    </row>
    <row r="2072" customFormat="false" ht="15" hidden="false" customHeight="false" outlineLevel="0" collapsed="false">
      <c r="A2072" s="3" t="n">
        <v>7</v>
      </c>
      <c r="B2072" s="3" t="s">
        <v>818</v>
      </c>
      <c r="C2072" s="3" t="s">
        <v>100</v>
      </c>
      <c r="D2072" s="15" t="n">
        <v>3118.45</v>
      </c>
    </row>
    <row r="2073" customFormat="false" ht="15" hidden="false" customHeight="false" outlineLevel="0" collapsed="false">
      <c r="A2073" s="3" t="n">
        <v>7</v>
      </c>
      <c r="B2073" s="3" t="s">
        <v>818</v>
      </c>
      <c r="C2073" s="3" t="s">
        <v>99</v>
      </c>
      <c r="D2073" s="15" t="n">
        <v>92.91</v>
      </c>
    </row>
    <row r="2074" customFormat="false" ht="15" hidden="false" customHeight="false" outlineLevel="0" collapsed="false">
      <c r="A2074" s="3" t="n">
        <v>7</v>
      </c>
      <c r="B2074" s="3" t="s">
        <v>818</v>
      </c>
      <c r="C2074" s="3" t="s">
        <v>98</v>
      </c>
      <c r="D2074" s="15" t="n">
        <v>4863</v>
      </c>
    </row>
    <row r="2075" customFormat="false" ht="15" hidden="false" customHeight="false" outlineLevel="0" collapsed="false">
      <c r="A2075" s="3" t="n">
        <v>7</v>
      </c>
      <c r="B2075" s="3" t="s">
        <v>818</v>
      </c>
      <c r="C2075" s="3" t="s">
        <v>82</v>
      </c>
      <c r="D2075" s="15" t="n">
        <v>2648.92</v>
      </c>
    </row>
    <row r="2076" customFormat="false" ht="15" hidden="false" customHeight="false" outlineLevel="0" collapsed="false">
      <c r="A2076" s="3" t="n">
        <v>7</v>
      </c>
      <c r="B2076" s="3" t="s">
        <v>819</v>
      </c>
      <c r="C2076" s="3" t="s">
        <v>103</v>
      </c>
      <c r="D2076" s="15" t="n">
        <v>-351.34</v>
      </c>
    </row>
    <row r="2077" customFormat="false" ht="15" hidden="false" customHeight="false" outlineLevel="0" collapsed="false">
      <c r="A2077" s="3" t="n">
        <v>7</v>
      </c>
      <c r="B2077" s="3" t="s">
        <v>819</v>
      </c>
      <c r="C2077" s="3" t="s">
        <v>100</v>
      </c>
      <c r="D2077" s="15" t="n">
        <v>1857.9</v>
      </c>
    </row>
    <row r="2078" customFormat="false" ht="15" hidden="false" customHeight="false" outlineLevel="0" collapsed="false">
      <c r="A2078" s="3" t="n">
        <v>7</v>
      </c>
      <c r="B2078" s="3" t="s">
        <v>819</v>
      </c>
      <c r="C2078" s="3" t="s">
        <v>99</v>
      </c>
      <c r="D2078" s="15" t="n">
        <v>70.51</v>
      </c>
    </row>
    <row r="2079" customFormat="false" ht="15" hidden="false" customHeight="false" outlineLevel="0" collapsed="false">
      <c r="A2079" s="3" t="n">
        <v>7</v>
      </c>
      <c r="B2079" s="3" t="s">
        <v>819</v>
      </c>
      <c r="C2079" s="3" t="s">
        <v>98</v>
      </c>
      <c r="D2079" s="15" t="n">
        <v>3242</v>
      </c>
    </row>
    <row r="2080" customFormat="false" ht="15" hidden="false" customHeight="false" outlineLevel="0" collapsed="false">
      <c r="A2080" s="3" t="n">
        <v>7</v>
      </c>
      <c r="B2080" s="3" t="s">
        <v>819</v>
      </c>
      <c r="C2080" s="3" t="s">
        <v>82</v>
      </c>
      <c r="D2080" s="15" t="n">
        <v>1721.45</v>
      </c>
    </row>
    <row r="2081" customFormat="false" ht="15" hidden="false" customHeight="false" outlineLevel="0" collapsed="false">
      <c r="A2081" s="3" t="n">
        <v>7</v>
      </c>
      <c r="B2081" s="3" t="s">
        <v>820</v>
      </c>
      <c r="C2081" s="3" t="s">
        <v>103</v>
      </c>
      <c r="D2081" s="15" t="n">
        <v>-45.26</v>
      </c>
    </row>
    <row r="2082" customFormat="false" ht="15" hidden="false" customHeight="false" outlineLevel="0" collapsed="false">
      <c r="A2082" s="3" t="n">
        <v>7</v>
      </c>
      <c r="B2082" s="3" t="s">
        <v>820</v>
      </c>
      <c r="C2082" s="3" t="s">
        <v>100</v>
      </c>
      <c r="D2082" s="15" t="n">
        <v>3088.65</v>
      </c>
    </row>
    <row r="2083" customFormat="false" ht="15" hidden="false" customHeight="false" outlineLevel="0" collapsed="false">
      <c r="A2083" s="3" t="n">
        <v>7</v>
      </c>
      <c r="B2083" s="3" t="s">
        <v>820</v>
      </c>
      <c r="C2083" s="3" t="s">
        <v>98</v>
      </c>
      <c r="D2083" s="15" t="n">
        <v>5488</v>
      </c>
    </row>
    <row r="2084" customFormat="false" ht="15" hidden="false" customHeight="false" outlineLevel="0" collapsed="false">
      <c r="A2084" s="3" t="n">
        <v>7</v>
      </c>
      <c r="B2084" s="3" t="s">
        <v>820</v>
      </c>
      <c r="C2084" s="3" t="s">
        <v>82</v>
      </c>
      <c r="D2084" s="15" t="n">
        <v>2963.66</v>
      </c>
    </row>
    <row r="2085" customFormat="false" ht="15" hidden="false" customHeight="false" outlineLevel="0" collapsed="false">
      <c r="A2085" s="3" t="n">
        <v>7</v>
      </c>
      <c r="B2085" s="3" t="s">
        <v>821</v>
      </c>
      <c r="C2085" s="3" t="s">
        <v>103</v>
      </c>
      <c r="D2085" s="15" t="n">
        <v>-937.27</v>
      </c>
    </row>
    <row r="2086" customFormat="false" ht="15" hidden="false" customHeight="false" outlineLevel="0" collapsed="false">
      <c r="A2086" s="3" t="n">
        <v>7</v>
      </c>
      <c r="B2086" s="3" t="s">
        <v>821</v>
      </c>
      <c r="C2086" s="3" t="s">
        <v>102</v>
      </c>
      <c r="D2086" s="15" t="n">
        <v>227.6</v>
      </c>
    </row>
    <row r="2087" customFormat="false" ht="15" hidden="false" customHeight="false" outlineLevel="0" collapsed="false">
      <c r="A2087" s="3" t="n">
        <v>7</v>
      </c>
      <c r="B2087" s="3" t="s">
        <v>821</v>
      </c>
      <c r="C2087" s="3" t="s">
        <v>100</v>
      </c>
      <c r="D2087" s="15" t="n">
        <v>1076.77</v>
      </c>
    </row>
    <row r="2088" customFormat="false" ht="15" hidden="false" customHeight="false" outlineLevel="0" collapsed="false">
      <c r="A2088" s="3" t="n">
        <v>7</v>
      </c>
      <c r="B2088" s="3" t="s">
        <v>821</v>
      </c>
      <c r="C2088" s="3" t="s">
        <v>99</v>
      </c>
      <c r="D2088" s="15" t="n">
        <v>95.73</v>
      </c>
    </row>
    <row r="2089" customFormat="false" ht="15" hidden="false" customHeight="false" outlineLevel="0" collapsed="false">
      <c r="A2089" s="3" t="n">
        <v>7</v>
      </c>
      <c r="B2089" s="3" t="s">
        <v>821</v>
      </c>
      <c r="C2089" s="3" t="s">
        <v>98</v>
      </c>
      <c r="D2089" s="15" t="n">
        <v>1707</v>
      </c>
    </row>
    <row r="2090" customFormat="false" ht="15" hidden="false" customHeight="false" outlineLevel="0" collapsed="false">
      <c r="A2090" s="3" t="n">
        <v>7</v>
      </c>
      <c r="B2090" s="3" t="s">
        <v>821</v>
      </c>
      <c r="C2090" s="3" t="s">
        <v>82</v>
      </c>
      <c r="D2090" s="15" t="n">
        <v>858.85</v>
      </c>
    </row>
    <row r="2091" customFormat="false" ht="15" hidden="false" customHeight="false" outlineLevel="0" collapsed="false">
      <c r="A2091" s="3" t="n">
        <v>7</v>
      </c>
      <c r="B2091" s="3" t="s">
        <v>822</v>
      </c>
      <c r="C2091" s="3" t="s">
        <v>103</v>
      </c>
      <c r="D2091" s="15" t="n">
        <v>-2468.23</v>
      </c>
    </row>
    <row r="2092" customFormat="false" ht="15" hidden="false" customHeight="false" outlineLevel="0" collapsed="false">
      <c r="A2092" s="3" t="n">
        <v>7</v>
      </c>
      <c r="B2092" s="3" t="s">
        <v>822</v>
      </c>
      <c r="C2092" s="3" t="s">
        <v>102</v>
      </c>
      <c r="D2092" s="15" t="n">
        <v>279.32</v>
      </c>
    </row>
    <row r="2093" customFormat="false" ht="15" hidden="false" customHeight="false" outlineLevel="0" collapsed="false">
      <c r="A2093" s="3" t="n">
        <v>7</v>
      </c>
      <c r="B2093" s="3" t="s">
        <v>822</v>
      </c>
      <c r="C2093" s="3" t="s">
        <v>100</v>
      </c>
      <c r="D2093" s="15" t="n">
        <v>8201.07</v>
      </c>
    </row>
    <row r="2094" customFormat="false" ht="15" hidden="false" customHeight="false" outlineLevel="0" collapsed="false">
      <c r="A2094" s="3" t="n">
        <v>7</v>
      </c>
      <c r="B2094" s="3" t="s">
        <v>822</v>
      </c>
      <c r="C2094" s="3" t="s">
        <v>99</v>
      </c>
      <c r="D2094" s="15" t="n">
        <v>504.36</v>
      </c>
    </row>
    <row r="2095" customFormat="false" ht="15" hidden="false" customHeight="false" outlineLevel="0" collapsed="false">
      <c r="A2095" s="3" t="n">
        <v>7</v>
      </c>
      <c r="B2095" s="3" t="s">
        <v>822</v>
      </c>
      <c r="C2095" s="3" t="s">
        <v>98</v>
      </c>
      <c r="D2095" s="15" t="n">
        <v>13408</v>
      </c>
    </row>
    <row r="2096" customFormat="false" ht="15" hidden="false" customHeight="false" outlineLevel="0" collapsed="false">
      <c r="A2096" s="3" t="n">
        <v>7</v>
      </c>
      <c r="B2096" s="3" t="s">
        <v>822</v>
      </c>
      <c r="C2096" s="3" t="s">
        <v>82</v>
      </c>
      <c r="D2096" s="15" t="n">
        <v>7160.55</v>
      </c>
    </row>
    <row r="2097" customFormat="false" ht="15" hidden="false" customHeight="false" outlineLevel="0" collapsed="false">
      <c r="A2097" s="3" t="n">
        <v>7</v>
      </c>
      <c r="B2097" s="3" t="s">
        <v>823</v>
      </c>
      <c r="C2097" s="3" t="s">
        <v>100</v>
      </c>
      <c r="D2097" s="15" t="n">
        <v>301.7</v>
      </c>
    </row>
    <row r="2098" customFormat="false" ht="15" hidden="false" customHeight="false" outlineLevel="0" collapsed="false">
      <c r="A2098" s="3" t="n">
        <v>7</v>
      </c>
      <c r="B2098" s="3" t="s">
        <v>823</v>
      </c>
      <c r="C2098" s="3" t="s">
        <v>99</v>
      </c>
      <c r="D2098" s="15" t="n">
        <v>59.37</v>
      </c>
    </row>
    <row r="2099" customFormat="false" ht="15" hidden="false" customHeight="false" outlineLevel="0" collapsed="false">
      <c r="A2099" s="3" t="n">
        <v>7</v>
      </c>
      <c r="B2099" s="3" t="s">
        <v>823</v>
      </c>
      <c r="C2099" s="3" t="s">
        <v>82</v>
      </c>
      <c r="D2099" s="15" t="n">
        <v>125.15</v>
      </c>
    </row>
    <row r="2100" customFormat="false" ht="15" hidden="false" customHeight="false" outlineLevel="0" collapsed="false">
      <c r="A2100" s="3" t="n">
        <v>7</v>
      </c>
      <c r="B2100" s="3" t="s">
        <v>824</v>
      </c>
      <c r="C2100" s="3" t="s">
        <v>103</v>
      </c>
      <c r="D2100" s="15" t="n">
        <v>-321.49</v>
      </c>
    </row>
    <row r="2101" customFormat="false" ht="15" hidden="false" customHeight="false" outlineLevel="0" collapsed="false">
      <c r="A2101" s="3" t="n">
        <v>7</v>
      </c>
      <c r="B2101" s="3" t="s">
        <v>824</v>
      </c>
      <c r="C2101" s="3" t="s">
        <v>102</v>
      </c>
      <c r="D2101" s="15" t="n">
        <v>162.1</v>
      </c>
    </row>
    <row r="2102" customFormat="false" ht="15" hidden="false" customHeight="false" outlineLevel="0" collapsed="false">
      <c r="A2102" s="3" t="n">
        <v>7</v>
      </c>
      <c r="B2102" s="3" t="s">
        <v>824</v>
      </c>
      <c r="C2102" s="3" t="s">
        <v>100</v>
      </c>
      <c r="D2102" s="15" t="n">
        <v>380.92</v>
      </c>
    </row>
    <row r="2103" customFormat="false" ht="15" hidden="false" customHeight="false" outlineLevel="0" collapsed="false">
      <c r="A2103" s="3" t="n">
        <v>7</v>
      </c>
      <c r="B2103" s="3" t="s">
        <v>824</v>
      </c>
      <c r="C2103" s="3" t="s">
        <v>99</v>
      </c>
      <c r="D2103" s="15" t="n">
        <v>5.12</v>
      </c>
    </row>
    <row r="2104" customFormat="false" ht="15" hidden="false" customHeight="false" outlineLevel="0" collapsed="false">
      <c r="A2104" s="3" t="n">
        <v>7</v>
      </c>
      <c r="B2104" s="3" t="s">
        <v>824</v>
      </c>
      <c r="C2104" s="3" t="s">
        <v>82</v>
      </c>
      <c r="D2104" s="15" t="n">
        <v>102.57</v>
      </c>
    </row>
    <row r="2105" customFormat="false" ht="15" hidden="false" customHeight="false" outlineLevel="0" collapsed="false">
      <c r="A2105" s="3" t="n">
        <v>7</v>
      </c>
      <c r="B2105" s="3" t="s">
        <v>825</v>
      </c>
      <c r="C2105" s="3" t="s">
        <v>103</v>
      </c>
      <c r="D2105" s="15" t="n">
        <v>-171.62</v>
      </c>
    </row>
    <row r="2106" customFormat="false" ht="15" hidden="false" customHeight="false" outlineLevel="0" collapsed="false">
      <c r="A2106" s="3" t="n">
        <v>7</v>
      </c>
      <c r="B2106" s="3" t="s">
        <v>825</v>
      </c>
      <c r="C2106" s="3" t="s">
        <v>100</v>
      </c>
      <c r="D2106" s="15" t="n">
        <v>912.3</v>
      </c>
    </row>
    <row r="2107" customFormat="false" ht="15" hidden="false" customHeight="false" outlineLevel="0" collapsed="false">
      <c r="A2107" s="3" t="n">
        <v>7</v>
      </c>
      <c r="B2107" s="3" t="s">
        <v>825</v>
      </c>
      <c r="C2107" s="3" t="s">
        <v>98</v>
      </c>
      <c r="D2107" s="15" t="n">
        <v>1621</v>
      </c>
    </row>
    <row r="2108" customFormat="false" ht="15" hidden="false" customHeight="false" outlineLevel="0" collapsed="false">
      <c r="A2108" s="3" t="n">
        <v>7</v>
      </c>
      <c r="B2108" s="3" t="s">
        <v>825</v>
      </c>
      <c r="C2108" s="3" t="s">
        <v>82</v>
      </c>
      <c r="D2108" s="15" t="n">
        <v>844.38</v>
      </c>
    </row>
    <row r="2109" customFormat="false" ht="15" hidden="false" customHeight="false" outlineLevel="0" collapsed="false">
      <c r="A2109" s="3" t="n">
        <v>7</v>
      </c>
      <c r="B2109" s="3" t="s">
        <v>826</v>
      </c>
      <c r="C2109" s="3" t="s">
        <v>103</v>
      </c>
      <c r="D2109" s="15" t="n">
        <v>-171.62</v>
      </c>
    </row>
    <row r="2110" customFormat="false" ht="15" hidden="false" customHeight="false" outlineLevel="0" collapsed="false">
      <c r="A2110" s="3" t="n">
        <v>7</v>
      </c>
      <c r="B2110" s="3" t="s">
        <v>826</v>
      </c>
      <c r="C2110" s="3" t="s">
        <v>102</v>
      </c>
      <c r="D2110" s="15" t="n">
        <v>108.06</v>
      </c>
    </row>
    <row r="2111" customFormat="false" ht="15" hidden="false" customHeight="false" outlineLevel="0" collapsed="false">
      <c r="A2111" s="3" t="n">
        <v>7</v>
      </c>
      <c r="B2111" s="3" t="s">
        <v>826</v>
      </c>
      <c r="C2111" s="3" t="s">
        <v>100</v>
      </c>
      <c r="D2111" s="15" t="n">
        <v>973.12</v>
      </c>
    </row>
    <row r="2112" customFormat="false" ht="15" hidden="false" customHeight="false" outlineLevel="0" collapsed="false">
      <c r="A2112" s="3" t="n">
        <v>7</v>
      </c>
      <c r="B2112" s="3" t="s">
        <v>826</v>
      </c>
      <c r="C2112" s="3" t="s">
        <v>98</v>
      </c>
      <c r="D2112" s="15" t="n">
        <v>1621</v>
      </c>
    </row>
    <row r="2113" customFormat="false" ht="15" hidden="false" customHeight="false" outlineLevel="0" collapsed="false">
      <c r="A2113" s="3" t="n">
        <v>7</v>
      </c>
      <c r="B2113" s="3" t="s">
        <v>826</v>
      </c>
      <c r="C2113" s="3" t="s">
        <v>82</v>
      </c>
      <c r="D2113" s="15" t="n">
        <v>902.92</v>
      </c>
    </row>
    <row r="2114" customFormat="false" ht="15" hidden="false" customHeight="false" outlineLevel="0" collapsed="false">
      <c r="A2114" s="3" t="n">
        <v>7</v>
      </c>
      <c r="B2114" s="3" t="s">
        <v>827</v>
      </c>
      <c r="C2114" s="3" t="s">
        <v>103</v>
      </c>
      <c r="D2114" s="15" t="n">
        <v>-171.62</v>
      </c>
    </row>
    <row r="2115" customFormat="false" ht="15" hidden="false" customHeight="false" outlineLevel="0" collapsed="false">
      <c r="A2115" s="3" t="n">
        <v>7</v>
      </c>
      <c r="B2115" s="3" t="s">
        <v>827</v>
      </c>
      <c r="C2115" s="3" t="s">
        <v>100</v>
      </c>
      <c r="D2115" s="15" t="n">
        <v>912.3</v>
      </c>
    </row>
    <row r="2116" customFormat="false" ht="15" hidden="false" customHeight="false" outlineLevel="0" collapsed="false">
      <c r="A2116" s="3" t="n">
        <v>7</v>
      </c>
      <c r="B2116" s="3" t="s">
        <v>827</v>
      </c>
      <c r="C2116" s="3" t="s">
        <v>98</v>
      </c>
      <c r="D2116" s="15" t="n">
        <v>1621</v>
      </c>
    </row>
    <row r="2117" customFormat="false" ht="15" hidden="false" customHeight="false" outlineLevel="0" collapsed="false">
      <c r="A2117" s="3" t="n">
        <v>7</v>
      </c>
      <c r="B2117" s="3" t="s">
        <v>827</v>
      </c>
      <c r="C2117" s="3" t="s">
        <v>82</v>
      </c>
      <c r="D2117" s="15" t="n">
        <v>844.38</v>
      </c>
    </row>
    <row r="2118" customFormat="false" ht="15" hidden="false" customHeight="false" outlineLevel="0" collapsed="false">
      <c r="A2118" s="3" t="n">
        <v>7</v>
      </c>
      <c r="B2118" s="3" t="s">
        <v>828</v>
      </c>
      <c r="C2118" s="3" t="s">
        <v>103</v>
      </c>
      <c r="D2118" s="15" t="n">
        <v>-484.78</v>
      </c>
    </row>
    <row r="2119" customFormat="false" ht="15" hidden="false" customHeight="false" outlineLevel="0" collapsed="false">
      <c r="A2119" s="3" t="n">
        <v>7</v>
      </c>
      <c r="B2119" s="3" t="s">
        <v>828</v>
      </c>
      <c r="C2119" s="3" t="s">
        <v>100</v>
      </c>
      <c r="D2119" s="15" t="n">
        <v>320.25</v>
      </c>
    </row>
    <row r="2120" customFormat="false" ht="15" hidden="false" customHeight="false" outlineLevel="0" collapsed="false">
      <c r="A2120" s="3" t="n">
        <v>7</v>
      </c>
      <c r="B2120" s="3" t="s">
        <v>828</v>
      </c>
      <c r="C2120" s="3" t="s">
        <v>99</v>
      </c>
      <c r="D2120" s="15" t="n">
        <v>26.22</v>
      </c>
    </row>
    <row r="2121" customFormat="false" ht="15" hidden="false" customHeight="false" outlineLevel="0" collapsed="false">
      <c r="A2121" s="3" t="n">
        <v>7</v>
      </c>
      <c r="B2121" s="3" t="s">
        <v>828</v>
      </c>
      <c r="C2121" s="3" t="s">
        <v>98</v>
      </c>
      <c r="D2121" s="15" t="n">
        <v>853.33</v>
      </c>
    </row>
    <row r="2122" customFormat="false" ht="15" hidden="false" customHeight="false" outlineLevel="0" collapsed="false">
      <c r="A2122" s="3" t="n">
        <v>7</v>
      </c>
      <c r="B2122" s="3" t="s">
        <v>828</v>
      </c>
      <c r="C2122" s="3" t="s">
        <v>82</v>
      </c>
      <c r="D2122" s="15" t="n">
        <v>272.66</v>
      </c>
    </row>
    <row r="2123" customFormat="false" ht="15" hidden="false" customHeight="false" outlineLevel="0" collapsed="false">
      <c r="A2123" s="3" t="n">
        <v>7</v>
      </c>
      <c r="B2123" s="3" t="s">
        <v>829</v>
      </c>
      <c r="C2123" s="3" t="s">
        <v>103</v>
      </c>
      <c r="D2123" s="15" t="n">
        <v>-113682.1</v>
      </c>
    </row>
    <row r="2124" customFormat="false" ht="15" hidden="false" customHeight="false" outlineLevel="0" collapsed="false">
      <c r="A2124" s="3" t="n">
        <v>7</v>
      </c>
      <c r="B2124" s="3" t="s">
        <v>829</v>
      </c>
      <c r="C2124" s="3" t="s">
        <v>102</v>
      </c>
      <c r="D2124" s="15" t="n">
        <v>14570.55</v>
      </c>
    </row>
    <row r="2125" customFormat="false" ht="15" hidden="false" customHeight="false" outlineLevel="0" collapsed="false">
      <c r="A2125" s="3" t="n">
        <v>7</v>
      </c>
      <c r="B2125" s="3" t="s">
        <v>829</v>
      </c>
      <c r="C2125" s="3" t="s">
        <v>100</v>
      </c>
      <c r="D2125" s="15" t="n">
        <v>449643.97</v>
      </c>
    </row>
    <row r="2126" customFormat="false" ht="15" hidden="false" customHeight="false" outlineLevel="0" collapsed="false">
      <c r="A2126" s="3" t="n">
        <v>7</v>
      </c>
      <c r="B2126" s="3" t="s">
        <v>829</v>
      </c>
      <c r="C2126" s="3" t="s">
        <v>99</v>
      </c>
      <c r="D2126" s="15" t="n">
        <v>106187.39</v>
      </c>
    </row>
    <row r="2127" customFormat="false" ht="15" hidden="false" customHeight="false" outlineLevel="0" collapsed="false">
      <c r="A2127" s="3" t="n">
        <v>7</v>
      </c>
      <c r="B2127" s="3" t="s">
        <v>829</v>
      </c>
      <c r="C2127" s="3" t="s">
        <v>98</v>
      </c>
      <c r="D2127" s="15" t="n">
        <v>715312.91</v>
      </c>
    </row>
    <row r="2128" customFormat="false" ht="15" hidden="false" customHeight="false" outlineLevel="0" collapsed="false">
      <c r="A2128" s="3" t="n">
        <v>7</v>
      </c>
      <c r="B2128" s="3" t="s">
        <v>829</v>
      </c>
      <c r="C2128" s="3" t="s">
        <v>82</v>
      </c>
      <c r="D2128" s="15" t="n">
        <v>412922.38</v>
      </c>
    </row>
    <row r="2129" customFormat="false" ht="15" hidden="false" customHeight="false" outlineLevel="0" collapsed="false">
      <c r="A2129" s="3" t="n">
        <v>7</v>
      </c>
      <c r="B2129" s="3" t="s">
        <v>830</v>
      </c>
      <c r="C2129" s="3" t="s">
        <v>103</v>
      </c>
      <c r="D2129" s="15" t="n">
        <v>-74.36</v>
      </c>
    </row>
    <row r="2130" customFormat="false" ht="15" hidden="false" customHeight="false" outlineLevel="0" collapsed="false">
      <c r="A2130" s="3" t="n">
        <v>7</v>
      </c>
      <c r="B2130" s="3" t="s">
        <v>830</v>
      </c>
      <c r="C2130" s="3" t="s">
        <v>102</v>
      </c>
      <c r="D2130" s="15" t="n">
        <v>120</v>
      </c>
    </row>
    <row r="2131" customFormat="false" ht="15" hidden="false" customHeight="false" outlineLevel="0" collapsed="false">
      <c r="A2131" s="3" t="n">
        <v>7</v>
      </c>
      <c r="B2131" s="3" t="s">
        <v>830</v>
      </c>
      <c r="C2131" s="3" t="s">
        <v>100</v>
      </c>
      <c r="D2131" s="15" t="n">
        <v>2532.6</v>
      </c>
    </row>
    <row r="2132" customFormat="false" ht="15" hidden="false" customHeight="false" outlineLevel="0" collapsed="false">
      <c r="A2132" s="3" t="n">
        <v>7</v>
      </c>
      <c r="B2132" s="3" t="s">
        <v>830</v>
      </c>
      <c r="C2132" s="3" t="s">
        <v>98</v>
      </c>
      <c r="D2132" s="15" t="n">
        <v>4500</v>
      </c>
    </row>
    <row r="2133" customFormat="false" ht="15" hidden="false" customHeight="false" outlineLevel="0" collapsed="false">
      <c r="A2133" s="3" t="n">
        <v>7</v>
      </c>
      <c r="B2133" s="3" t="s">
        <v>830</v>
      </c>
      <c r="C2133" s="3" t="s">
        <v>82</v>
      </c>
      <c r="D2133" s="15" t="n">
        <v>2464.41</v>
      </c>
    </row>
    <row r="2134" customFormat="false" ht="15" hidden="false" customHeight="false" outlineLevel="0" collapsed="false">
      <c r="A2134" s="3" t="n">
        <v>7</v>
      </c>
      <c r="B2134" s="3" t="s">
        <v>831</v>
      </c>
      <c r="C2134" s="3" t="s">
        <v>103</v>
      </c>
      <c r="D2134" s="15" t="n">
        <v>-381.29</v>
      </c>
    </row>
    <row r="2135" customFormat="false" ht="15" hidden="false" customHeight="false" outlineLevel="0" collapsed="false">
      <c r="A2135" s="3" t="n">
        <v>7</v>
      </c>
      <c r="B2135" s="3" t="s">
        <v>831</v>
      </c>
      <c r="C2135" s="3" t="s">
        <v>100</v>
      </c>
      <c r="D2135" s="15" t="n">
        <v>599.27</v>
      </c>
    </row>
    <row r="2136" customFormat="false" ht="15" hidden="false" customHeight="false" outlineLevel="0" collapsed="false">
      <c r="A2136" s="3" t="n">
        <v>7</v>
      </c>
      <c r="B2136" s="3" t="s">
        <v>831</v>
      </c>
      <c r="C2136" s="3" t="s">
        <v>99</v>
      </c>
      <c r="D2136" s="15" t="n">
        <v>16.39</v>
      </c>
    </row>
    <row r="2137" customFormat="false" ht="15" hidden="false" customHeight="false" outlineLevel="0" collapsed="false">
      <c r="A2137" s="3" t="n">
        <v>7</v>
      </c>
      <c r="B2137" s="3" t="s">
        <v>831</v>
      </c>
      <c r="C2137" s="3" t="s">
        <v>98</v>
      </c>
      <c r="D2137" s="15" t="n">
        <v>1026.62</v>
      </c>
    </row>
    <row r="2138" customFormat="false" ht="15" hidden="false" customHeight="false" outlineLevel="0" collapsed="false">
      <c r="A2138" s="3" t="n">
        <v>7</v>
      </c>
      <c r="B2138" s="3" t="s">
        <v>831</v>
      </c>
      <c r="C2138" s="3" t="s">
        <v>82</v>
      </c>
      <c r="D2138" s="15" t="n">
        <v>470.43</v>
      </c>
    </row>
    <row r="2139" customFormat="false" ht="15" hidden="false" customHeight="false" outlineLevel="0" collapsed="false">
      <c r="A2139" s="3" t="n">
        <v>7</v>
      </c>
      <c r="B2139" s="3" t="s">
        <v>832</v>
      </c>
      <c r="C2139" s="3" t="s">
        <v>82</v>
      </c>
      <c r="D2139" s="15" t="n">
        <v>71393.87</v>
      </c>
    </row>
    <row r="2140" customFormat="false" ht="15" hidden="false" customHeight="false" outlineLevel="0" collapsed="false">
      <c r="A2140" s="3" t="n">
        <v>7</v>
      </c>
      <c r="B2140" s="3" t="s">
        <v>833</v>
      </c>
      <c r="C2140" s="3" t="s">
        <v>103</v>
      </c>
      <c r="D2140" s="15" t="n">
        <v>-37066.66</v>
      </c>
    </row>
    <row r="2141" customFormat="false" ht="15" hidden="false" customHeight="false" outlineLevel="0" collapsed="false">
      <c r="A2141" s="3" t="n">
        <v>7</v>
      </c>
      <c r="B2141" s="3" t="s">
        <v>833</v>
      </c>
      <c r="C2141" s="3" t="s">
        <v>102</v>
      </c>
      <c r="D2141" s="15" t="n">
        <v>362.74</v>
      </c>
    </row>
    <row r="2142" customFormat="false" ht="15" hidden="false" customHeight="false" outlineLevel="0" collapsed="false">
      <c r="A2142" s="3" t="n">
        <v>7</v>
      </c>
      <c r="B2142" s="3" t="s">
        <v>833</v>
      </c>
      <c r="C2142" s="3" t="s">
        <v>100</v>
      </c>
      <c r="D2142" s="15" t="n">
        <v>216973.44</v>
      </c>
    </row>
    <row r="2143" customFormat="false" ht="15" hidden="false" customHeight="false" outlineLevel="0" collapsed="false">
      <c r="A2143" s="3" t="n">
        <v>7</v>
      </c>
      <c r="B2143" s="3" t="s">
        <v>833</v>
      </c>
      <c r="C2143" s="3" t="s">
        <v>99</v>
      </c>
      <c r="D2143" s="15" t="n">
        <v>93373.87</v>
      </c>
    </row>
    <row r="2144" customFormat="false" ht="15" hidden="false" customHeight="false" outlineLevel="0" collapsed="false">
      <c r="A2144" s="3" t="n">
        <v>7</v>
      </c>
      <c r="B2144" s="3" t="s">
        <v>833</v>
      </c>
      <c r="C2144" s="3" t="s">
        <v>98</v>
      </c>
      <c r="D2144" s="15" t="n">
        <v>290995.3</v>
      </c>
    </row>
    <row r="2145" customFormat="false" ht="15" hidden="false" customHeight="false" outlineLevel="0" collapsed="false">
      <c r="A2145" s="3" t="n">
        <v>7</v>
      </c>
      <c r="B2145" s="3" t="s">
        <v>833</v>
      </c>
      <c r="C2145" s="3" t="s">
        <v>82</v>
      </c>
      <c r="D2145" s="15" t="n">
        <v>198936.46</v>
      </c>
    </row>
    <row r="2146" customFormat="false" ht="15" hidden="false" customHeight="false" outlineLevel="0" collapsed="false">
      <c r="A2146" s="3" t="n">
        <v>7</v>
      </c>
      <c r="B2146" s="3" t="s">
        <v>834</v>
      </c>
      <c r="C2146" s="3" t="s">
        <v>103</v>
      </c>
      <c r="D2146" s="15" t="n">
        <v>-84.11</v>
      </c>
    </row>
    <row r="2147" customFormat="false" ht="15" hidden="false" customHeight="false" outlineLevel="0" collapsed="false">
      <c r="A2147" s="3" t="n">
        <v>7</v>
      </c>
      <c r="B2147" s="3" t="s">
        <v>834</v>
      </c>
      <c r="C2147" s="3" t="s">
        <v>100</v>
      </c>
      <c r="D2147" s="15" t="n">
        <v>4221</v>
      </c>
    </row>
    <row r="2148" customFormat="false" ht="15" hidden="false" customHeight="false" outlineLevel="0" collapsed="false">
      <c r="A2148" s="3" t="n">
        <v>7</v>
      </c>
      <c r="B2148" s="3" t="s">
        <v>834</v>
      </c>
      <c r="C2148" s="3" t="s">
        <v>98</v>
      </c>
      <c r="D2148" s="15" t="n">
        <v>7500</v>
      </c>
    </row>
    <row r="2149" customFormat="false" ht="15" hidden="false" customHeight="false" outlineLevel="0" collapsed="false">
      <c r="A2149" s="3" t="n">
        <v>7</v>
      </c>
      <c r="B2149" s="3" t="s">
        <v>834</v>
      </c>
      <c r="C2149" s="3" t="s">
        <v>82</v>
      </c>
      <c r="D2149" s="15" t="n">
        <v>3501.61</v>
      </c>
    </row>
    <row r="2150" customFormat="false" ht="15" hidden="false" customHeight="false" outlineLevel="0" collapsed="false">
      <c r="A2150" s="3" t="n">
        <v>7</v>
      </c>
      <c r="B2150" s="3" t="s">
        <v>835</v>
      </c>
      <c r="C2150" s="3" t="s">
        <v>103</v>
      </c>
      <c r="D2150" s="15" t="n">
        <v>-1694</v>
      </c>
    </row>
    <row r="2151" customFormat="false" ht="15" hidden="false" customHeight="false" outlineLevel="0" collapsed="false">
      <c r="A2151" s="3" t="n">
        <v>7</v>
      </c>
      <c r="B2151" s="3" t="s">
        <v>835</v>
      </c>
      <c r="C2151" s="3" t="s">
        <v>100</v>
      </c>
      <c r="D2151" s="15" t="n">
        <v>2797.04</v>
      </c>
    </row>
    <row r="2152" customFormat="false" ht="15" hidden="false" customHeight="false" outlineLevel="0" collapsed="false">
      <c r="A2152" s="3" t="n">
        <v>7</v>
      </c>
      <c r="B2152" s="3" t="s">
        <v>835</v>
      </c>
      <c r="C2152" s="3" t="s">
        <v>99</v>
      </c>
      <c r="D2152" s="15" t="n">
        <v>165.11</v>
      </c>
    </row>
    <row r="2153" customFormat="false" ht="15" hidden="false" customHeight="false" outlineLevel="0" collapsed="false">
      <c r="A2153" s="3" t="n">
        <v>7</v>
      </c>
      <c r="B2153" s="3" t="s">
        <v>835</v>
      </c>
      <c r="C2153" s="3" t="s">
        <v>98</v>
      </c>
      <c r="D2153" s="15" t="n">
        <v>4538.78</v>
      </c>
    </row>
    <row r="2154" customFormat="false" ht="15" hidden="false" customHeight="false" outlineLevel="0" collapsed="false">
      <c r="A2154" s="3" t="n">
        <v>7</v>
      </c>
      <c r="B2154" s="3" t="s">
        <v>835</v>
      </c>
      <c r="C2154" s="3" t="s">
        <v>82</v>
      </c>
      <c r="D2154" s="15" t="n">
        <v>1970.48</v>
      </c>
    </row>
    <row r="2155" customFormat="false" ht="15" hidden="false" customHeight="false" outlineLevel="0" collapsed="false">
      <c r="A2155" s="3" t="n">
        <v>7</v>
      </c>
      <c r="B2155" s="3" t="s">
        <v>837</v>
      </c>
      <c r="C2155" s="3" t="s">
        <v>101</v>
      </c>
      <c r="D2155" s="15" t="n">
        <v>3080.35</v>
      </c>
    </row>
    <row r="2156" customFormat="false" ht="15" hidden="false" customHeight="false" outlineLevel="0" collapsed="false">
      <c r="A2156" s="3" t="n">
        <v>7</v>
      </c>
      <c r="B2156" s="3" t="s">
        <v>837</v>
      </c>
      <c r="C2156" s="3" t="s">
        <v>102</v>
      </c>
      <c r="D2156" s="15" t="n">
        <v>35.1</v>
      </c>
    </row>
    <row r="2157" customFormat="false" ht="15" hidden="false" customHeight="false" outlineLevel="0" collapsed="false">
      <c r="A2157" s="3" t="n">
        <v>7</v>
      </c>
      <c r="B2157" s="3" t="s">
        <v>838</v>
      </c>
      <c r="C2157" s="3" t="s">
        <v>101</v>
      </c>
      <c r="D2157" s="15" t="n">
        <v>10680.01</v>
      </c>
    </row>
    <row r="2158" customFormat="false" ht="15" hidden="false" customHeight="false" outlineLevel="0" collapsed="false">
      <c r="A2158" s="3" t="n">
        <v>7</v>
      </c>
      <c r="B2158" s="3" t="s">
        <v>838</v>
      </c>
      <c r="C2158" s="3" t="s">
        <v>102</v>
      </c>
      <c r="D2158" s="15" t="n">
        <v>46.8</v>
      </c>
    </row>
    <row r="2159" customFormat="false" ht="15" hidden="false" customHeight="false" outlineLevel="0" collapsed="false">
      <c r="A2159" s="3" t="n">
        <v>7</v>
      </c>
      <c r="B2159" s="3" t="s">
        <v>839</v>
      </c>
      <c r="C2159" s="3" t="s">
        <v>101</v>
      </c>
      <c r="D2159" s="15" t="n">
        <v>1155.29</v>
      </c>
    </row>
    <row r="2160" customFormat="false" ht="15" hidden="false" customHeight="false" outlineLevel="0" collapsed="false">
      <c r="A2160" s="3" t="n">
        <v>7</v>
      </c>
      <c r="B2160" s="3" t="s">
        <v>839</v>
      </c>
      <c r="C2160" s="3" t="s">
        <v>102</v>
      </c>
      <c r="D2160" s="15" t="n">
        <v>3.9</v>
      </c>
    </row>
    <row r="2161" customFormat="false" ht="15" hidden="false" customHeight="false" outlineLevel="0" collapsed="false">
      <c r="A2161" s="3" t="n">
        <v>7</v>
      </c>
      <c r="B2161" s="3" t="s">
        <v>840</v>
      </c>
      <c r="C2161" s="3" t="s">
        <v>101</v>
      </c>
      <c r="D2161" s="15" t="n">
        <v>9161.82</v>
      </c>
    </row>
    <row r="2162" customFormat="false" ht="15" hidden="false" customHeight="false" outlineLevel="0" collapsed="false">
      <c r="A2162" s="3" t="n">
        <v>7</v>
      </c>
      <c r="B2162" s="3" t="s">
        <v>840</v>
      </c>
      <c r="C2162" s="3" t="s">
        <v>102</v>
      </c>
      <c r="D2162" s="15" t="n">
        <v>298.2</v>
      </c>
    </row>
    <row r="2163" customFormat="false" ht="15" hidden="false" customHeight="false" outlineLevel="0" collapsed="false">
      <c r="A2163" s="3" t="n">
        <v>7</v>
      </c>
      <c r="B2163" s="3" t="s">
        <v>841</v>
      </c>
      <c r="C2163" s="3" t="s">
        <v>101</v>
      </c>
      <c r="D2163" s="15" t="n">
        <v>1516.9</v>
      </c>
    </row>
    <row r="2164" customFormat="false" ht="15" hidden="false" customHeight="false" outlineLevel="0" collapsed="false">
      <c r="A2164" s="3" t="n">
        <v>7</v>
      </c>
      <c r="B2164" s="3" t="s">
        <v>841</v>
      </c>
      <c r="C2164" s="3" t="s">
        <v>102</v>
      </c>
      <c r="D2164" s="15" t="n">
        <v>7.8</v>
      </c>
    </row>
    <row r="2165" customFormat="false" ht="15" hidden="false" customHeight="false" outlineLevel="0" collapsed="false">
      <c r="A2165" s="3" t="n">
        <v>7</v>
      </c>
      <c r="B2165" s="3" t="s">
        <v>842</v>
      </c>
      <c r="C2165" s="3" t="s">
        <v>101</v>
      </c>
      <c r="D2165" s="15" t="n">
        <v>212.6</v>
      </c>
    </row>
    <row r="2166" customFormat="false" ht="15" hidden="false" customHeight="false" outlineLevel="0" collapsed="false">
      <c r="A2166" s="3" t="n">
        <v>7</v>
      </c>
      <c r="B2166" s="3" t="s">
        <v>842</v>
      </c>
      <c r="C2166" s="3" t="s">
        <v>102</v>
      </c>
      <c r="D2166" s="15" t="n">
        <v>11.7</v>
      </c>
    </row>
    <row r="2167" customFormat="false" ht="15" hidden="false" customHeight="false" outlineLevel="0" collapsed="false">
      <c r="A2167" s="3" t="n">
        <v>7</v>
      </c>
      <c r="B2167" s="3" t="s">
        <v>843</v>
      </c>
      <c r="C2167" s="3" t="s">
        <v>101</v>
      </c>
      <c r="D2167" s="15" t="n">
        <v>526.13</v>
      </c>
    </row>
    <row r="2168" customFormat="false" ht="15" hidden="false" customHeight="false" outlineLevel="0" collapsed="false">
      <c r="A2168" s="3" t="n">
        <v>7</v>
      </c>
      <c r="B2168" s="3" t="s">
        <v>843</v>
      </c>
      <c r="C2168" s="3" t="s">
        <v>102</v>
      </c>
      <c r="D2168" s="15" t="n">
        <v>3.9</v>
      </c>
    </row>
    <row r="2169" customFormat="false" ht="15" hidden="false" customHeight="false" outlineLevel="0" collapsed="false">
      <c r="A2169" s="3" t="n">
        <v>7</v>
      </c>
      <c r="B2169" s="3" t="s">
        <v>844</v>
      </c>
      <c r="C2169" s="3" t="s">
        <v>101</v>
      </c>
      <c r="D2169" s="15" t="n">
        <v>646.6</v>
      </c>
    </row>
    <row r="2170" customFormat="false" ht="15" hidden="false" customHeight="false" outlineLevel="0" collapsed="false">
      <c r="A2170" s="3" t="n">
        <v>7</v>
      </c>
      <c r="B2170" s="3" t="s">
        <v>844</v>
      </c>
      <c r="C2170" s="3" t="s">
        <v>102</v>
      </c>
      <c r="D2170" s="15" t="n">
        <v>2500</v>
      </c>
    </row>
    <row r="2171" customFormat="false" ht="15" hidden="false" customHeight="false" outlineLevel="0" collapsed="false">
      <c r="A2171" s="3" t="n">
        <v>7</v>
      </c>
      <c r="B2171" s="3" t="s">
        <v>845</v>
      </c>
      <c r="C2171" s="3" t="s">
        <v>101</v>
      </c>
      <c r="D2171" s="15" t="n">
        <v>1555.75</v>
      </c>
    </row>
    <row r="2172" customFormat="false" ht="15" hidden="false" customHeight="false" outlineLevel="0" collapsed="false">
      <c r="A2172" s="3" t="n">
        <v>7</v>
      </c>
      <c r="B2172" s="3" t="s">
        <v>845</v>
      </c>
      <c r="C2172" s="3" t="s">
        <v>102</v>
      </c>
      <c r="D2172" s="15" t="n">
        <v>7.8</v>
      </c>
    </row>
    <row r="2173" customFormat="false" ht="15" hidden="false" customHeight="false" outlineLevel="0" collapsed="false">
      <c r="A2173" s="3" t="n">
        <v>7</v>
      </c>
      <c r="B2173" s="3" t="s">
        <v>846</v>
      </c>
      <c r="C2173" s="3" t="s">
        <v>101</v>
      </c>
      <c r="D2173" s="15" t="n">
        <v>968.27</v>
      </c>
    </row>
    <row r="2174" customFormat="false" ht="15" hidden="false" customHeight="false" outlineLevel="0" collapsed="false">
      <c r="A2174" s="3" t="n">
        <v>7</v>
      </c>
      <c r="B2174" s="3" t="s">
        <v>846</v>
      </c>
      <c r="C2174" s="3" t="s">
        <v>102</v>
      </c>
      <c r="D2174" s="15" t="n">
        <v>3.9</v>
      </c>
    </row>
    <row r="2175" customFormat="false" ht="15" hidden="false" customHeight="false" outlineLevel="0" collapsed="false">
      <c r="A2175" s="3" t="n">
        <v>7</v>
      </c>
      <c r="B2175" s="3" t="s">
        <v>847</v>
      </c>
      <c r="C2175" s="3" t="s">
        <v>101</v>
      </c>
      <c r="D2175" s="15" t="n">
        <v>1715.89</v>
      </c>
    </row>
    <row r="2176" customFormat="false" ht="15" hidden="false" customHeight="false" outlineLevel="0" collapsed="false">
      <c r="A2176" s="3" t="n">
        <v>7</v>
      </c>
      <c r="B2176" s="3" t="s">
        <v>847</v>
      </c>
      <c r="C2176" s="3" t="s">
        <v>102</v>
      </c>
      <c r="D2176" s="15" t="n">
        <v>11.7</v>
      </c>
    </row>
    <row r="2177" customFormat="false" ht="15" hidden="false" customHeight="false" outlineLevel="0" collapsed="false">
      <c r="A2177" s="3" t="n">
        <v>7</v>
      </c>
      <c r="B2177" s="3" t="s">
        <v>848</v>
      </c>
      <c r="C2177" s="3" t="s">
        <v>101</v>
      </c>
      <c r="D2177" s="15" t="n">
        <v>905.73</v>
      </c>
    </row>
    <row r="2178" customFormat="false" ht="15" hidden="false" customHeight="false" outlineLevel="0" collapsed="false">
      <c r="A2178" s="3" t="n">
        <v>7</v>
      </c>
      <c r="B2178" s="3" t="s">
        <v>848</v>
      </c>
      <c r="C2178" s="3" t="s">
        <v>102</v>
      </c>
      <c r="D2178" s="15" t="n">
        <v>7.8</v>
      </c>
    </row>
    <row r="2179" customFormat="false" ht="15" hidden="false" customHeight="false" outlineLevel="0" collapsed="false">
      <c r="A2179" s="3" t="n">
        <v>7</v>
      </c>
      <c r="B2179" s="3" t="s">
        <v>849</v>
      </c>
      <c r="C2179" s="3" t="s">
        <v>101</v>
      </c>
      <c r="D2179" s="15" t="n">
        <v>323.3</v>
      </c>
    </row>
    <row r="2180" customFormat="false" ht="15" hidden="false" customHeight="false" outlineLevel="0" collapsed="false">
      <c r="A2180" s="3" t="n">
        <v>7</v>
      </c>
      <c r="B2180" s="3" t="s">
        <v>850</v>
      </c>
      <c r="C2180" s="3" t="s">
        <v>101</v>
      </c>
      <c r="D2180" s="15" t="n">
        <v>450.23</v>
      </c>
    </row>
    <row r="2181" customFormat="false" ht="15" hidden="false" customHeight="false" outlineLevel="0" collapsed="false">
      <c r="A2181" s="3" t="n">
        <v>7</v>
      </c>
      <c r="B2181" s="3" t="s">
        <v>850</v>
      </c>
      <c r="C2181" s="3" t="s">
        <v>102</v>
      </c>
      <c r="D2181" s="15" t="n">
        <v>3.9</v>
      </c>
    </row>
    <row r="2182" customFormat="false" ht="15" hidden="false" customHeight="false" outlineLevel="0" collapsed="false">
      <c r="A2182" s="3" t="n">
        <v>7</v>
      </c>
      <c r="B2182" s="3" t="s">
        <v>851</v>
      </c>
      <c r="C2182" s="3" t="s">
        <v>101</v>
      </c>
      <c r="D2182" s="15" t="n">
        <v>400.5</v>
      </c>
    </row>
    <row r="2183" customFormat="false" ht="15" hidden="false" customHeight="false" outlineLevel="0" collapsed="false">
      <c r="A2183" s="3" t="n">
        <v>7</v>
      </c>
      <c r="B2183" s="3" t="s">
        <v>852</v>
      </c>
      <c r="C2183" s="3" t="s">
        <v>101</v>
      </c>
      <c r="D2183" s="15" t="n">
        <v>709.1</v>
      </c>
    </row>
    <row r="2184" customFormat="false" ht="15" hidden="false" customHeight="false" outlineLevel="0" collapsed="false">
      <c r="A2184" s="3" t="n">
        <v>7</v>
      </c>
      <c r="B2184" s="3" t="s">
        <v>852</v>
      </c>
      <c r="C2184" s="3" t="s">
        <v>102</v>
      </c>
      <c r="D2184" s="15" t="n">
        <v>19.5</v>
      </c>
    </row>
    <row r="2185" customFormat="false" ht="15" hidden="false" customHeight="false" outlineLevel="0" collapsed="false">
      <c r="A2185" s="3" t="n">
        <v>7</v>
      </c>
      <c r="B2185" s="3" t="s">
        <v>853</v>
      </c>
      <c r="C2185" s="3" t="s">
        <v>101</v>
      </c>
      <c r="D2185" s="15" t="n">
        <v>950.59</v>
      </c>
    </row>
    <row r="2186" customFormat="false" ht="15" hidden="false" customHeight="false" outlineLevel="0" collapsed="false">
      <c r="A2186" s="3" t="n">
        <v>7</v>
      </c>
      <c r="B2186" s="3" t="s">
        <v>853</v>
      </c>
      <c r="C2186" s="3" t="s">
        <v>102</v>
      </c>
      <c r="D2186" s="15" t="n">
        <v>3.9</v>
      </c>
    </row>
    <row r="2187" customFormat="false" ht="15" hidden="false" customHeight="false" outlineLevel="0" collapsed="false">
      <c r="A2187" s="3" t="n">
        <v>7</v>
      </c>
      <c r="B2187" s="3" t="s">
        <v>854</v>
      </c>
      <c r="C2187" s="3" t="s">
        <v>101</v>
      </c>
      <c r="D2187" s="15" t="n">
        <v>927.59</v>
      </c>
    </row>
    <row r="2188" customFormat="false" ht="15" hidden="false" customHeight="false" outlineLevel="0" collapsed="false">
      <c r="A2188" s="3" t="n">
        <v>7</v>
      </c>
      <c r="B2188" s="3" t="s">
        <v>854</v>
      </c>
      <c r="C2188" s="3" t="s">
        <v>102</v>
      </c>
      <c r="D2188" s="15" t="n">
        <v>3.9</v>
      </c>
    </row>
    <row r="2189" customFormat="false" ht="15" hidden="false" customHeight="false" outlineLevel="0" collapsed="false">
      <c r="A2189" s="3" t="n">
        <v>7</v>
      </c>
      <c r="B2189" s="3" t="s">
        <v>855</v>
      </c>
      <c r="C2189" s="3" t="s">
        <v>101</v>
      </c>
      <c r="D2189" s="15" t="n">
        <v>991.99</v>
      </c>
    </row>
    <row r="2190" customFormat="false" ht="15" hidden="false" customHeight="false" outlineLevel="0" collapsed="false">
      <c r="A2190" s="3" t="n">
        <v>7</v>
      </c>
      <c r="B2190" s="3" t="s">
        <v>855</v>
      </c>
      <c r="C2190" s="3" t="s">
        <v>102</v>
      </c>
      <c r="D2190" s="15" t="n">
        <v>3.9</v>
      </c>
    </row>
    <row r="2191" customFormat="false" ht="15" hidden="false" customHeight="false" outlineLevel="0" collapsed="false">
      <c r="A2191" s="3" t="n">
        <v>7</v>
      </c>
      <c r="B2191" s="3" t="s">
        <v>856</v>
      </c>
      <c r="C2191" s="3" t="s">
        <v>101</v>
      </c>
      <c r="D2191" s="15" t="n">
        <v>308.34</v>
      </c>
    </row>
    <row r="2192" customFormat="false" ht="15" hidden="false" customHeight="false" outlineLevel="0" collapsed="false">
      <c r="A2192" s="3" t="n">
        <v>7</v>
      </c>
      <c r="B2192" s="3" t="s">
        <v>857</v>
      </c>
      <c r="C2192" s="3" t="s">
        <v>101</v>
      </c>
      <c r="D2192" s="15" t="n">
        <v>42337.5</v>
      </c>
    </row>
    <row r="2193" customFormat="false" ht="15" hidden="false" customHeight="false" outlineLevel="0" collapsed="false">
      <c r="A2193" s="3" t="n">
        <v>7</v>
      </c>
      <c r="B2193" s="3" t="s">
        <v>857</v>
      </c>
      <c r="C2193" s="3" t="s">
        <v>102</v>
      </c>
      <c r="D2193" s="15" t="n">
        <v>3007.5</v>
      </c>
    </row>
    <row r="2194" customFormat="false" ht="15" hidden="false" customHeight="false" outlineLevel="0" collapsed="false">
      <c r="A2194" s="3" t="n">
        <v>7</v>
      </c>
      <c r="B2194" s="3" t="s">
        <v>858</v>
      </c>
      <c r="C2194" s="3" t="s">
        <v>102</v>
      </c>
      <c r="D2194" s="15" t="n">
        <v>5310.81</v>
      </c>
    </row>
    <row r="2195" customFormat="false" ht="15" hidden="false" customHeight="false" outlineLevel="0" collapsed="false">
      <c r="A2195" s="3" t="n">
        <v>7</v>
      </c>
      <c r="B2195" s="3" t="s">
        <v>859</v>
      </c>
      <c r="C2195" s="3" t="s">
        <v>102</v>
      </c>
      <c r="D2195" s="15" t="n">
        <v>30740.69</v>
      </c>
    </row>
    <row r="2196" customFormat="false" ht="15" hidden="false" customHeight="false" outlineLevel="0" collapsed="false">
      <c r="A2196" s="3" t="n">
        <v>7</v>
      </c>
      <c r="B2196" s="3" t="s">
        <v>860</v>
      </c>
      <c r="C2196" s="3" t="s">
        <v>101</v>
      </c>
      <c r="D2196" s="15" t="n">
        <v>160404.5</v>
      </c>
    </row>
    <row r="2197" customFormat="false" ht="15" hidden="false" customHeight="false" outlineLevel="0" collapsed="false">
      <c r="A2197" s="3" t="n">
        <v>7</v>
      </c>
      <c r="B2197" s="3" t="s">
        <v>860</v>
      </c>
      <c r="C2197" s="3" t="s">
        <v>102</v>
      </c>
      <c r="D2197" s="15" t="n">
        <v>23587</v>
      </c>
    </row>
    <row r="2198" customFormat="false" ht="15" hidden="false" customHeight="false" outlineLevel="0" collapsed="false">
      <c r="A2198" s="3" t="n">
        <v>7</v>
      </c>
      <c r="B2198" s="3" t="s">
        <v>861</v>
      </c>
      <c r="C2198" s="3" t="s">
        <v>101</v>
      </c>
      <c r="D2198" s="15" t="n">
        <v>743.59</v>
      </c>
    </row>
  </sheetData>
  <autoFilter ref="A4:D21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10" min="4" style="0" width="14"/>
    <col collapsed="false" customWidth="true" hidden="false" outlineLevel="0" max="11" min="11" style="0" width="16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9" t="s">
        <v>14</v>
      </c>
    </row>
    <row r="2" customFormat="false" ht="15" hidden="false" customHeight="false" outlineLevel="0" collapsed="false">
      <c r="A2" s="7" t="s">
        <v>2148</v>
      </c>
    </row>
    <row r="4" customFormat="false" ht="25.5" hidden="false" customHeight="true" outlineLevel="0" collapsed="false">
      <c r="A4" s="13" t="s">
        <v>88</v>
      </c>
      <c r="B4" s="13" t="s">
        <v>2149</v>
      </c>
      <c r="C4" s="13" t="s">
        <v>2150</v>
      </c>
      <c r="D4" s="14" t="s">
        <v>89</v>
      </c>
      <c r="E4" s="14" t="s">
        <v>90</v>
      </c>
      <c r="F4" s="14" t="s">
        <v>91</v>
      </c>
      <c r="G4" s="14" t="s">
        <v>92</v>
      </c>
      <c r="H4" s="14" t="s">
        <v>93</v>
      </c>
      <c r="I4" s="14" t="s">
        <v>94</v>
      </c>
      <c r="J4" s="14" t="s">
        <v>95</v>
      </c>
      <c r="K4" s="14" t="s">
        <v>96</v>
      </c>
      <c r="L4" s="14" t="s">
        <v>97</v>
      </c>
    </row>
    <row r="5" customFormat="false" ht="15" hidden="false" customHeight="false" outlineLevel="0" collapsed="false">
      <c r="A5" s="3" t="s">
        <v>101</v>
      </c>
      <c r="B5" s="3" t="s">
        <v>2151</v>
      </c>
      <c r="C5" s="3" t="s">
        <v>2152</v>
      </c>
      <c r="D5" s="15" t="n">
        <v>32.33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312.68</v>
      </c>
      <c r="J5" s="15" t="n">
        <v>172.6</v>
      </c>
      <c r="K5" s="15" t="n">
        <f aca="false">SUM(D5:J5)</f>
        <v>517.61</v>
      </c>
      <c r="L5" s="16" t="n">
        <f aca="false">IFERROR(K5/K$100,0)</f>
        <v>1.5641455398967E-005</v>
      </c>
    </row>
    <row r="6" customFormat="false" ht="15" hidden="false" customHeight="false" outlineLevel="0" collapsed="false">
      <c r="A6" s="3" t="s">
        <v>101</v>
      </c>
      <c r="B6" s="3" t="s">
        <v>2153</v>
      </c>
      <c r="C6" s="3" t="s">
        <v>2154</v>
      </c>
      <c r="D6" s="15" t="n">
        <v>9.9</v>
      </c>
      <c r="E6" s="15" t="n">
        <v>124.32</v>
      </c>
      <c r="F6" s="15" t="n">
        <v>0</v>
      </c>
      <c r="G6" s="15" t="n">
        <v>0</v>
      </c>
      <c r="H6" s="15" t="n">
        <v>0</v>
      </c>
      <c r="I6" s="15" t="n">
        <v>181.82</v>
      </c>
      <c r="J6" s="15" t="n">
        <v>40</v>
      </c>
      <c r="K6" s="15" t="n">
        <f aca="false">SUM(D6:J6)</f>
        <v>356.04</v>
      </c>
      <c r="L6" s="16" t="n">
        <f aca="false">IFERROR(K6/K$100,0)</f>
        <v>1.07590343699856E-005</v>
      </c>
    </row>
    <row r="7" customFormat="false" ht="15" hidden="false" customHeight="false" outlineLevel="0" collapsed="false">
      <c r="A7" s="3" t="s">
        <v>101</v>
      </c>
      <c r="B7" s="3" t="s">
        <v>2155</v>
      </c>
      <c r="C7" s="3" t="s">
        <v>2156</v>
      </c>
      <c r="D7" s="15" t="n">
        <v>377658.88</v>
      </c>
      <c r="E7" s="15" t="n">
        <v>277386.72</v>
      </c>
      <c r="F7" s="15" t="n">
        <v>313058.48</v>
      </c>
      <c r="G7" s="15" t="n">
        <v>247759.45</v>
      </c>
      <c r="H7" s="15" t="n">
        <v>166648.44</v>
      </c>
      <c r="I7" s="15" t="n">
        <v>114477.58</v>
      </c>
      <c r="J7" s="15" t="n">
        <v>183920.14</v>
      </c>
      <c r="K7" s="15" t="n">
        <f aca="false">SUM(D7:J7)</f>
        <v>1680909.69</v>
      </c>
      <c r="L7" s="16" t="n">
        <f aca="false">IFERROR(K7/K$100,0)</f>
        <v>0.050794756565419</v>
      </c>
    </row>
    <row r="8" customFormat="false" ht="15" hidden="false" customHeight="false" outlineLevel="0" collapsed="false">
      <c r="A8" s="3" t="s">
        <v>101</v>
      </c>
      <c r="B8" s="3" t="s">
        <v>2157</v>
      </c>
      <c r="C8" s="3" t="s">
        <v>2158</v>
      </c>
      <c r="D8" s="15" t="n">
        <v>155129.7</v>
      </c>
      <c r="E8" s="15" t="n">
        <v>230068.85</v>
      </c>
      <c r="F8" s="15" t="n">
        <v>237892.73</v>
      </c>
      <c r="G8" s="15" t="n">
        <v>171004.64</v>
      </c>
      <c r="H8" s="15" t="n">
        <v>133816.65</v>
      </c>
      <c r="I8" s="15" t="n">
        <v>133518.19</v>
      </c>
      <c r="J8" s="15" t="n">
        <v>23519.63</v>
      </c>
      <c r="K8" s="15" t="n">
        <f aca="false">SUM(D8:J8)</f>
        <v>1084950.39</v>
      </c>
      <c r="L8" s="16" t="n">
        <f aca="false">IFERROR(K8/K$100,0)</f>
        <v>0.0327856941235233</v>
      </c>
    </row>
    <row r="9" customFormat="false" ht="15" hidden="false" customHeight="false" outlineLevel="0" collapsed="false">
      <c r="A9" s="3" t="s">
        <v>101</v>
      </c>
      <c r="B9" s="3" t="s">
        <v>2159</v>
      </c>
      <c r="C9" s="3" t="s">
        <v>2160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110</v>
      </c>
      <c r="J9" s="15" t="n">
        <v>0</v>
      </c>
      <c r="K9" s="15" t="n">
        <f aca="false">SUM(D9:J9)</f>
        <v>110</v>
      </c>
      <c r="L9" s="16" t="n">
        <f aca="false">IFERROR(K9/K$100,0)</f>
        <v>3.32404724384454E-006</v>
      </c>
    </row>
    <row r="10" customFormat="false" ht="15" hidden="false" customHeight="false" outlineLevel="0" collapsed="false">
      <c r="A10" s="3" t="s">
        <v>101</v>
      </c>
      <c r="B10" s="3" t="s">
        <v>2159</v>
      </c>
      <c r="C10" s="3" t="s">
        <v>2161</v>
      </c>
      <c r="D10" s="15" t="n">
        <v>46818.9</v>
      </c>
      <c r="E10" s="15" t="n">
        <v>0</v>
      </c>
      <c r="F10" s="15" t="n">
        <v>50623.3</v>
      </c>
      <c r="G10" s="15" t="n">
        <v>46039.4</v>
      </c>
      <c r="H10" s="15" t="n">
        <v>24888.12</v>
      </c>
      <c r="I10" s="15" t="n">
        <v>12893.8</v>
      </c>
      <c r="J10" s="15" t="n">
        <v>33020.2</v>
      </c>
      <c r="K10" s="15" t="n">
        <f aca="false">SUM(D10:J10)</f>
        <v>214283.72</v>
      </c>
      <c r="L10" s="16" t="n">
        <f aca="false">IFERROR(K10/K$100,0)</f>
        <v>0.00647535644424324</v>
      </c>
    </row>
    <row r="11" customFormat="false" ht="15" hidden="false" customHeight="false" outlineLevel="0" collapsed="false">
      <c r="A11" s="3" t="s">
        <v>101</v>
      </c>
      <c r="B11" s="3" t="s">
        <v>2159</v>
      </c>
      <c r="C11" s="3" t="s">
        <v>2162</v>
      </c>
      <c r="D11" s="15" t="n">
        <v>0</v>
      </c>
      <c r="E11" s="15" t="n">
        <v>42410.2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f aca="false">SUM(D11:J11)</f>
        <v>42410.2</v>
      </c>
      <c r="L11" s="16" t="n">
        <f aca="false">IFERROR(K11/K$100,0)</f>
        <v>0.00128157734928087</v>
      </c>
    </row>
    <row r="12" customFormat="false" ht="15" hidden="false" customHeight="false" outlineLevel="0" collapsed="false">
      <c r="A12" s="3" t="s">
        <v>101</v>
      </c>
      <c r="B12" s="3" t="s">
        <v>2163</v>
      </c>
      <c r="C12" s="3" t="s">
        <v>2164</v>
      </c>
      <c r="D12" s="15" t="n">
        <v>0</v>
      </c>
      <c r="E12" s="15" t="n">
        <v>0</v>
      </c>
      <c r="F12" s="15" t="n">
        <v>0</v>
      </c>
      <c r="G12" s="15" t="n">
        <v>42</v>
      </c>
      <c r="H12" s="15" t="n">
        <v>490.2</v>
      </c>
      <c r="I12" s="15" t="n">
        <v>0</v>
      </c>
      <c r="J12" s="15" t="n">
        <v>0</v>
      </c>
      <c r="K12" s="15" t="n">
        <f aca="false">SUM(D12:J12)</f>
        <v>532.2</v>
      </c>
      <c r="L12" s="16" t="n">
        <f aca="false">IFERROR(K12/K$100,0)</f>
        <v>1.60823449379461E-005</v>
      </c>
    </row>
    <row r="13" customFormat="false" ht="15" hidden="false" customHeight="false" outlineLevel="0" collapsed="false">
      <c r="A13" s="3" t="s">
        <v>101</v>
      </c>
      <c r="B13" s="3" t="s">
        <v>2163</v>
      </c>
      <c r="C13" s="3" t="s">
        <v>2165</v>
      </c>
      <c r="D13" s="15" t="n">
        <v>0</v>
      </c>
      <c r="E13" s="15" t="n">
        <v>0</v>
      </c>
      <c r="F13" s="15" t="n">
        <v>0</v>
      </c>
      <c r="G13" s="15" t="n">
        <v>90</v>
      </c>
      <c r="H13" s="15" t="n">
        <v>0</v>
      </c>
      <c r="I13" s="15" t="n">
        <v>0</v>
      </c>
      <c r="J13" s="15" t="n">
        <v>0</v>
      </c>
      <c r="K13" s="15" t="n">
        <f aca="false">SUM(D13:J13)</f>
        <v>90</v>
      </c>
      <c r="L13" s="16" t="n">
        <f aca="false">IFERROR(K13/K$100,0)</f>
        <v>2.71967501769099E-006</v>
      </c>
    </row>
    <row r="14" customFormat="false" ht="15" hidden="false" customHeight="false" outlineLevel="0" collapsed="false">
      <c r="A14" s="3" t="s">
        <v>101</v>
      </c>
      <c r="B14" s="3" t="s">
        <v>2163</v>
      </c>
      <c r="C14" s="3" t="s">
        <v>2166</v>
      </c>
      <c r="D14" s="15" t="n">
        <v>0</v>
      </c>
      <c r="E14" s="15" t="n">
        <v>739</v>
      </c>
      <c r="F14" s="15" t="n">
        <v>42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f aca="false">SUM(D14:J14)</f>
        <v>781</v>
      </c>
      <c r="L14" s="16" t="n">
        <f aca="false">IFERROR(K14/K$100,0)</f>
        <v>2.36007354312963E-005</v>
      </c>
    </row>
    <row r="15" customFormat="false" ht="15" hidden="false" customHeight="false" outlineLevel="0" collapsed="false">
      <c r="A15" s="3" t="s">
        <v>103</v>
      </c>
      <c r="B15" s="3" t="s">
        <v>2167</v>
      </c>
      <c r="C15" s="3" t="s">
        <v>2168</v>
      </c>
      <c r="D15" s="15" t="n">
        <v>-1780</v>
      </c>
      <c r="E15" s="15" t="n">
        <v>-2136</v>
      </c>
      <c r="F15" s="15" t="n">
        <v>-142.4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f aca="false">SUM(D15:J15)</f>
        <v>-4058.4</v>
      </c>
      <c r="L15" s="16" t="n">
        <f aca="false">IFERROR(K15/K$100,0)</f>
        <v>-0.000122639212131079</v>
      </c>
    </row>
    <row r="16" customFormat="false" ht="15" hidden="false" customHeight="false" outlineLevel="0" collapsed="false">
      <c r="A16" s="3" t="s">
        <v>103</v>
      </c>
      <c r="B16" s="3" t="s">
        <v>2169</v>
      </c>
      <c r="C16" s="3" t="s">
        <v>2170</v>
      </c>
      <c r="D16" s="15" t="n">
        <v>0</v>
      </c>
      <c r="E16" s="15" t="n">
        <v>0</v>
      </c>
      <c r="F16" s="15" t="n">
        <v>-162.7</v>
      </c>
      <c r="G16" s="15" t="n">
        <v>0</v>
      </c>
      <c r="H16" s="15" t="n">
        <v>0</v>
      </c>
      <c r="I16" s="15" t="n">
        <v>-136.67</v>
      </c>
      <c r="J16" s="15" t="n">
        <v>0</v>
      </c>
      <c r="K16" s="15" t="n">
        <f aca="false">SUM(D16:J16)</f>
        <v>-299.37</v>
      </c>
      <c r="L16" s="16" t="n">
        <f aca="false">IFERROR(K16/K$100,0)</f>
        <v>-9.04654566717947E-006</v>
      </c>
    </row>
    <row r="17" customFormat="false" ht="15" hidden="false" customHeight="false" outlineLevel="0" collapsed="false">
      <c r="A17" s="3" t="s">
        <v>103</v>
      </c>
      <c r="B17" s="3" t="s">
        <v>2171</v>
      </c>
      <c r="C17" s="3" t="s">
        <v>2172</v>
      </c>
      <c r="D17" s="15" t="n">
        <v>-429.86</v>
      </c>
      <c r="E17" s="15" t="n">
        <v>-1891.16</v>
      </c>
      <c r="F17" s="15" t="n">
        <v>0</v>
      </c>
      <c r="G17" s="15" t="n">
        <v>-2755.7</v>
      </c>
      <c r="H17" s="15" t="n">
        <v>-1621</v>
      </c>
      <c r="I17" s="15" t="n">
        <v>-1621</v>
      </c>
      <c r="J17" s="15" t="n">
        <v>-1621</v>
      </c>
      <c r="K17" s="15" t="n">
        <f aca="false">SUM(D17:J17)</f>
        <v>-9939.72</v>
      </c>
      <c r="L17" s="16" t="n">
        <f aca="false">IFERROR(K17/K$100,0)</f>
        <v>-0.00030036453518715</v>
      </c>
    </row>
    <row r="18" customFormat="false" ht="15" hidden="false" customHeight="false" outlineLevel="0" collapsed="false">
      <c r="A18" s="3" t="s">
        <v>103</v>
      </c>
      <c r="B18" s="3" t="s">
        <v>2173</v>
      </c>
      <c r="C18" s="3" t="s">
        <v>2174</v>
      </c>
      <c r="D18" s="15" t="n">
        <v>0</v>
      </c>
      <c r="E18" s="15" t="n">
        <v>0</v>
      </c>
      <c r="F18" s="15" t="n">
        <v>0</v>
      </c>
      <c r="G18" s="15" t="n">
        <v>-3033.58</v>
      </c>
      <c r="H18" s="15" t="n">
        <v>-360.45</v>
      </c>
      <c r="I18" s="15" t="n">
        <v>0</v>
      </c>
      <c r="J18" s="15" t="n">
        <v>0</v>
      </c>
      <c r="K18" s="15" t="n">
        <f aca="false">SUM(D18:J18)</f>
        <v>-3394.03</v>
      </c>
      <c r="L18" s="16" t="n">
        <f aca="false">IFERROR(K18/K$100,0)</f>
        <v>-0.000102562873336597</v>
      </c>
    </row>
    <row r="19" customFormat="false" ht="15" hidden="false" customHeight="false" outlineLevel="0" collapsed="false">
      <c r="A19" s="3" t="s">
        <v>103</v>
      </c>
      <c r="B19" s="3" t="s">
        <v>2175</v>
      </c>
      <c r="C19" s="3" t="s">
        <v>2176</v>
      </c>
      <c r="D19" s="15" t="n">
        <v>-16761.22</v>
      </c>
      <c r="E19" s="15" t="n">
        <v>-14076.12</v>
      </c>
      <c r="F19" s="15" t="n">
        <v>-14145.25</v>
      </c>
      <c r="G19" s="15" t="n">
        <v>-15932.26</v>
      </c>
      <c r="H19" s="15" t="n">
        <v>-13166.61</v>
      </c>
      <c r="I19" s="15" t="n">
        <v>-7796.8</v>
      </c>
      <c r="J19" s="15" t="n">
        <v>-5602.84</v>
      </c>
      <c r="K19" s="15" t="n">
        <f aca="false">SUM(D19:J19)</f>
        <v>-87481.1</v>
      </c>
      <c r="L19" s="16" t="n">
        <f aca="false">IFERROR(K19/K$100,0)</f>
        <v>-0.00264355735766808</v>
      </c>
    </row>
    <row r="20" customFormat="false" ht="15" hidden="false" customHeight="false" outlineLevel="0" collapsed="false">
      <c r="A20" s="3" t="s">
        <v>103</v>
      </c>
      <c r="B20" s="3" t="s">
        <v>2177</v>
      </c>
      <c r="C20" s="3" t="s">
        <v>2178</v>
      </c>
      <c r="D20" s="15" t="n">
        <v>-99344.68</v>
      </c>
      <c r="E20" s="15" t="n">
        <v>-68793.56</v>
      </c>
      <c r="F20" s="15" t="n">
        <v>-72887.81</v>
      </c>
      <c r="G20" s="15" t="n">
        <v>-62359.01</v>
      </c>
      <c r="H20" s="15" t="n">
        <v>-33305.14</v>
      </c>
      <c r="I20" s="15" t="n">
        <v>-42845.64</v>
      </c>
      <c r="J20" s="15" t="n">
        <v>-39313.27</v>
      </c>
      <c r="K20" s="15" t="n">
        <f aca="false">SUM(D20:J20)</f>
        <v>-418849.11</v>
      </c>
      <c r="L20" s="16" t="n">
        <f aca="false">IFERROR(K20/K$100,0)</f>
        <v>-0.0126570384516567</v>
      </c>
    </row>
    <row r="21" customFormat="false" ht="15" hidden="false" customHeight="false" outlineLevel="0" collapsed="false">
      <c r="A21" s="3" t="s">
        <v>103</v>
      </c>
      <c r="B21" s="3" t="s">
        <v>2179</v>
      </c>
      <c r="C21" s="3" t="s">
        <v>2180</v>
      </c>
      <c r="D21" s="15" t="n">
        <v>-53053.37</v>
      </c>
      <c r="E21" s="15" t="n">
        <v>-27203.53</v>
      </c>
      <c r="F21" s="15" t="n">
        <v>-25112.48</v>
      </c>
      <c r="G21" s="15" t="n">
        <v>-19116.99</v>
      </c>
      <c r="H21" s="15" t="n">
        <v>-18563.61</v>
      </c>
      <c r="I21" s="15" t="n">
        <v>-19702.74</v>
      </c>
      <c r="J21" s="15" t="n">
        <v>-14618.37</v>
      </c>
      <c r="K21" s="15" t="n">
        <f aca="false">SUM(D21:J21)</f>
        <v>-177371.09</v>
      </c>
      <c r="L21" s="16" t="n">
        <f aca="false">IFERROR(K21/K$100,0)</f>
        <v>-0.00535990802592912</v>
      </c>
    </row>
    <row r="22" customFormat="false" ht="15" hidden="false" customHeight="false" outlineLevel="0" collapsed="false">
      <c r="A22" s="3" t="s">
        <v>103</v>
      </c>
      <c r="B22" s="3" t="s">
        <v>2181</v>
      </c>
      <c r="C22" s="3" t="s">
        <v>2182</v>
      </c>
      <c r="D22" s="15" t="n">
        <v>0</v>
      </c>
      <c r="E22" s="15" t="n">
        <v>0</v>
      </c>
      <c r="F22" s="15" t="n">
        <v>-8751.58</v>
      </c>
      <c r="G22" s="15" t="n">
        <v>-13146.92</v>
      </c>
      <c r="H22" s="15" t="n">
        <v>-3719.65</v>
      </c>
      <c r="I22" s="15" t="n">
        <v>-3679.75</v>
      </c>
      <c r="J22" s="15" t="n">
        <v>0</v>
      </c>
      <c r="K22" s="15" t="n">
        <f aca="false">SUM(D22:J22)</f>
        <v>-29297.9</v>
      </c>
      <c r="L22" s="16" t="n">
        <f aca="false">IFERROR(K22/K$100,0)</f>
        <v>-0.00088534185223121</v>
      </c>
    </row>
    <row r="23" customFormat="false" ht="15" hidden="false" customHeight="false" outlineLevel="0" collapsed="false">
      <c r="A23" s="3" t="s">
        <v>103</v>
      </c>
      <c r="B23" s="3" t="s">
        <v>2183</v>
      </c>
      <c r="C23" s="3" t="s">
        <v>2184</v>
      </c>
      <c r="D23" s="15" t="n">
        <v>-261663.5</v>
      </c>
      <c r="E23" s="15" t="n">
        <v>-178023.49</v>
      </c>
      <c r="F23" s="15" t="n">
        <v>-319807.7</v>
      </c>
      <c r="G23" s="15" t="n">
        <v>-340483.51</v>
      </c>
      <c r="H23" s="15" t="n">
        <v>-5799.48</v>
      </c>
      <c r="I23" s="15" t="n">
        <v>-103044.58</v>
      </c>
      <c r="J23" s="15" t="n">
        <v>-19009.02</v>
      </c>
      <c r="K23" s="15" t="n">
        <f aca="false">SUM(D23:J23)</f>
        <v>-1227831.28</v>
      </c>
      <c r="L23" s="16" t="n">
        <f aca="false">IFERROR(K23/K$100,0)</f>
        <v>-0.0371033562017284</v>
      </c>
    </row>
    <row r="24" customFormat="false" ht="15" hidden="false" customHeight="false" outlineLevel="0" collapsed="false">
      <c r="A24" s="3" t="s">
        <v>103</v>
      </c>
      <c r="B24" s="3" t="s">
        <v>2185</v>
      </c>
      <c r="C24" s="3" t="s">
        <v>2186</v>
      </c>
      <c r="D24" s="15" t="n">
        <v>-33417.59</v>
      </c>
      <c r="E24" s="15" t="n">
        <v>-29603.68</v>
      </c>
      <c r="F24" s="15" t="n">
        <v>-32724.43</v>
      </c>
      <c r="G24" s="15" t="n">
        <v>-38338.86</v>
      </c>
      <c r="H24" s="15" t="n">
        <v>-31118.22</v>
      </c>
      <c r="I24" s="15" t="n">
        <v>-23365.14</v>
      </c>
      <c r="J24" s="15" t="n">
        <v>-11911.18</v>
      </c>
      <c r="K24" s="15" t="n">
        <f aca="false">SUM(D24:J24)</f>
        <v>-200479.1</v>
      </c>
      <c r="L24" s="16" t="n">
        <f aca="false">IFERROR(K24/K$100,0)</f>
        <v>-0.00605819999821304</v>
      </c>
    </row>
    <row r="25" customFormat="false" ht="15" hidden="false" customHeight="false" outlineLevel="0" collapsed="false">
      <c r="A25" s="3" t="s">
        <v>103</v>
      </c>
      <c r="B25" s="3" t="s">
        <v>2187</v>
      </c>
      <c r="C25" s="3" t="s">
        <v>2188</v>
      </c>
      <c r="D25" s="15" t="n">
        <v>-104859.78</v>
      </c>
      <c r="E25" s="15" t="n">
        <v>-108990.05</v>
      </c>
      <c r="F25" s="15" t="n">
        <v>-113930.58</v>
      </c>
      <c r="G25" s="15" t="n">
        <v>-97307.15</v>
      </c>
      <c r="H25" s="15" t="n">
        <v>-68186.06</v>
      </c>
      <c r="I25" s="15" t="n">
        <v>-45664.67</v>
      </c>
      <c r="J25" s="15" t="n">
        <v>-64387.56</v>
      </c>
      <c r="K25" s="15" t="n">
        <f aca="false">SUM(D25:J25)</f>
        <v>-603325.85</v>
      </c>
      <c r="L25" s="16" t="n">
        <f aca="false">IFERROR(K25/K$100,0)</f>
        <v>-0.0182316693530242</v>
      </c>
    </row>
    <row r="26" customFormat="false" ht="15" hidden="false" customHeight="false" outlineLevel="0" collapsed="false">
      <c r="A26" s="3" t="s">
        <v>103</v>
      </c>
      <c r="B26" s="3" t="s">
        <v>2189</v>
      </c>
      <c r="C26" s="3" t="s">
        <v>2190</v>
      </c>
      <c r="D26" s="15" t="n">
        <v>0</v>
      </c>
      <c r="E26" s="15" t="n">
        <v>-151.62</v>
      </c>
      <c r="F26" s="15" t="n">
        <v>-93.26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f aca="false">SUM(D26:J26)</f>
        <v>-244.88</v>
      </c>
      <c r="L26" s="16" t="n">
        <f aca="false">IFERROR(K26/K$100,0)</f>
        <v>-7.39993353702411E-006</v>
      </c>
    </row>
    <row r="27" customFormat="false" ht="15" hidden="false" customHeight="false" outlineLevel="0" collapsed="false">
      <c r="A27" s="3" t="s">
        <v>103</v>
      </c>
      <c r="B27" s="3" t="s">
        <v>2191</v>
      </c>
      <c r="C27" s="3" t="s">
        <v>2192</v>
      </c>
      <c r="D27" s="15" t="n">
        <v>-16819.9</v>
      </c>
      <c r="E27" s="15" t="n">
        <v>-14709.65</v>
      </c>
      <c r="F27" s="15" t="n">
        <v>-13570</v>
      </c>
      <c r="G27" s="15" t="n">
        <v>-14058.75</v>
      </c>
      <c r="H27" s="15" t="n">
        <v>-9708.85</v>
      </c>
      <c r="I27" s="15" t="n">
        <v>-6381.06</v>
      </c>
      <c r="J27" s="15" t="n">
        <v>-7719.95</v>
      </c>
      <c r="K27" s="15" t="n">
        <f aca="false">SUM(D27:J27)</f>
        <v>-82968.16</v>
      </c>
      <c r="L27" s="16" t="n">
        <f aca="false">IFERROR(K27/K$100,0)</f>
        <v>-0.00250718257795321</v>
      </c>
    </row>
    <row r="28" customFormat="false" ht="15" hidden="false" customHeight="false" outlineLevel="0" collapsed="false">
      <c r="A28" s="3" t="s">
        <v>103</v>
      </c>
      <c r="B28" s="3" t="s">
        <v>2193</v>
      </c>
      <c r="C28" s="3" t="s">
        <v>2194</v>
      </c>
      <c r="D28" s="15" t="n">
        <v>-7178.18</v>
      </c>
      <c r="E28" s="15" t="n">
        <v>-11457.97</v>
      </c>
      <c r="F28" s="15" t="n">
        <v>-20284.82</v>
      </c>
      <c r="G28" s="15" t="n">
        <v>-23509.37</v>
      </c>
      <c r="H28" s="15" t="n">
        <v>-10681.19</v>
      </c>
      <c r="I28" s="15" t="n">
        <v>-2006.91</v>
      </c>
      <c r="J28" s="15" t="n">
        <v>-2512</v>
      </c>
      <c r="K28" s="15" t="n">
        <f aca="false">SUM(D28:J28)</f>
        <v>-77630.44</v>
      </c>
      <c r="L28" s="16" t="n">
        <f aca="false">IFERROR(K28/K$100,0)</f>
        <v>-0.00234588409200399</v>
      </c>
    </row>
    <row r="29" customFormat="false" ht="15" hidden="false" customHeight="false" outlineLevel="0" collapsed="false">
      <c r="A29" s="3" t="s">
        <v>103</v>
      </c>
      <c r="B29" s="3" t="s">
        <v>2195</v>
      </c>
      <c r="C29" s="3" t="s">
        <v>2196</v>
      </c>
      <c r="D29" s="15" t="n">
        <v>-13040.16</v>
      </c>
      <c r="E29" s="15" t="n">
        <v>-22612.63</v>
      </c>
      <c r="F29" s="15" t="n">
        <v>-23033.16</v>
      </c>
      <c r="G29" s="15" t="n">
        <v>-15815.72</v>
      </c>
      <c r="H29" s="15" t="n">
        <v>-12538.61</v>
      </c>
      <c r="I29" s="15" t="n">
        <v>-13475.16</v>
      </c>
      <c r="J29" s="15" t="n">
        <v>-4670.48</v>
      </c>
      <c r="K29" s="15" t="n">
        <f aca="false">SUM(D29:J29)</f>
        <v>-105185.92</v>
      </c>
      <c r="L29" s="16" t="n">
        <f aca="false">IFERROR(K29/K$100,0)</f>
        <v>-0.00317857243152048</v>
      </c>
    </row>
    <row r="30" customFormat="false" ht="15" hidden="false" customHeight="false" outlineLevel="0" collapsed="false">
      <c r="A30" s="3" t="s">
        <v>103</v>
      </c>
      <c r="B30" s="3" t="s">
        <v>2197</v>
      </c>
      <c r="C30" s="3" t="s">
        <v>2198</v>
      </c>
      <c r="D30" s="15" t="n">
        <v>-134</v>
      </c>
      <c r="E30" s="15" t="n">
        <v>0</v>
      </c>
      <c r="F30" s="15" t="n">
        <v>0</v>
      </c>
      <c r="G30" s="15" t="n">
        <v>-527.3</v>
      </c>
      <c r="H30" s="15" t="n">
        <v>0</v>
      </c>
      <c r="I30" s="15" t="n">
        <v>0</v>
      </c>
      <c r="J30" s="15" t="n">
        <v>0</v>
      </c>
      <c r="K30" s="15" t="n">
        <f aca="false">SUM(D30:J30)</f>
        <v>-661.3</v>
      </c>
      <c r="L30" s="16" t="n">
        <f aca="false">IFERROR(K30/K$100,0)</f>
        <v>-1.99835676577672E-005</v>
      </c>
    </row>
    <row r="31" customFormat="false" ht="15" hidden="false" customHeight="false" outlineLevel="0" collapsed="false">
      <c r="A31" s="3" t="s">
        <v>102</v>
      </c>
      <c r="B31" s="3" t="s">
        <v>2199</v>
      </c>
      <c r="C31" s="3" t="s">
        <v>2200</v>
      </c>
      <c r="D31" s="15" t="n">
        <v>0</v>
      </c>
      <c r="E31" s="15" t="n">
        <v>0</v>
      </c>
      <c r="F31" s="15" t="n">
        <v>0</v>
      </c>
      <c r="G31" s="15" t="n">
        <v>17000</v>
      </c>
      <c r="H31" s="15" t="n">
        <v>0</v>
      </c>
      <c r="I31" s="15" t="n">
        <v>0</v>
      </c>
      <c r="J31" s="15" t="n">
        <v>0</v>
      </c>
      <c r="K31" s="15" t="n">
        <f aca="false">SUM(D31:J31)</f>
        <v>17000</v>
      </c>
      <c r="L31" s="16" t="n">
        <f aca="false">IFERROR(K31/K$100,0)</f>
        <v>0.000513716392230521</v>
      </c>
    </row>
    <row r="32" customFormat="false" ht="15" hidden="false" customHeight="false" outlineLevel="0" collapsed="false">
      <c r="A32" s="3" t="s">
        <v>102</v>
      </c>
      <c r="B32" s="3" t="s">
        <v>2201</v>
      </c>
      <c r="C32" s="3" t="s">
        <v>2202</v>
      </c>
      <c r="D32" s="15" t="n">
        <v>429.86</v>
      </c>
      <c r="E32" s="15" t="n">
        <v>1891.16</v>
      </c>
      <c r="F32" s="15" t="n">
        <v>0</v>
      </c>
      <c r="G32" s="15" t="n">
        <v>2755.7</v>
      </c>
      <c r="H32" s="15" t="n">
        <v>1621</v>
      </c>
      <c r="I32" s="15" t="n">
        <v>1621</v>
      </c>
      <c r="J32" s="15" t="n">
        <v>1621</v>
      </c>
      <c r="K32" s="15" t="n">
        <f aca="false">SUM(D32:J32)</f>
        <v>9939.72</v>
      </c>
      <c r="L32" s="16" t="n">
        <f aca="false">IFERROR(K32/K$100,0)</f>
        <v>0.00030036453518715</v>
      </c>
    </row>
    <row r="33" customFormat="false" ht="15" hidden="false" customHeight="false" outlineLevel="0" collapsed="false">
      <c r="A33" s="3" t="s">
        <v>102</v>
      </c>
      <c r="B33" s="3" t="s">
        <v>2203</v>
      </c>
      <c r="C33" s="3" t="s">
        <v>2204</v>
      </c>
      <c r="D33" s="15" t="n">
        <v>0</v>
      </c>
      <c r="E33" s="15" t="n">
        <v>0</v>
      </c>
      <c r="F33" s="15" t="n">
        <v>0</v>
      </c>
      <c r="G33" s="15" t="n">
        <v>279.45</v>
      </c>
      <c r="H33" s="15" t="n">
        <v>0</v>
      </c>
      <c r="I33" s="15" t="n">
        <v>1569.96</v>
      </c>
      <c r="J33" s="15" t="n">
        <v>0</v>
      </c>
      <c r="K33" s="15" t="n">
        <f aca="false">SUM(D33:J33)</f>
        <v>1849.41</v>
      </c>
      <c r="L33" s="16" t="n">
        <f aca="false">IFERROR(K33/K$100,0)</f>
        <v>5.58866019385322E-005</v>
      </c>
    </row>
    <row r="34" customFormat="false" ht="15" hidden="false" customHeight="false" outlineLevel="0" collapsed="false">
      <c r="A34" s="3" t="s">
        <v>102</v>
      </c>
      <c r="B34" s="3" t="s">
        <v>2205</v>
      </c>
      <c r="C34" s="3" t="s">
        <v>2206</v>
      </c>
      <c r="D34" s="15" t="n">
        <v>10000</v>
      </c>
      <c r="E34" s="15" t="n">
        <v>217949.52</v>
      </c>
      <c r="F34" s="15" t="n">
        <v>122408.19</v>
      </c>
      <c r="G34" s="15" t="n">
        <v>132559.92</v>
      </c>
      <c r="H34" s="15" t="n">
        <v>104392.72</v>
      </c>
      <c r="I34" s="15" t="n">
        <v>143413.3</v>
      </c>
      <c r="J34" s="15" t="n">
        <v>2500</v>
      </c>
      <c r="K34" s="15" t="n">
        <f aca="false">SUM(D34:J34)</f>
        <v>733223.65</v>
      </c>
      <c r="L34" s="16" t="n">
        <f aca="false">IFERROR(K34/K$100,0)</f>
        <v>0.0221570004809467</v>
      </c>
    </row>
    <row r="35" customFormat="false" ht="15" hidden="false" customHeight="false" outlineLevel="0" collapsed="false">
      <c r="A35" s="3" t="s">
        <v>102</v>
      </c>
      <c r="B35" s="3" t="s">
        <v>2207</v>
      </c>
      <c r="C35" s="3" t="s">
        <v>2208</v>
      </c>
      <c r="D35" s="15" t="n">
        <v>996.8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f aca="false">SUM(D35:J35)</f>
        <v>996.8</v>
      </c>
      <c r="L35" s="16" t="n">
        <f aca="false">IFERROR(K35/K$100,0)</f>
        <v>3.01219117514931E-005</v>
      </c>
    </row>
    <row r="36" customFormat="false" ht="15" hidden="false" customHeight="false" outlineLevel="0" collapsed="false">
      <c r="A36" s="3" t="s">
        <v>102</v>
      </c>
      <c r="B36" s="3" t="s">
        <v>2209</v>
      </c>
      <c r="C36" s="3" t="s">
        <v>2210</v>
      </c>
      <c r="D36" s="15" t="n">
        <v>188.57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f aca="false">SUM(D36:J36)</f>
        <v>188.57</v>
      </c>
      <c r="L36" s="16" t="n">
        <f aca="false">IFERROR(K36/K$100,0)</f>
        <v>5.69832353428878E-006</v>
      </c>
    </row>
    <row r="37" customFormat="false" ht="15" hidden="false" customHeight="false" outlineLevel="0" collapsed="false">
      <c r="A37" s="3" t="s">
        <v>102</v>
      </c>
      <c r="B37" s="3" t="s">
        <v>2209</v>
      </c>
      <c r="C37" s="3" t="s">
        <v>2211</v>
      </c>
      <c r="D37" s="15" t="n">
        <v>0</v>
      </c>
      <c r="E37" s="15" t="n">
        <v>1126.43</v>
      </c>
      <c r="F37" s="15" t="n">
        <v>5.62</v>
      </c>
      <c r="G37" s="15" t="n">
        <v>118.68</v>
      </c>
      <c r="H37" s="15" t="n">
        <v>0</v>
      </c>
      <c r="I37" s="15" t="n">
        <v>281.11</v>
      </c>
      <c r="J37" s="15" t="n">
        <v>0</v>
      </c>
      <c r="K37" s="15" t="n">
        <f aca="false">SUM(D37:J37)</f>
        <v>1531.84</v>
      </c>
      <c r="L37" s="16" t="n">
        <f aca="false">IFERROR(K37/K$100,0)</f>
        <v>4.6290077545553E-005</v>
      </c>
    </row>
    <row r="38" customFormat="false" ht="15" hidden="false" customHeight="false" outlineLevel="0" collapsed="false">
      <c r="A38" s="3" t="s">
        <v>102</v>
      </c>
      <c r="B38" s="3" t="s">
        <v>2212</v>
      </c>
      <c r="C38" s="3" t="s">
        <v>2213</v>
      </c>
      <c r="D38" s="15" t="n">
        <v>3454.9</v>
      </c>
      <c r="E38" s="15" t="n">
        <v>8893.62</v>
      </c>
      <c r="F38" s="15" t="n">
        <v>2601.27</v>
      </c>
      <c r="G38" s="15" t="n">
        <v>2645.06</v>
      </c>
      <c r="H38" s="15" t="n">
        <v>1675.92</v>
      </c>
      <c r="I38" s="15" t="n">
        <v>10549.01</v>
      </c>
      <c r="J38" s="15" t="n">
        <v>2551.53</v>
      </c>
      <c r="K38" s="15" t="n">
        <f aca="false">SUM(D38:J38)</f>
        <v>32371.31</v>
      </c>
      <c r="L38" s="16" t="n">
        <f aca="false">IFERROR(K38/K$100,0)</f>
        <v>0.000978216034410339</v>
      </c>
    </row>
    <row r="39" customFormat="false" ht="15" hidden="false" customHeight="false" outlineLevel="0" collapsed="false">
      <c r="A39" s="3" t="s">
        <v>102</v>
      </c>
      <c r="B39" s="3" t="s">
        <v>2214</v>
      </c>
      <c r="C39" s="3" t="s">
        <v>2215</v>
      </c>
      <c r="D39" s="15" t="n">
        <v>948.4</v>
      </c>
      <c r="E39" s="15" t="n">
        <v>4159.8</v>
      </c>
      <c r="F39" s="15" t="n">
        <v>0</v>
      </c>
      <c r="G39" s="15" t="n">
        <v>1554.3</v>
      </c>
      <c r="H39" s="15" t="n">
        <v>0</v>
      </c>
      <c r="I39" s="15" t="n">
        <v>0</v>
      </c>
      <c r="J39" s="15" t="n">
        <v>2734</v>
      </c>
      <c r="K39" s="15" t="n">
        <f aca="false">SUM(D39:J39)</f>
        <v>9396.5</v>
      </c>
      <c r="L39" s="16" t="n">
        <f aca="false">IFERROR(K39/K$100,0)</f>
        <v>0.000283949181152593</v>
      </c>
    </row>
    <row r="40" customFormat="false" ht="15" hidden="false" customHeight="false" outlineLevel="0" collapsed="false">
      <c r="A40" s="3" t="s">
        <v>102</v>
      </c>
      <c r="B40" s="3" t="s">
        <v>2216</v>
      </c>
      <c r="C40" s="3" t="s">
        <v>2217</v>
      </c>
      <c r="D40" s="15" t="n">
        <v>11563</v>
      </c>
      <c r="E40" s="15" t="n">
        <v>7045.5</v>
      </c>
      <c r="F40" s="15" t="n">
        <v>7398</v>
      </c>
      <c r="G40" s="15" t="n">
        <v>6406.8</v>
      </c>
      <c r="H40" s="15" t="n">
        <v>1377</v>
      </c>
      <c r="I40" s="15" t="n">
        <v>3864</v>
      </c>
      <c r="J40" s="15" t="n">
        <v>10224</v>
      </c>
      <c r="K40" s="15" t="n">
        <f aca="false">SUM(D40:J40)</f>
        <v>47878.3</v>
      </c>
      <c r="L40" s="16" t="n">
        <f aca="false">IFERROR(K40/K$100,0)</f>
        <v>0.00144681573777238</v>
      </c>
    </row>
    <row r="41" customFormat="false" ht="15" hidden="false" customHeight="false" outlineLevel="0" collapsed="false">
      <c r="A41" s="3" t="s">
        <v>102</v>
      </c>
      <c r="B41" s="3" t="s">
        <v>2218</v>
      </c>
      <c r="C41" s="3" t="s">
        <v>2219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828.28</v>
      </c>
      <c r="I41" s="15" t="n">
        <v>0</v>
      </c>
      <c r="J41" s="15" t="n">
        <v>0</v>
      </c>
      <c r="K41" s="15" t="n">
        <f aca="false">SUM(D41:J41)</f>
        <v>828.28</v>
      </c>
      <c r="L41" s="16" t="n">
        <f aca="false">IFERROR(K41/K$100,0)</f>
        <v>2.50294713739233E-005</v>
      </c>
    </row>
    <row r="42" customFormat="false" ht="15" hidden="false" customHeight="false" outlineLevel="0" collapsed="false">
      <c r="A42" s="3" t="s">
        <v>102</v>
      </c>
      <c r="B42" s="3" t="s">
        <v>2220</v>
      </c>
      <c r="C42" s="3" t="s">
        <v>2221</v>
      </c>
      <c r="D42" s="15" t="n">
        <v>0</v>
      </c>
      <c r="E42" s="15" t="n">
        <v>0</v>
      </c>
      <c r="F42" s="15" t="n">
        <v>779</v>
      </c>
      <c r="G42" s="15" t="n">
        <v>1029</v>
      </c>
      <c r="H42" s="15" t="n">
        <v>0</v>
      </c>
      <c r="I42" s="15" t="n">
        <v>0</v>
      </c>
      <c r="J42" s="15" t="n">
        <v>21.96</v>
      </c>
      <c r="K42" s="15" t="n">
        <f aca="false">SUM(D42:J42)</f>
        <v>1829.96</v>
      </c>
      <c r="L42" s="16" t="n">
        <f aca="false">IFERROR(K42/K$100,0)</f>
        <v>5.52988499485978E-005</v>
      </c>
    </row>
    <row r="43" customFormat="false" ht="15" hidden="false" customHeight="false" outlineLevel="0" collapsed="false">
      <c r="A43" s="3" t="s">
        <v>102</v>
      </c>
      <c r="B43" s="3" t="s">
        <v>2222</v>
      </c>
      <c r="C43" s="3" t="s">
        <v>2223</v>
      </c>
      <c r="D43" s="15" t="n">
        <v>31.2</v>
      </c>
      <c r="E43" s="15" t="n">
        <v>0</v>
      </c>
      <c r="F43" s="15" t="n">
        <v>0</v>
      </c>
      <c r="G43" s="15" t="n">
        <v>190.8</v>
      </c>
      <c r="H43" s="15" t="n">
        <v>0</v>
      </c>
      <c r="I43" s="15" t="n">
        <v>124</v>
      </c>
      <c r="J43" s="15" t="n">
        <v>0</v>
      </c>
      <c r="K43" s="15" t="n">
        <f aca="false">SUM(D43:J43)</f>
        <v>346</v>
      </c>
      <c r="L43" s="16" t="n">
        <f aca="false">IFERROR(K43/K$100,0)</f>
        <v>1.04556395124565E-005</v>
      </c>
    </row>
    <row r="44" customFormat="false" ht="15" hidden="false" customHeight="false" outlineLevel="0" collapsed="false">
      <c r="A44" s="3" t="s">
        <v>102</v>
      </c>
      <c r="B44" s="3" t="s">
        <v>2224</v>
      </c>
      <c r="C44" s="3" t="s">
        <v>2225</v>
      </c>
      <c r="D44" s="15" t="n">
        <v>0</v>
      </c>
      <c r="E44" s="15" t="n">
        <v>81</v>
      </c>
      <c r="F44" s="15" t="n">
        <v>477</v>
      </c>
      <c r="G44" s="15" t="n">
        <v>639</v>
      </c>
      <c r="H44" s="15" t="n">
        <v>0</v>
      </c>
      <c r="I44" s="15" t="n">
        <v>81</v>
      </c>
      <c r="J44" s="15" t="n">
        <v>0</v>
      </c>
      <c r="K44" s="15" t="n">
        <f aca="false">SUM(D44:J44)</f>
        <v>1278</v>
      </c>
      <c r="L44" s="16" t="n">
        <f aca="false">IFERROR(K44/K$100,0)</f>
        <v>3.86193852512121E-005</v>
      </c>
    </row>
    <row r="45" customFormat="false" ht="15" hidden="false" customHeight="false" outlineLevel="0" collapsed="false">
      <c r="A45" s="3" t="s">
        <v>102</v>
      </c>
      <c r="B45" s="3" t="s">
        <v>2226</v>
      </c>
      <c r="C45" s="3" t="s">
        <v>2227</v>
      </c>
      <c r="D45" s="15" t="n">
        <v>0</v>
      </c>
      <c r="E45" s="15" t="n">
        <v>2780</v>
      </c>
      <c r="F45" s="15" t="n">
        <v>3020</v>
      </c>
      <c r="G45" s="15" t="n">
        <v>2520</v>
      </c>
      <c r="H45" s="15" t="n">
        <v>660</v>
      </c>
      <c r="I45" s="15" t="n">
        <v>820</v>
      </c>
      <c r="J45" s="15" t="n">
        <v>4300</v>
      </c>
      <c r="K45" s="15" t="n">
        <f aca="false">SUM(D45:J45)</f>
        <v>14100</v>
      </c>
      <c r="L45" s="16" t="n">
        <f aca="false">IFERROR(K45/K$100,0)</f>
        <v>0.000426082419438255</v>
      </c>
    </row>
    <row r="46" customFormat="false" ht="15" hidden="false" customHeight="false" outlineLevel="0" collapsed="false">
      <c r="A46" s="3" t="s">
        <v>102</v>
      </c>
      <c r="B46" s="3" t="s">
        <v>2228</v>
      </c>
      <c r="C46" s="3" t="s">
        <v>2229</v>
      </c>
      <c r="D46" s="15" t="n">
        <v>0</v>
      </c>
      <c r="E46" s="15" t="n">
        <v>0</v>
      </c>
      <c r="F46" s="15" t="n">
        <v>0</v>
      </c>
      <c r="G46" s="15" t="n">
        <v>400</v>
      </c>
      <c r="H46" s="15" t="n">
        <v>0</v>
      </c>
      <c r="I46" s="15" t="n">
        <v>0</v>
      </c>
      <c r="J46" s="15" t="n">
        <v>0</v>
      </c>
      <c r="K46" s="15" t="n">
        <f aca="false">SUM(D46:J46)</f>
        <v>400</v>
      </c>
      <c r="L46" s="16" t="n">
        <f aca="false">IFERROR(K46/K$100,0)</f>
        <v>1.20874445230711E-005</v>
      </c>
    </row>
    <row r="47" customFormat="false" ht="15" hidden="false" customHeight="false" outlineLevel="0" collapsed="false">
      <c r="A47" s="3" t="s">
        <v>102</v>
      </c>
      <c r="B47" s="3" t="s">
        <v>2230</v>
      </c>
      <c r="C47" s="3" t="s">
        <v>2231</v>
      </c>
      <c r="D47" s="15" t="n">
        <v>96.99</v>
      </c>
      <c r="E47" s="15" t="n">
        <v>0</v>
      </c>
      <c r="F47" s="15" t="n">
        <v>0</v>
      </c>
      <c r="G47" s="15" t="n">
        <v>226.31</v>
      </c>
      <c r="H47" s="15" t="n">
        <v>0</v>
      </c>
      <c r="I47" s="15" t="n">
        <v>0</v>
      </c>
      <c r="J47" s="15" t="n">
        <v>0</v>
      </c>
      <c r="K47" s="15" t="n">
        <f aca="false">SUM(D47:J47)</f>
        <v>323.3</v>
      </c>
      <c r="L47" s="16" t="n">
        <f aca="false">IFERROR(K47/K$100,0)</f>
        <v>9.76967703577219E-006</v>
      </c>
    </row>
    <row r="48" customFormat="false" ht="15" hidden="false" customHeight="false" outlineLevel="0" collapsed="false">
      <c r="A48" s="3" t="s">
        <v>102</v>
      </c>
      <c r="B48" s="3" t="s">
        <v>2232</v>
      </c>
      <c r="C48" s="3" t="s">
        <v>2200</v>
      </c>
      <c r="D48" s="15" t="n">
        <v>0</v>
      </c>
      <c r="E48" s="15" t="n">
        <v>0</v>
      </c>
      <c r="F48" s="15" t="n">
        <v>82000</v>
      </c>
      <c r="G48" s="15" t="n">
        <v>1000</v>
      </c>
      <c r="H48" s="15" t="n">
        <v>0</v>
      </c>
      <c r="I48" s="15" t="n">
        <v>0</v>
      </c>
      <c r="J48" s="15" t="n">
        <v>0</v>
      </c>
      <c r="K48" s="15" t="n">
        <f aca="false">SUM(D48:J48)</f>
        <v>83000</v>
      </c>
      <c r="L48" s="16" t="n">
        <f aca="false">IFERROR(K48/K$100,0)</f>
        <v>0.00250814473853725</v>
      </c>
    </row>
    <row r="49" customFormat="false" ht="15" hidden="false" customHeight="false" outlineLevel="0" collapsed="false">
      <c r="A49" s="3" t="s">
        <v>102</v>
      </c>
      <c r="B49" s="3" t="s">
        <v>2233</v>
      </c>
      <c r="C49" s="3" t="s">
        <v>2234</v>
      </c>
      <c r="D49" s="15" t="n">
        <v>1449.92</v>
      </c>
      <c r="E49" s="15" t="n">
        <v>2078.05</v>
      </c>
      <c r="F49" s="15" t="n">
        <v>3669.09</v>
      </c>
      <c r="G49" s="15" t="n">
        <v>1983.1</v>
      </c>
      <c r="H49" s="15" t="n">
        <v>645.36</v>
      </c>
      <c r="I49" s="15" t="n">
        <v>792.04</v>
      </c>
      <c r="J49" s="15" t="n">
        <v>3262.18</v>
      </c>
      <c r="K49" s="15" t="n">
        <f aca="false">SUM(D49:J49)</f>
        <v>13879.74</v>
      </c>
      <c r="L49" s="16" t="n">
        <f aca="false">IFERROR(K49/K$100,0)</f>
        <v>0.000419426468111626</v>
      </c>
    </row>
    <row r="50" customFormat="false" ht="15" hidden="false" customHeight="false" outlineLevel="0" collapsed="false">
      <c r="A50" s="3" t="s">
        <v>102</v>
      </c>
      <c r="B50" s="3" t="s">
        <v>2235</v>
      </c>
      <c r="C50" s="3" t="s">
        <v>2236</v>
      </c>
      <c r="D50" s="15" t="n">
        <v>129.9</v>
      </c>
      <c r="E50" s="15" t="n">
        <v>0</v>
      </c>
      <c r="F50" s="15" t="n">
        <v>438.5</v>
      </c>
      <c r="G50" s="15" t="n">
        <v>186.48</v>
      </c>
      <c r="H50" s="15" t="n">
        <v>0</v>
      </c>
      <c r="I50" s="15" t="n">
        <v>17.32</v>
      </c>
      <c r="J50" s="15" t="n">
        <v>5.16</v>
      </c>
      <c r="K50" s="15" t="n">
        <f aca="false">SUM(D50:J50)</f>
        <v>777.36</v>
      </c>
      <c r="L50" s="16" t="n">
        <f aca="false">IFERROR(K50/K$100,0)</f>
        <v>2.34907396861363E-005</v>
      </c>
    </row>
    <row r="51" customFormat="false" ht="15" hidden="false" customHeight="false" outlineLevel="0" collapsed="false">
      <c r="A51" s="3" t="s">
        <v>102</v>
      </c>
      <c r="B51" s="3" t="s">
        <v>2237</v>
      </c>
      <c r="C51" s="3" t="s">
        <v>2238</v>
      </c>
      <c r="D51" s="15" t="n">
        <v>13903.18</v>
      </c>
      <c r="E51" s="15" t="n">
        <v>14540.15</v>
      </c>
      <c r="F51" s="15" t="n">
        <v>30143.6</v>
      </c>
      <c r="G51" s="15" t="n">
        <v>24452.19</v>
      </c>
      <c r="H51" s="15" t="n">
        <v>3591.05</v>
      </c>
      <c r="I51" s="15" t="n">
        <v>6528.59</v>
      </c>
      <c r="J51" s="15" t="n">
        <v>22817.58</v>
      </c>
      <c r="K51" s="15" t="n">
        <f aca="false">SUM(D51:J51)</f>
        <v>115976.34</v>
      </c>
      <c r="L51" s="16" t="n">
        <f aca="false">IFERROR(K51/K$100,0)</f>
        <v>0.00350464393934707</v>
      </c>
    </row>
    <row r="52" customFormat="false" ht="15" hidden="false" customHeight="false" outlineLevel="0" collapsed="false">
      <c r="A52" s="3" t="s">
        <v>102</v>
      </c>
      <c r="B52" s="3" t="s">
        <v>2239</v>
      </c>
      <c r="C52" s="3" t="s">
        <v>2240</v>
      </c>
      <c r="D52" s="15" t="n">
        <v>985.8</v>
      </c>
      <c r="E52" s="15" t="n">
        <v>44</v>
      </c>
      <c r="F52" s="15" t="n">
        <v>1753</v>
      </c>
      <c r="G52" s="15" t="n">
        <v>794.5</v>
      </c>
      <c r="H52" s="15" t="n">
        <v>460.6</v>
      </c>
      <c r="I52" s="15" t="n">
        <v>276.5</v>
      </c>
      <c r="J52" s="15" t="n">
        <v>386.5</v>
      </c>
      <c r="K52" s="15" t="n">
        <f aca="false">SUM(D52:J52)</f>
        <v>4700.9</v>
      </c>
      <c r="L52" s="16" t="n">
        <f aca="false">IFERROR(K52/K$100,0)</f>
        <v>0.000142054669896262</v>
      </c>
    </row>
    <row r="53" customFormat="false" ht="15" hidden="false" customHeight="false" outlineLevel="0" collapsed="false">
      <c r="A53" s="3" t="s">
        <v>102</v>
      </c>
      <c r="B53" s="3" t="s">
        <v>2241</v>
      </c>
      <c r="C53" s="3" t="s">
        <v>2242</v>
      </c>
      <c r="D53" s="15" t="n">
        <v>176.25</v>
      </c>
      <c r="E53" s="15" t="n">
        <v>0</v>
      </c>
      <c r="F53" s="15" t="n">
        <v>35.25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f aca="false">SUM(D53:J53)</f>
        <v>211.5</v>
      </c>
      <c r="L53" s="16" t="n">
        <f aca="false">IFERROR(K53/K$100,0)</f>
        <v>6.39123629157383E-006</v>
      </c>
    </row>
    <row r="54" customFormat="false" ht="15" hidden="false" customHeight="false" outlineLevel="0" collapsed="false">
      <c r="A54" s="3" t="s">
        <v>102</v>
      </c>
      <c r="B54" s="3" t="s">
        <v>2243</v>
      </c>
      <c r="C54" s="3" t="s">
        <v>2244</v>
      </c>
      <c r="D54" s="15" t="n">
        <v>172.57</v>
      </c>
      <c r="E54" s="15" t="n">
        <v>0</v>
      </c>
      <c r="F54" s="15" t="n">
        <v>1434.09</v>
      </c>
      <c r="G54" s="15" t="n">
        <v>959.42</v>
      </c>
      <c r="H54" s="15" t="n">
        <v>0</v>
      </c>
      <c r="I54" s="15" t="n">
        <v>137.87</v>
      </c>
      <c r="J54" s="15" t="n">
        <v>48.29</v>
      </c>
      <c r="K54" s="15" t="n">
        <f aca="false">SUM(D54:J54)</f>
        <v>2752.24</v>
      </c>
      <c r="L54" s="16" t="n">
        <f aca="false">IFERROR(K54/K$100,0)</f>
        <v>8.31688707854428E-005</v>
      </c>
    </row>
    <row r="55" customFormat="false" ht="15" hidden="false" customHeight="false" outlineLevel="0" collapsed="false">
      <c r="A55" s="3" t="s">
        <v>102</v>
      </c>
      <c r="B55" s="3" t="s">
        <v>2245</v>
      </c>
      <c r="C55" s="3" t="s">
        <v>2246</v>
      </c>
      <c r="D55" s="15" t="n">
        <v>511</v>
      </c>
      <c r="E55" s="15" t="n">
        <v>0</v>
      </c>
      <c r="F55" s="15" t="n">
        <v>1377</v>
      </c>
      <c r="G55" s="15" t="n">
        <v>746</v>
      </c>
      <c r="H55" s="15" t="n">
        <v>328</v>
      </c>
      <c r="I55" s="15" t="n">
        <v>227.5</v>
      </c>
      <c r="J55" s="15" t="n">
        <v>646</v>
      </c>
      <c r="K55" s="15" t="n">
        <f aca="false">SUM(D55:J55)</f>
        <v>3835.5</v>
      </c>
      <c r="L55" s="16" t="n">
        <f aca="false">IFERROR(K55/K$100,0)</f>
        <v>0.000115903483670598</v>
      </c>
    </row>
    <row r="56" customFormat="false" ht="15" hidden="false" customHeight="false" outlineLevel="0" collapsed="false">
      <c r="A56" s="3" t="s">
        <v>102</v>
      </c>
      <c r="B56" s="3" t="s">
        <v>2247</v>
      </c>
      <c r="C56" s="3" t="s">
        <v>2248</v>
      </c>
      <c r="D56" s="15" t="n">
        <v>48287.93</v>
      </c>
      <c r="E56" s="15" t="n">
        <v>17231.88</v>
      </c>
      <c r="F56" s="15" t="n">
        <v>12164.32</v>
      </c>
      <c r="G56" s="15" t="n">
        <v>20647.31</v>
      </c>
      <c r="H56" s="15" t="n">
        <v>2506.12</v>
      </c>
      <c r="I56" s="15" t="n">
        <v>2375.26</v>
      </c>
      <c r="J56" s="15" t="n">
        <v>10424.84</v>
      </c>
      <c r="K56" s="15" t="n">
        <f aca="false">SUM(D56:J56)</f>
        <v>113637.66</v>
      </c>
      <c r="L56" s="16" t="n">
        <f aca="false">IFERROR(K56/K$100,0)</f>
        <v>0.00343397227745403</v>
      </c>
    </row>
    <row r="57" customFormat="false" ht="15" hidden="false" customHeight="false" outlineLevel="0" collapsed="false">
      <c r="A57" s="3" t="s">
        <v>102</v>
      </c>
      <c r="B57" s="3" t="s">
        <v>2249</v>
      </c>
      <c r="C57" s="3" t="s">
        <v>2250</v>
      </c>
      <c r="D57" s="15" t="n">
        <v>0</v>
      </c>
      <c r="E57" s="15" t="n">
        <v>105</v>
      </c>
      <c r="F57" s="15" t="n">
        <v>0</v>
      </c>
      <c r="G57" s="15" t="n">
        <v>80.4</v>
      </c>
      <c r="H57" s="15" t="n">
        <v>0</v>
      </c>
      <c r="I57" s="15" t="n">
        <v>0</v>
      </c>
      <c r="J57" s="15" t="n">
        <v>0</v>
      </c>
      <c r="K57" s="15" t="n">
        <f aca="false">SUM(D57:J57)</f>
        <v>185.4</v>
      </c>
      <c r="L57" s="16" t="n">
        <f aca="false">IFERROR(K57/K$100,0)</f>
        <v>5.60253053644344E-006</v>
      </c>
    </row>
    <row r="58" customFormat="false" ht="15" hidden="false" customHeight="false" outlineLevel="0" collapsed="false">
      <c r="A58" s="3" t="s">
        <v>102</v>
      </c>
      <c r="B58" s="3" t="s">
        <v>2251</v>
      </c>
      <c r="C58" s="3" t="s">
        <v>2252</v>
      </c>
      <c r="D58" s="15" t="n">
        <v>656.04</v>
      </c>
      <c r="E58" s="15" t="n">
        <v>296.07</v>
      </c>
      <c r="F58" s="15" t="n">
        <v>1224.75</v>
      </c>
      <c r="G58" s="15" t="n">
        <v>581.49</v>
      </c>
      <c r="H58" s="15" t="n">
        <v>170.4</v>
      </c>
      <c r="I58" s="15" t="n">
        <v>242.82</v>
      </c>
      <c r="J58" s="15" t="n">
        <v>590.01</v>
      </c>
      <c r="K58" s="15" t="n">
        <f aca="false">SUM(D58:J58)</f>
        <v>3761.58</v>
      </c>
      <c r="L58" s="16" t="n">
        <f aca="false">IFERROR(K58/K$100,0)</f>
        <v>0.000113669723922734</v>
      </c>
    </row>
    <row r="59" customFormat="false" ht="15" hidden="false" customHeight="false" outlineLevel="0" collapsed="false">
      <c r="A59" s="3" t="s">
        <v>102</v>
      </c>
      <c r="B59" s="3" t="s">
        <v>2253</v>
      </c>
      <c r="C59" s="3" t="s">
        <v>2254</v>
      </c>
      <c r="D59" s="15" t="n">
        <v>536</v>
      </c>
      <c r="E59" s="15" t="n">
        <v>0</v>
      </c>
      <c r="F59" s="15" t="n">
        <v>384.5</v>
      </c>
      <c r="G59" s="15" t="n">
        <v>46.5</v>
      </c>
      <c r="H59" s="15" t="n">
        <v>0</v>
      </c>
      <c r="I59" s="15" t="n">
        <v>0</v>
      </c>
      <c r="J59" s="15" t="n">
        <v>0</v>
      </c>
      <c r="K59" s="15" t="n">
        <f aca="false">SUM(D59:J59)</f>
        <v>967</v>
      </c>
      <c r="L59" s="16" t="n">
        <f aca="false">IFERROR(K59/K$100,0)</f>
        <v>2.92213971345243E-005</v>
      </c>
    </row>
    <row r="60" customFormat="false" ht="15" hidden="false" customHeight="false" outlineLevel="0" collapsed="false">
      <c r="A60" s="3" t="s">
        <v>102</v>
      </c>
      <c r="B60" s="3" t="s">
        <v>2255</v>
      </c>
      <c r="C60" s="3" t="s">
        <v>2256</v>
      </c>
      <c r="D60" s="15" t="n">
        <v>3148.1</v>
      </c>
      <c r="E60" s="15" t="n">
        <v>22</v>
      </c>
      <c r="F60" s="15" t="n">
        <v>7962.2</v>
      </c>
      <c r="G60" s="15" t="n">
        <v>1631.9</v>
      </c>
      <c r="H60" s="15" t="n">
        <v>1186.3</v>
      </c>
      <c r="I60" s="15" t="n">
        <v>1027</v>
      </c>
      <c r="J60" s="15" t="n">
        <v>2684</v>
      </c>
      <c r="K60" s="15" t="n">
        <f aca="false">SUM(D60:J60)</f>
        <v>17661.5</v>
      </c>
      <c r="L60" s="16" t="n">
        <f aca="false">IFERROR(K60/K$100,0)</f>
        <v>0.000533706003610549</v>
      </c>
    </row>
    <row r="61" customFormat="false" ht="15" hidden="false" customHeight="false" outlineLevel="0" collapsed="false">
      <c r="A61" s="3" t="s">
        <v>102</v>
      </c>
      <c r="B61" s="3" t="s">
        <v>2257</v>
      </c>
      <c r="C61" s="3" t="s">
        <v>2258</v>
      </c>
      <c r="D61" s="15" t="n">
        <v>1131.52</v>
      </c>
      <c r="E61" s="15" t="n">
        <v>527.34</v>
      </c>
      <c r="F61" s="15" t="n">
        <v>2558.1</v>
      </c>
      <c r="G61" s="15" t="n">
        <v>1226.22</v>
      </c>
      <c r="H61" s="15" t="n">
        <v>287.98</v>
      </c>
      <c r="I61" s="15" t="n">
        <v>388.96</v>
      </c>
      <c r="J61" s="15" t="n">
        <v>1012.98</v>
      </c>
      <c r="K61" s="15" t="n">
        <f aca="false">SUM(D61:J61)</f>
        <v>7133.1</v>
      </c>
      <c r="L61" s="16" t="n">
        <f aca="false">IFERROR(K61/K$100,0)</f>
        <v>0.000215552376318796</v>
      </c>
    </row>
    <row r="62" customFormat="false" ht="15" hidden="false" customHeight="false" outlineLevel="0" collapsed="false">
      <c r="A62" s="3" t="s">
        <v>102</v>
      </c>
      <c r="B62" s="3" t="s">
        <v>2259</v>
      </c>
      <c r="C62" s="3" t="s">
        <v>2260</v>
      </c>
      <c r="D62" s="15" t="n">
        <v>2248</v>
      </c>
      <c r="E62" s="15" t="n">
        <v>0</v>
      </c>
      <c r="F62" s="15" t="n">
        <v>2395</v>
      </c>
      <c r="G62" s="15" t="n">
        <v>1923.85</v>
      </c>
      <c r="H62" s="15" t="n">
        <v>306.6</v>
      </c>
      <c r="I62" s="15" t="n">
        <v>242</v>
      </c>
      <c r="J62" s="15" t="n">
        <v>112.5</v>
      </c>
      <c r="K62" s="15" t="n">
        <f aca="false">SUM(D62:J62)</f>
        <v>7227.95</v>
      </c>
      <c r="L62" s="16" t="n">
        <f aca="false">IFERROR(K62/K$100,0)</f>
        <v>0.000218418611601329</v>
      </c>
    </row>
    <row r="63" customFormat="false" ht="15" hidden="false" customHeight="false" outlineLevel="0" collapsed="false">
      <c r="A63" s="3" t="s">
        <v>102</v>
      </c>
      <c r="B63" s="3" t="s">
        <v>2261</v>
      </c>
      <c r="C63" s="3" t="s">
        <v>2262</v>
      </c>
      <c r="D63" s="15" t="n">
        <v>435.5</v>
      </c>
      <c r="E63" s="15" t="n">
        <v>0</v>
      </c>
      <c r="F63" s="15" t="n">
        <v>567.5</v>
      </c>
      <c r="G63" s="15" t="n">
        <v>337.5</v>
      </c>
      <c r="H63" s="15" t="n">
        <v>46.5</v>
      </c>
      <c r="I63" s="15" t="n">
        <v>112.5</v>
      </c>
      <c r="J63" s="15" t="n">
        <v>117.8</v>
      </c>
      <c r="K63" s="15" t="n">
        <f aca="false">SUM(D63:J63)</f>
        <v>1617.3</v>
      </c>
      <c r="L63" s="16" t="n">
        <f aca="false">IFERROR(K63/K$100,0)</f>
        <v>4.88725600679071E-005</v>
      </c>
    </row>
    <row r="64" customFormat="false" ht="15" hidden="false" customHeight="false" outlineLevel="0" collapsed="false">
      <c r="A64" s="3" t="s">
        <v>102</v>
      </c>
      <c r="B64" s="3" t="s">
        <v>2263</v>
      </c>
      <c r="C64" s="3" t="s">
        <v>2264</v>
      </c>
      <c r="D64" s="15" t="n">
        <v>1780</v>
      </c>
      <c r="E64" s="15" t="n">
        <v>2136</v>
      </c>
      <c r="F64" s="15" t="n">
        <v>142.4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f aca="false">SUM(D64:J64)</f>
        <v>4058.4</v>
      </c>
      <c r="L64" s="16" t="n">
        <f aca="false">IFERROR(K64/K$100,0)</f>
        <v>0.000122639212131079</v>
      </c>
    </row>
    <row r="65" customFormat="false" ht="15" hidden="false" customHeight="false" outlineLevel="0" collapsed="false">
      <c r="A65" s="3" t="s">
        <v>102</v>
      </c>
      <c r="B65" s="3" t="s">
        <v>2265</v>
      </c>
      <c r="C65" s="3" t="s">
        <v>2266</v>
      </c>
      <c r="D65" s="15" t="n">
        <v>19.95</v>
      </c>
      <c r="E65" s="15" t="n">
        <v>0</v>
      </c>
      <c r="F65" s="15" t="n">
        <v>119.7</v>
      </c>
      <c r="G65" s="15" t="n">
        <v>79.8</v>
      </c>
      <c r="H65" s="15" t="n">
        <v>0</v>
      </c>
      <c r="I65" s="15" t="n">
        <v>119.7</v>
      </c>
      <c r="J65" s="15" t="n">
        <v>0</v>
      </c>
      <c r="K65" s="15" t="n">
        <f aca="false">SUM(D65:J65)</f>
        <v>339.15</v>
      </c>
      <c r="L65" s="16" t="n">
        <f aca="false">IFERROR(K65/K$100,0)</f>
        <v>1.02486420249989E-005</v>
      </c>
    </row>
    <row r="66" customFormat="false" ht="15" hidden="false" customHeight="false" outlineLevel="0" collapsed="false">
      <c r="A66" s="3" t="s">
        <v>102</v>
      </c>
      <c r="B66" s="3" t="s">
        <v>2267</v>
      </c>
      <c r="C66" s="3" t="s">
        <v>2268</v>
      </c>
      <c r="D66" s="15" t="n">
        <v>332.5</v>
      </c>
      <c r="E66" s="15" t="n">
        <v>0</v>
      </c>
      <c r="F66" s="15" t="n">
        <v>154</v>
      </c>
      <c r="G66" s="15" t="n">
        <v>154</v>
      </c>
      <c r="H66" s="15" t="n">
        <v>0</v>
      </c>
      <c r="I66" s="15" t="n">
        <v>0</v>
      </c>
      <c r="J66" s="15" t="n">
        <v>68.5</v>
      </c>
      <c r="K66" s="15" t="n">
        <f aca="false">SUM(D66:J66)</f>
        <v>709</v>
      </c>
      <c r="L66" s="16" t="n">
        <f aca="false">IFERROR(K66/K$100,0)</f>
        <v>2.14249954171435E-005</v>
      </c>
    </row>
    <row r="67" customFormat="false" ht="15" hidden="false" customHeight="false" outlineLevel="0" collapsed="false">
      <c r="A67" s="3" t="s">
        <v>102</v>
      </c>
      <c r="B67" s="3" t="s">
        <v>2269</v>
      </c>
      <c r="C67" s="3" t="s">
        <v>2270</v>
      </c>
      <c r="D67" s="15" t="n">
        <v>703.5</v>
      </c>
      <c r="E67" s="15" t="n">
        <v>1255</v>
      </c>
      <c r="F67" s="15" t="n">
        <v>1176</v>
      </c>
      <c r="G67" s="15" t="n">
        <v>880.5</v>
      </c>
      <c r="H67" s="15" t="n">
        <v>577.2</v>
      </c>
      <c r="I67" s="15" t="n">
        <v>487.5</v>
      </c>
      <c r="J67" s="15" t="n">
        <v>206.7</v>
      </c>
      <c r="K67" s="15" t="n">
        <f aca="false">SUM(D67:J67)</f>
        <v>5286.4</v>
      </c>
      <c r="L67" s="16" t="n">
        <f aca="false">IFERROR(K67/K$100,0)</f>
        <v>0.000159747666816907</v>
      </c>
    </row>
    <row r="68" customFormat="false" ht="15" hidden="false" customHeight="false" outlineLevel="0" collapsed="false">
      <c r="A68" s="3" t="s">
        <v>102</v>
      </c>
      <c r="B68" s="3" t="s">
        <v>2271</v>
      </c>
      <c r="C68" s="3" t="s">
        <v>2272</v>
      </c>
      <c r="D68" s="15" t="n">
        <v>0</v>
      </c>
      <c r="E68" s="15" t="n">
        <v>0</v>
      </c>
      <c r="F68" s="15" t="n">
        <v>171.36</v>
      </c>
      <c r="G68" s="15" t="n">
        <v>299.88</v>
      </c>
      <c r="H68" s="15" t="n">
        <v>0</v>
      </c>
      <c r="I68" s="15" t="n">
        <v>107.1</v>
      </c>
      <c r="J68" s="15" t="n">
        <v>0</v>
      </c>
      <c r="K68" s="15" t="n">
        <f aca="false">SUM(D68:J68)</f>
        <v>578.34</v>
      </c>
      <c r="L68" s="16" t="n">
        <f aca="false">IFERROR(K68/K$100,0)</f>
        <v>1.74766316636823E-005</v>
      </c>
    </row>
    <row r="69" customFormat="false" ht="15" hidden="false" customHeight="false" outlineLevel="0" collapsed="false">
      <c r="A69" s="3" t="s">
        <v>102</v>
      </c>
      <c r="B69" s="3" t="s">
        <v>2273</v>
      </c>
      <c r="C69" s="3" t="s">
        <v>2274</v>
      </c>
      <c r="D69" s="15" t="n">
        <v>0</v>
      </c>
      <c r="E69" s="15" t="n">
        <v>0</v>
      </c>
      <c r="F69" s="15" t="n">
        <v>0</v>
      </c>
      <c r="G69" s="15" t="n">
        <v>91.5</v>
      </c>
      <c r="H69" s="15" t="n">
        <v>0</v>
      </c>
      <c r="I69" s="15" t="n">
        <v>0</v>
      </c>
      <c r="J69" s="15" t="n">
        <v>0</v>
      </c>
      <c r="K69" s="15" t="n">
        <f aca="false">SUM(D69:J69)</f>
        <v>91.5</v>
      </c>
      <c r="L69" s="16" t="n">
        <f aca="false">IFERROR(K69/K$100,0)</f>
        <v>2.76500293465251E-006</v>
      </c>
    </row>
    <row r="70" customFormat="false" ht="15" hidden="false" customHeight="false" outlineLevel="0" collapsed="false">
      <c r="A70" s="3" t="s">
        <v>102</v>
      </c>
      <c r="B70" s="3" t="s">
        <v>2275</v>
      </c>
      <c r="C70" s="3" t="s">
        <v>2276</v>
      </c>
      <c r="D70" s="15" t="n">
        <v>360.5</v>
      </c>
      <c r="E70" s="15" t="n">
        <v>713</v>
      </c>
      <c r="F70" s="15" t="n">
        <v>138</v>
      </c>
      <c r="G70" s="15" t="n">
        <v>368</v>
      </c>
      <c r="H70" s="15" t="n">
        <v>161</v>
      </c>
      <c r="I70" s="15" t="n">
        <v>115</v>
      </c>
      <c r="J70" s="15" t="n">
        <v>0</v>
      </c>
      <c r="K70" s="15" t="n">
        <f aca="false">SUM(D70:J70)</f>
        <v>1855.5</v>
      </c>
      <c r="L70" s="16" t="n">
        <f aca="false">IFERROR(K70/K$100,0)</f>
        <v>5.60706332813959E-005</v>
      </c>
    </row>
    <row r="71" customFormat="false" ht="15" hidden="false" customHeight="false" outlineLevel="0" collapsed="false">
      <c r="A71" s="3" t="s">
        <v>102</v>
      </c>
      <c r="B71" s="3" t="s">
        <v>2277</v>
      </c>
      <c r="C71" s="3" t="s">
        <v>2278</v>
      </c>
      <c r="D71" s="15" t="n">
        <v>0</v>
      </c>
      <c r="E71" s="15" t="n">
        <v>10920</v>
      </c>
      <c r="F71" s="15" t="n">
        <v>11040</v>
      </c>
      <c r="G71" s="15" t="n">
        <v>480</v>
      </c>
      <c r="H71" s="15" t="n">
        <v>9292</v>
      </c>
      <c r="I71" s="15" t="n">
        <v>9000</v>
      </c>
      <c r="J71" s="15" t="n">
        <v>120</v>
      </c>
      <c r="K71" s="15" t="n">
        <f aca="false">SUM(D71:J71)</f>
        <v>40852</v>
      </c>
      <c r="L71" s="16" t="n">
        <f aca="false">IFERROR(K71/K$100,0)</f>
        <v>0.00123449070914125</v>
      </c>
    </row>
    <row r="72" customFormat="false" ht="15" hidden="false" customHeight="false" outlineLevel="0" collapsed="false">
      <c r="A72" s="3" t="s">
        <v>102</v>
      </c>
      <c r="B72" s="3" t="s">
        <v>2279</v>
      </c>
      <c r="C72" s="3" t="s">
        <v>2280</v>
      </c>
      <c r="D72" s="15" t="n">
        <v>0</v>
      </c>
      <c r="E72" s="15" t="n">
        <v>0</v>
      </c>
      <c r="F72" s="15" t="n">
        <v>8750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f aca="false">SUM(D72:J72)</f>
        <v>8750</v>
      </c>
      <c r="L72" s="16" t="n">
        <f aca="false">IFERROR(K72/K$100,0)</f>
        <v>0.00026441284894218</v>
      </c>
    </row>
    <row r="73" customFormat="false" ht="15" hidden="false" customHeight="false" outlineLevel="0" collapsed="false">
      <c r="A73" s="3" t="s">
        <v>102</v>
      </c>
      <c r="B73" s="3" t="s">
        <v>2281</v>
      </c>
      <c r="C73" s="3" t="s">
        <v>2282</v>
      </c>
      <c r="D73" s="15" t="n">
        <v>33612</v>
      </c>
      <c r="E73" s="15" t="n">
        <v>34537.5</v>
      </c>
      <c r="F73" s="15" t="n">
        <v>18162.16</v>
      </c>
      <c r="G73" s="15" t="n">
        <v>9201.8</v>
      </c>
      <c r="H73" s="15" t="n">
        <v>3499</v>
      </c>
      <c r="I73" s="15" t="n">
        <v>6536.7</v>
      </c>
      <c r="J73" s="15" t="n">
        <v>16637.5</v>
      </c>
      <c r="K73" s="15" t="n">
        <f aca="false">SUM(D73:J73)</f>
        <v>122186.66</v>
      </c>
      <c r="L73" s="16" t="n">
        <f aca="false">IFERROR(K73/K$100,0)</f>
        <v>0.00369231118552337</v>
      </c>
    </row>
    <row r="74" customFormat="false" ht="15" hidden="false" customHeight="false" outlineLevel="0" collapsed="false">
      <c r="A74" s="3" t="s">
        <v>102</v>
      </c>
      <c r="B74" s="3" t="s">
        <v>2283</v>
      </c>
      <c r="C74" s="3" t="s">
        <v>2284</v>
      </c>
      <c r="D74" s="15" t="n">
        <v>306.59</v>
      </c>
      <c r="E74" s="15" t="n">
        <v>0</v>
      </c>
      <c r="F74" s="15" t="n">
        <v>0</v>
      </c>
      <c r="G74" s="15" t="n">
        <v>344.61</v>
      </c>
      <c r="H74" s="15" t="n">
        <v>0</v>
      </c>
      <c r="I74" s="15" t="n">
        <v>0</v>
      </c>
      <c r="J74" s="15" t="n">
        <v>75.63</v>
      </c>
      <c r="K74" s="15" t="n">
        <f aca="false">SUM(D74:J74)</f>
        <v>726.83</v>
      </c>
      <c r="L74" s="16" t="n">
        <f aca="false">IFERROR(K74/K$100,0)</f>
        <v>2.19637932567594E-005</v>
      </c>
    </row>
    <row r="75" customFormat="false" ht="15" hidden="false" customHeight="false" outlineLevel="0" collapsed="false">
      <c r="A75" s="3" t="s">
        <v>102</v>
      </c>
      <c r="B75" s="3" t="s">
        <v>2285</v>
      </c>
      <c r="C75" s="3" t="s">
        <v>2286</v>
      </c>
      <c r="D75" s="15" t="n">
        <v>3716.18</v>
      </c>
      <c r="E75" s="15" t="n">
        <v>0</v>
      </c>
      <c r="F75" s="15" t="n">
        <v>0</v>
      </c>
      <c r="G75" s="15" t="n">
        <v>1514.14</v>
      </c>
      <c r="H75" s="15" t="n">
        <v>0</v>
      </c>
      <c r="I75" s="15" t="n">
        <v>0</v>
      </c>
      <c r="J75" s="15" t="n">
        <v>305.58</v>
      </c>
      <c r="K75" s="15" t="n">
        <f aca="false">SUM(D75:J75)</f>
        <v>5535.9</v>
      </c>
      <c r="L75" s="16" t="n">
        <f aca="false">IFERROR(K75/K$100,0)</f>
        <v>0.000167287210338173</v>
      </c>
    </row>
    <row r="76" customFormat="false" ht="15" hidden="false" customHeight="false" outlineLevel="0" collapsed="false">
      <c r="A76" s="3" t="s">
        <v>100</v>
      </c>
      <c r="B76" s="3" t="s">
        <v>2287</v>
      </c>
      <c r="C76" s="3" t="s">
        <v>2288</v>
      </c>
      <c r="D76" s="15" t="n">
        <v>12117.53</v>
      </c>
      <c r="E76" s="15" t="n">
        <v>15091.56</v>
      </c>
      <c r="F76" s="15" t="n">
        <v>44901.11</v>
      </c>
      <c r="G76" s="15" t="n">
        <v>67975.23</v>
      </c>
      <c r="H76" s="15" t="n">
        <v>28525.55</v>
      </c>
      <c r="I76" s="15" t="n">
        <v>45178.56</v>
      </c>
      <c r="J76" s="15" t="n">
        <v>10430.92</v>
      </c>
      <c r="K76" s="15" t="n">
        <f aca="false">SUM(D76:J76)</f>
        <v>224220.46</v>
      </c>
      <c r="L76" s="16" t="n">
        <f aca="false">IFERROR(K76/K$100,0)</f>
        <v>0.00677563092796869</v>
      </c>
    </row>
    <row r="77" customFormat="false" ht="15" hidden="false" customHeight="false" outlineLevel="0" collapsed="false">
      <c r="A77" s="3" t="s">
        <v>100</v>
      </c>
      <c r="B77" s="3" t="s">
        <v>2289</v>
      </c>
      <c r="C77" s="3" t="s">
        <v>2290</v>
      </c>
      <c r="D77" s="15" t="n">
        <v>4038.67</v>
      </c>
      <c r="E77" s="15" t="n">
        <v>5030.1</v>
      </c>
      <c r="F77" s="15" t="n">
        <v>14966.34</v>
      </c>
      <c r="G77" s="15" t="n">
        <v>22657.55</v>
      </c>
      <c r="H77" s="15" t="n">
        <v>9507.86</v>
      </c>
      <c r="I77" s="15" t="n">
        <v>15058.78</v>
      </c>
      <c r="J77" s="15" t="n">
        <v>3476.74</v>
      </c>
      <c r="K77" s="15" t="n">
        <f aca="false">SUM(D77:J77)</f>
        <v>74736.04</v>
      </c>
      <c r="L77" s="16" t="n">
        <f aca="false">IFERROR(K77/K$100,0)</f>
        <v>0.00225841934343505</v>
      </c>
    </row>
    <row r="78" customFormat="false" ht="15" hidden="false" customHeight="false" outlineLevel="0" collapsed="false">
      <c r="A78" s="3" t="s">
        <v>100</v>
      </c>
      <c r="B78" s="3" t="s">
        <v>2291</v>
      </c>
      <c r="C78" s="3" t="s">
        <v>2292</v>
      </c>
      <c r="D78" s="15" t="n">
        <v>2126.5</v>
      </c>
      <c r="E78" s="15" t="n">
        <v>6261.31</v>
      </c>
      <c r="F78" s="15" t="n">
        <v>22577.28</v>
      </c>
      <c r="G78" s="15" t="n">
        <v>39811.22</v>
      </c>
      <c r="H78" s="15" t="n">
        <v>18954.36</v>
      </c>
      <c r="I78" s="15" t="n">
        <v>32574.57</v>
      </c>
      <c r="J78" s="15" t="n">
        <v>8588.59</v>
      </c>
      <c r="K78" s="15" t="n">
        <f aca="false">SUM(D78:J78)</f>
        <v>130893.83</v>
      </c>
      <c r="L78" s="16" t="n">
        <f aca="false">IFERROR(K78/K$100,0)</f>
        <v>0.00395542977134324</v>
      </c>
    </row>
    <row r="79" customFormat="false" ht="15" hidden="false" customHeight="false" outlineLevel="0" collapsed="false">
      <c r="A79" s="3" t="s">
        <v>100</v>
      </c>
      <c r="B79" s="3" t="s">
        <v>2293</v>
      </c>
      <c r="C79" s="3" t="s">
        <v>2294</v>
      </c>
      <c r="D79" s="15" t="n">
        <v>1337246.45</v>
      </c>
      <c r="E79" s="15" t="n">
        <v>1625027.97</v>
      </c>
      <c r="F79" s="15" t="n">
        <v>1652242.19</v>
      </c>
      <c r="G79" s="15" t="n">
        <v>1296219.75</v>
      </c>
      <c r="H79" s="15" t="n">
        <v>914553.73</v>
      </c>
      <c r="I79" s="15" t="n">
        <v>726746.19</v>
      </c>
      <c r="J79" s="15" t="n">
        <v>780700.33</v>
      </c>
      <c r="K79" s="15" t="n">
        <f aca="false">SUM(D79:J79)</f>
        <v>8332736.61</v>
      </c>
      <c r="L79" s="16" t="n">
        <f aca="false">IFERROR(K79/K$100,0)</f>
        <v>0.251803728746846</v>
      </c>
    </row>
    <row r="80" customFormat="false" ht="15" hidden="false" customHeight="false" outlineLevel="0" collapsed="false">
      <c r="A80" s="3" t="s">
        <v>99</v>
      </c>
      <c r="B80" s="3" t="s">
        <v>2295</v>
      </c>
      <c r="C80" s="3" t="s">
        <v>2296</v>
      </c>
      <c r="D80" s="15" t="n">
        <v>0</v>
      </c>
      <c r="E80" s="15" t="n">
        <v>767.76</v>
      </c>
      <c r="F80" s="15" t="n">
        <v>2225.45</v>
      </c>
      <c r="G80" s="15" t="n">
        <v>1752.72</v>
      </c>
      <c r="H80" s="15" t="n">
        <v>2340.65</v>
      </c>
      <c r="I80" s="15" t="n">
        <v>3042.36</v>
      </c>
      <c r="J80" s="15" t="n">
        <v>999.33</v>
      </c>
      <c r="K80" s="15" t="n">
        <f aca="false">SUM(D80:J80)</f>
        <v>11128.27</v>
      </c>
      <c r="L80" s="16" t="n">
        <f aca="false">IFERROR(K80/K$100,0)</f>
        <v>0.00033628086565689</v>
      </c>
    </row>
    <row r="81" customFormat="false" ht="15" hidden="false" customHeight="false" outlineLevel="0" collapsed="false">
      <c r="A81" s="3" t="s">
        <v>99</v>
      </c>
      <c r="B81" s="3" t="s">
        <v>2297</v>
      </c>
      <c r="C81" s="3" t="s">
        <v>2298</v>
      </c>
      <c r="D81" s="15" t="n">
        <v>0</v>
      </c>
      <c r="E81" s="15" t="n">
        <v>0</v>
      </c>
      <c r="F81" s="15" t="n">
        <v>3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f aca="false">SUM(D81:J81)</f>
        <v>3</v>
      </c>
      <c r="L81" s="16" t="n">
        <f aca="false">IFERROR(K81/K$100,0)</f>
        <v>9.0655833923033E-008</v>
      </c>
    </row>
    <row r="82" customFormat="false" ht="15" hidden="false" customHeight="false" outlineLevel="0" collapsed="false">
      <c r="A82" s="3" t="s">
        <v>99</v>
      </c>
      <c r="B82" s="3" t="s">
        <v>2299</v>
      </c>
      <c r="C82" s="3" t="s">
        <v>2300</v>
      </c>
      <c r="D82" s="15" t="n">
        <v>158029.02</v>
      </c>
      <c r="E82" s="15" t="n">
        <v>143062.53</v>
      </c>
      <c r="F82" s="15" t="n">
        <v>138618.84</v>
      </c>
      <c r="G82" s="15" t="n">
        <v>104425.67</v>
      </c>
      <c r="H82" s="15" t="n">
        <v>50156.88</v>
      </c>
      <c r="I82" s="15" t="n">
        <v>44784.41</v>
      </c>
      <c r="J82" s="15" t="n">
        <v>57600.87</v>
      </c>
      <c r="K82" s="15" t="n">
        <f aca="false">SUM(D82:J82)</f>
        <v>696678.22</v>
      </c>
      <c r="L82" s="16" t="n">
        <f aca="false">IFERROR(K82/K$100,0)</f>
        <v>0.0210526483367048</v>
      </c>
    </row>
    <row r="83" customFormat="false" ht="15" hidden="false" customHeight="false" outlineLevel="0" collapsed="false">
      <c r="A83" s="3" t="s">
        <v>99</v>
      </c>
      <c r="B83" s="3" t="s">
        <v>2301</v>
      </c>
      <c r="C83" s="3" t="s">
        <v>2302</v>
      </c>
      <c r="D83" s="15" t="n">
        <v>32496.97</v>
      </c>
      <c r="E83" s="15" t="n">
        <v>91175.3</v>
      </c>
      <c r="F83" s="15" t="n">
        <v>73735.22</v>
      </c>
      <c r="G83" s="15" t="n">
        <v>34228.38</v>
      </c>
      <c r="H83" s="15" t="n">
        <v>21479.81</v>
      </c>
      <c r="I83" s="15" t="n">
        <v>24051.74</v>
      </c>
      <c r="J83" s="15" t="n">
        <v>11409.2</v>
      </c>
      <c r="K83" s="15" t="n">
        <f aca="false">SUM(D83:J83)</f>
        <v>288576.62</v>
      </c>
      <c r="L83" s="16" t="n">
        <f aca="false">IFERROR(K83/K$100,0)</f>
        <v>0.0087203847122634</v>
      </c>
    </row>
    <row r="84" customFormat="false" ht="15" hidden="false" customHeight="false" outlineLevel="0" collapsed="false">
      <c r="A84" s="3" t="s">
        <v>99</v>
      </c>
      <c r="B84" s="3" t="s">
        <v>2303</v>
      </c>
      <c r="C84" s="3" t="s">
        <v>2304</v>
      </c>
      <c r="D84" s="15" t="n">
        <v>169341.45</v>
      </c>
      <c r="E84" s="15" t="n">
        <v>149986.83</v>
      </c>
      <c r="F84" s="15" t="n">
        <v>176126.27</v>
      </c>
      <c r="G84" s="15" t="n">
        <v>48394.7</v>
      </c>
      <c r="H84" s="15" t="n">
        <v>7699.07</v>
      </c>
      <c r="I84" s="15" t="n">
        <v>17341.23</v>
      </c>
      <c r="J84" s="15" t="n">
        <v>75603.87</v>
      </c>
      <c r="K84" s="15" t="n">
        <f aca="false">SUM(D84:J84)</f>
        <v>644493.42</v>
      </c>
      <c r="L84" s="16" t="n">
        <f aca="false">IFERROR(K84/K$100,0)</f>
        <v>0.0194756961493359</v>
      </c>
    </row>
    <row r="85" customFormat="false" ht="15" hidden="false" customHeight="false" outlineLevel="0" collapsed="false">
      <c r="A85" s="3" t="s">
        <v>99</v>
      </c>
      <c r="B85" s="3" t="s">
        <v>2305</v>
      </c>
      <c r="C85" s="3" t="s">
        <v>2306</v>
      </c>
      <c r="D85" s="15" t="n">
        <v>14318.64</v>
      </c>
      <c r="E85" s="15" t="n">
        <v>12913.15</v>
      </c>
      <c r="F85" s="15" t="n">
        <v>10964.89</v>
      </c>
      <c r="G85" s="15" t="n">
        <v>11264.18</v>
      </c>
      <c r="H85" s="15" t="n">
        <v>5040.61</v>
      </c>
      <c r="I85" s="15" t="n">
        <v>5216.5</v>
      </c>
      <c r="J85" s="15" t="n">
        <v>5965.9</v>
      </c>
      <c r="K85" s="15" t="n">
        <f aca="false">SUM(D85:J85)</f>
        <v>65683.87</v>
      </c>
      <c r="L85" s="16" t="n">
        <f aca="false">IFERROR(K85/K$100,0)</f>
        <v>0.00198487533671403</v>
      </c>
    </row>
    <row r="86" customFormat="false" ht="15" hidden="false" customHeight="false" outlineLevel="0" collapsed="false">
      <c r="A86" s="3" t="s">
        <v>99</v>
      </c>
      <c r="B86" s="3" t="s">
        <v>2307</v>
      </c>
      <c r="C86" s="3" t="s">
        <v>2308</v>
      </c>
      <c r="D86" s="15" t="n">
        <v>70250.66</v>
      </c>
      <c r="E86" s="15" t="n">
        <v>65165.3</v>
      </c>
      <c r="F86" s="15" t="n">
        <v>73346.49</v>
      </c>
      <c r="G86" s="15" t="n">
        <v>43777.55</v>
      </c>
      <c r="H86" s="15" t="n">
        <v>19211.09</v>
      </c>
      <c r="I86" s="15" t="n">
        <v>17887.4</v>
      </c>
      <c r="J86" s="15" t="n">
        <v>21779.77</v>
      </c>
      <c r="K86" s="15" t="n">
        <f aca="false">SUM(D86:J86)</f>
        <v>311418.26</v>
      </c>
      <c r="L86" s="16" t="n">
        <f aca="false">IFERROR(K86/K$100,0)</f>
        <v>0.00941062735305331</v>
      </c>
    </row>
    <row r="87" customFormat="false" ht="15" hidden="false" customHeight="false" outlineLevel="0" collapsed="false">
      <c r="A87" s="3" t="s">
        <v>99</v>
      </c>
      <c r="B87" s="3" t="s">
        <v>2309</v>
      </c>
      <c r="C87" s="3" t="s">
        <v>2310</v>
      </c>
      <c r="D87" s="15" t="n">
        <v>24.41</v>
      </c>
      <c r="E87" s="15" t="n">
        <v>112.76</v>
      </c>
      <c r="F87" s="15" t="n">
        <v>249.21</v>
      </c>
      <c r="G87" s="15" t="n">
        <v>31.75</v>
      </c>
      <c r="H87" s="15" t="n">
        <v>0</v>
      </c>
      <c r="I87" s="15" t="n">
        <v>0</v>
      </c>
      <c r="J87" s="15" t="n">
        <v>0.18</v>
      </c>
      <c r="K87" s="15" t="n">
        <f aca="false">SUM(D87:J87)</f>
        <v>418.31</v>
      </c>
      <c r="L87" s="16" t="n">
        <f aca="false">IFERROR(K87/K$100,0)</f>
        <v>1.26407472961146E-005</v>
      </c>
    </row>
    <row r="88" customFormat="false" ht="15" hidden="false" customHeight="false" outlineLevel="0" collapsed="false">
      <c r="A88" s="3" t="s">
        <v>99</v>
      </c>
      <c r="B88" s="3" t="s">
        <v>2311</v>
      </c>
      <c r="C88" s="3" t="s">
        <v>2312</v>
      </c>
      <c r="D88" s="15" t="n">
        <v>73726.84</v>
      </c>
      <c r="E88" s="15" t="n">
        <v>76905.35</v>
      </c>
      <c r="F88" s="15" t="n">
        <v>57087.64</v>
      </c>
      <c r="G88" s="15" t="n">
        <v>51458.63</v>
      </c>
      <c r="H88" s="15" t="n">
        <v>20916.62</v>
      </c>
      <c r="I88" s="15" t="n">
        <v>25478.83</v>
      </c>
      <c r="J88" s="15" t="n">
        <v>40154.3</v>
      </c>
      <c r="K88" s="15" t="n">
        <f aca="false">SUM(D88:J88)</f>
        <v>345728.21</v>
      </c>
      <c r="L88" s="16" t="n">
        <f aca="false">IFERROR(K88/K$100,0)</f>
        <v>0.0104474263960892</v>
      </c>
    </row>
    <row r="89" customFormat="false" ht="15" hidden="false" customHeight="false" outlineLevel="0" collapsed="false">
      <c r="A89" s="3" t="s">
        <v>99</v>
      </c>
      <c r="B89" s="3" t="s">
        <v>2313</v>
      </c>
      <c r="C89" s="3" t="s">
        <v>2314</v>
      </c>
      <c r="D89" s="15" t="n">
        <v>2.05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18.93</v>
      </c>
      <c r="K89" s="15" t="n">
        <f aca="false">SUM(D89:J89)</f>
        <v>20.98</v>
      </c>
      <c r="L89" s="16" t="n">
        <f aca="false">IFERROR(K89/K$100,0)</f>
        <v>6.33986465235078E-007</v>
      </c>
    </row>
    <row r="90" customFormat="false" ht="15" hidden="false" customHeight="false" outlineLevel="0" collapsed="false">
      <c r="A90" s="3" t="s">
        <v>98</v>
      </c>
      <c r="B90" s="3" t="s">
        <v>2315</v>
      </c>
      <c r="C90" s="3" t="s">
        <v>2316</v>
      </c>
      <c r="D90" s="15" t="n">
        <v>2022212.67</v>
      </c>
      <c r="E90" s="15" t="n">
        <v>2443071.07</v>
      </c>
      <c r="F90" s="15" t="n">
        <v>2422589.15</v>
      </c>
      <c r="G90" s="15" t="n">
        <v>2090081.28</v>
      </c>
      <c r="H90" s="15" t="n">
        <v>1557631.74</v>
      </c>
      <c r="I90" s="15" t="n">
        <v>1205817.12</v>
      </c>
      <c r="J90" s="15" t="n">
        <v>1228720.03</v>
      </c>
      <c r="K90" s="15" t="n">
        <f aca="false">SUM(D90:J90)</f>
        <v>12970123.06</v>
      </c>
      <c r="L90" s="16" t="n">
        <f aca="false">IFERROR(K90/K$100,0)</f>
        <v>0.391939107362887</v>
      </c>
    </row>
    <row r="91" customFormat="false" ht="15" hidden="false" customHeight="false" outlineLevel="0" collapsed="false">
      <c r="A91" s="3" t="s">
        <v>98</v>
      </c>
      <c r="B91" s="3" t="s">
        <v>2317</v>
      </c>
      <c r="C91" s="3" t="s">
        <v>2318</v>
      </c>
      <c r="D91" s="15" t="n">
        <v>64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f aca="false">SUM(D91:J91)</f>
        <v>64</v>
      </c>
      <c r="L91" s="16" t="n">
        <f aca="false">IFERROR(K91/K$100,0)</f>
        <v>1.93399112369137E-006</v>
      </c>
    </row>
    <row r="92" customFormat="false" ht="15" hidden="false" customHeight="false" outlineLevel="0" collapsed="false">
      <c r="A92" s="3" t="s">
        <v>98</v>
      </c>
      <c r="B92" s="3" t="s">
        <v>2319</v>
      </c>
      <c r="C92" s="3" t="s">
        <v>2320</v>
      </c>
      <c r="D92" s="15" t="n">
        <v>0.4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f aca="false">SUM(D92:J92)</f>
        <v>0.4</v>
      </c>
      <c r="L92" s="16" t="n">
        <f aca="false">IFERROR(K92/K$100,0)</f>
        <v>1.20874445230711E-008</v>
      </c>
    </row>
    <row r="93" customFormat="false" ht="15" hidden="false" customHeight="false" outlineLevel="0" collapsed="false">
      <c r="A93" s="3" t="s">
        <v>98</v>
      </c>
      <c r="B93" s="3" t="s">
        <v>2321</v>
      </c>
      <c r="C93" s="3" t="s">
        <v>2322</v>
      </c>
      <c r="D93" s="15" t="n">
        <v>415.53</v>
      </c>
      <c r="E93" s="15" t="n">
        <v>2494.95</v>
      </c>
      <c r="F93" s="15" t="n">
        <v>3754.98</v>
      </c>
      <c r="G93" s="15" t="n">
        <v>3278.23</v>
      </c>
      <c r="H93" s="15" t="n">
        <v>130.73</v>
      </c>
      <c r="I93" s="15" t="n">
        <v>523.93</v>
      </c>
      <c r="J93" s="15" t="n">
        <v>90.53</v>
      </c>
      <c r="K93" s="15" t="n">
        <f aca="false">SUM(D93:J93)</f>
        <v>10688.88</v>
      </c>
      <c r="L93" s="16" t="n">
        <f aca="false">IFERROR(K93/K$100,0)</f>
        <v>0.00032300311003441</v>
      </c>
    </row>
    <row r="94" customFormat="false" ht="15" hidden="false" customHeight="false" outlineLevel="0" collapsed="false">
      <c r="A94" s="3" t="s">
        <v>98</v>
      </c>
      <c r="B94" s="3" t="s">
        <v>2323</v>
      </c>
      <c r="C94" s="3" t="s">
        <v>2180</v>
      </c>
      <c r="D94" s="15" t="n">
        <v>0</v>
      </c>
      <c r="E94" s="15" t="n">
        <v>0</v>
      </c>
      <c r="F94" s="15" t="n">
        <v>113.8</v>
      </c>
      <c r="G94" s="15" t="n">
        <v>218.93</v>
      </c>
      <c r="H94" s="15" t="n">
        <v>0</v>
      </c>
      <c r="I94" s="15" t="n">
        <v>0</v>
      </c>
      <c r="J94" s="15" t="n">
        <v>0</v>
      </c>
      <c r="K94" s="15" t="n">
        <f aca="false">SUM(D94:J94)</f>
        <v>332.73</v>
      </c>
      <c r="L94" s="16" t="n">
        <f aca="false">IFERROR(K94/K$100,0)</f>
        <v>1.00546385404036E-005</v>
      </c>
    </row>
    <row r="95" customFormat="false" ht="15" hidden="false" customHeight="false" outlineLevel="0" collapsed="false">
      <c r="A95" s="3" t="s">
        <v>98</v>
      </c>
      <c r="B95" s="3" t="s">
        <v>2324</v>
      </c>
      <c r="C95" s="3" t="s">
        <v>2325</v>
      </c>
      <c r="D95" s="15" t="n">
        <v>0</v>
      </c>
      <c r="E95" s="15" t="n">
        <v>47.67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f aca="false">SUM(D95:J95)</f>
        <v>47.67</v>
      </c>
      <c r="L95" s="16" t="n">
        <f aca="false">IFERROR(K95/K$100,0)</f>
        <v>1.440521201037E-006</v>
      </c>
    </row>
    <row r="96" customFormat="false" ht="15" hidden="false" customHeight="false" outlineLevel="0" collapsed="false">
      <c r="A96" s="3" t="s">
        <v>98</v>
      </c>
      <c r="B96" s="3" t="s">
        <v>2326</v>
      </c>
      <c r="C96" s="3" t="s">
        <v>2327</v>
      </c>
      <c r="D96" s="15" t="n">
        <v>0</v>
      </c>
      <c r="E96" s="15" t="n">
        <v>554.69</v>
      </c>
      <c r="F96" s="15" t="n">
        <v>0</v>
      </c>
      <c r="G96" s="15" t="n">
        <v>0</v>
      </c>
      <c r="H96" s="15" t="n">
        <v>0</v>
      </c>
      <c r="I96" s="15" t="n">
        <v>216.12</v>
      </c>
      <c r="J96" s="15" t="n">
        <v>108.06</v>
      </c>
      <c r="K96" s="15" t="n">
        <f aca="false">SUM(D96:J96)</f>
        <v>878.87</v>
      </c>
      <c r="L96" s="16" t="n">
        <f aca="false">IFERROR(K96/K$100,0)</f>
        <v>2.65582309199787E-005</v>
      </c>
    </row>
    <row r="97" customFormat="false" ht="15" hidden="false" customHeight="false" outlineLevel="0" collapsed="false">
      <c r="A97" s="3" t="s">
        <v>82</v>
      </c>
      <c r="B97" s="3" t="s">
        <v>2328</v>
      </c>
      <c r="C97" s="3" t="s">
        <v>2329</v>
      </c>
      <c r="D97" s="15" t="n">
        <v>437384.54</v>
      </c>
      <c r="E97" s="15" t="n">
        <v>551223.58</v>
      </c>
      <c r="F97" s="15" t="n">
        <v>550120.62818</v>
      </c>
      <c r="G97" s="15" t="n">
        <v>426144.76734</v>
      </c>
      <c r="H97" s="15" t="n">
        <v>327118.34</v>
      </c>
      <c r="I97" s="15" t="n">
        <v>253145.29</v>
      </c>
      <c r="J97" s="15" t="n">
        <v>273853.22</v>
      </c>
      <c r="K97" s="15" t="n">
        <f aca="false">SUM(D97:J97)</f>
        <v>2818990.36552</v>
      </c>
      <c r="L97" s="16" t="n">
        <f aca="false">IFERROR(K97/K$100,0)</f>
        <v>0.0851859741357371</v>
      </c>
    </row>
    <row r="98" customFormat="false" ht="15" hidden="false" customHeight="false" outlineLevel="0" collapsed="false">
      <c r="A98" s="3" t="s">
        <v>82</v>
      </c>
      <c r="B98" s="3" t="s">
        <v>2328</v>
      </c>
      <c r="C98" s="3" t="s">
        <v>2330</v>
      </c>
      <c r="D98" s="15" t="n">
        <v>734140.84</v>
      </c>
      <c r="E98" s="15" t="n">
        <v>913025.4481</v>
      </c>
      <c r="F98" s="15" t="n">
        <v>906753.332360462</v>
      </c>
      <c r="G98" s="15" t="n">
        <v>700909.909564906</v>
      </c>
      <c r="H98" s="15" t="n">
        <v>534601.08448</v>
      </c>
      <c r="I98" s="15" t="n">
        <v>409080.39824</v>
      </c>
      <c r="J98" s="15" t="n">
        <v>528116.430568</v>
      </c>
      <c r="K98" s="15" t="n">
        <f aca="false">SUM(D98:J98)</f>
        <v>4726627.44331337</v>
      </c>
      <c r="L98" s="16" t="n">
        <f aca="false">IFERROR(K98/K$100,0)</f>
        <v>0.142832117505689</v>
      </c>
    </row>
    <row r="100" customFormat="false" ht="15" hidden="false" customHeight="false" outlineLevel="0" collapsed="false">
      <c r="A100" s="17" t="s">
        <v>197</v>
      </c>
      <c r="B100" s="29"/>
      <c r="C100" s="29"/>
      <c r="D100" s="18" t="n">
        <f aca="false">SUM(D5:D98)</f>
        <v>5181417.29</v>
      </c>
      <c r="E100" s="18" t="n">
        <f aca="false">SUM(E5:E98)</f>
        <v>6501329.9781</v>
      </c>
      <c r="F100" s="18" t="n">
        <f aca="false">SUM(F5:F98)</f>
        <v>6431995.76054046</v>
      </c>
      <c r="G100" s="18" t="n">
        <f aca="false">SUM(G5:G98)</f>
        <v>4999516.92690491</v>
      </c>
      <c r="H100" s="18" t="n">
        <f aca="false">SUM(H5:H98)</f>
        <v>3768555.69448</v>
      </c>
      <c r="I100" s="18" t="n">
        <f aca="false">SUM(I5:I98)</f>
        <v>3008975.11824</v>
      </c>
      <c r="J100" s="18" t="n">
        <f aca="false">SUM(J5:J98)</f>
        <v>3200398.340568</v>
      </c>
      <c r="K100" s="18" t="n">
        <f aca="false">SUM(K5:K98)</f>
        <v>33092189.1088334</v>
      </c>
    </row>
  </sheetData>
  <autoFilter ref="A4:L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F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9" t="s">
        <v>2331</v>
      </c>
    </row>
    <row r="2" customFormat="false" ht="15" hidden="false" customHeight="false" outlineLevel="0" collapsed="false">
      <c r="A2" s="7" t="s">
        <v>2332</v>
      </c>
    </row>
    <row r="4" customFormat="false" ht="25.5" hidden="false" customHeight="true" outlineLevel="0" collapsed="false">
      <c r="A4" s="13" t="s">
        <v>2333</v>
      </c>
      <c r="B4" s="13" t="s">
        <v>2149</v>
      </c>
      <c r="C4" s="13" t="s">
        <v>2150</v>
      </c>
      <c r="D4" s="13" t="s">
        <v>88</v>
      </c>
      <c r="E4" s="14" t="s">
        <v>2334</v>
      </c>
      <c r="F4" s="14" t="s">
        <v>2335</v>
      </c>
    </row>
    <row r="5" customFormat="false" ht="15" hidden="false" customHeight="false" outlineLevel="0" collapsed="false">
      <c r="A5" s="3" t="s">
        <v>2336</v>
      </c>
      <c r="B5" s="3" t="s">
        <v>2151</v>
      </c>
      <c r="C5" s="3" t="s">
        <v>2152</v>
      </c>
      <c r="D5" s="39" t="s">
        <v>101</v>
      </c>
      <c r="E5" s="15" t="n">
        <v>517.61</v>
      </c>
      <c r="F5" s="3" t="n">
        <v>6</v>
      </c>
    </row>
    <row r="6" customFormat="false" ht="15" hidden="false" customHeight="false" outlineLevel="0" collapsed="false">
      <c r="A6" s="3" t="s">
        <v>2337</v>
      </c>
      <c r="B6" s="3" t="s">
        <v>2153</v>
      </c>
      <c r="C6" s="3" t="s">
        <v>2154</v>
      </c>
      <c r="D6" s="39" t="s">
        <v>101</v>
      </c>
      <c r="E6" s="15" t="n">
        <v>356.04</v>
      </c>
      <c r="F6" s="3" t="n">
        <v>7</v>
      </c>
    </row>
    <row r="7" customFormat="false" ht="15" hidden="false" customHeight="false" outlineLevel="0" collapsed="false">
      <c r="A7" s="3" t="s">
        <v>2338</v>
      </c>
      <c r="B7" s="3" t="s">
        <v>2155</v>
      </c>
      <c r="C7" s="3" t="s">
        <v>2156</v>
      </c>
      <c r="D7" s="39" t="s">
        <v>101</v>
      </c>
      <c r="E7" s="15" t="n">
        <v>1680909.69</v>
      </c>
      <c r="F7" s="3" t="n">
        <v>4591</v>
      </c>
    </row>
    <row r="8" customFormat="false" ht="15" hidden="false" customHeight="false" outlineLevel="0" collapsed="false">
      <c r="A8" s="3" t="s">
        <v>2339</v>
      </c>
      <c r="B8" s="3" t="s">
        <v>2157</v>
      </c>
      <c r="C8" s="3" t="s">
        <v>2158</v>
      </c>
      <c r="D8" s="39" t="s">
        <v>101</v>
      </c>
      <c r="E8" s="15" t="n">
        <v>1084950.39</v>
      </c>
      <c r="F8" s="3" t="n">
        <v>1647</v>
      </c>
    </row>
    <row r="9" customFormat="false" ht="15" hidden="false" customHeight="false" outlineLevel="0" collapsed="false">
      <c r="A9" s="3" t="s">
        <v>2340</v>
      </c>
      <c r="B9" s="3" t="s">
        <v>2159</v>
      </c>
      <c r="C9" s="3" t="s">
        <v>2160</v>
      </c>
      <c r="D9" s="39" t="s">
        <v>101</v>
      </c>
      <c r="E9" s="15" t="n">
        <v>110</v>
      </c>
      <c r="F9" s="3" t="n">
        <v>2</v>
      </c>
    </row>
    <row r="10" customFormat="false" ht="15" hidden="false" customHeight="false" outlineLevel="0" collapsed="false">
      <c r="A10" s="3" t="s">
        <v>2341</v>
      </c>
      <c r="B10" s="3" t="s">
        <v>2159</v>
      </c>
      <c r="C10" s="3" t="s">
        <v>2161</v>
      </c>
      <c r="D10" s="39" t="s">
        <v>101</v>
      </c>
      <c r="E10" s="15" t="n">
        <v>214283.72</v>
      </c>
      <c r="F10" s="3" t="n">
        <v>1165</v>
      </c>
    </row>
    <row r="11" customFormat="false" ht="15" hidden="false" customHeight="false" outlineLevel="0" collapsed="false">
      <c r="A11" s="3" t="s">
        <v>2342</v>
      </c>
      <c r="B11" s="3" t="s">
        <v>2159</v>
      </c>
      <c r="C11" s="3" t="s">
        <v>2162</v>
      </c>
      <c r="D11" s="39" t="s">
        <v>101</v>
      </c>
      <c r="E11" s="15" t="n">
        <v>42410.2</v>
      </c>
      <c r="F11" s="3" t="n">
        <v>230</v>
      </c>
    </row>
    <row r="12" customFormat="false" ht="15" hidden="false" customHeight="false" outlineLevel="0" collapsed="false">
      <c r="A12" s="3" t="s">
        <v>2343</v>
      </c>
      <c r="B12" s="3" t="s">
        <v>2163</v>
      </c>
      <c r="C12" s="3" t="s">
        <v>2164</v>
      </c>
      <c r="D12" s="39" t="s">
        <v>101</v>
      </c>
      <c r="E12" s="15" t="n">
        <v>532.2</v>
      </c>
      <c r="F12" s="3" t="n">
        <v>8</v>
      </c>
    </row>
    <row r="13" customFormat="false" ht="15" hidden="false" customHeight="false" outlineLevel="0" collapsed="false">
      <c r="A13" s="3" t="s">
        <v>2344</v>
      </c>
      <c r="B13" s="3" t="s">
        <v>2163</v>
      </c>
      <c r="C13" s="3" t="s">
        <v>2165</v>
      </c>
      <c r="D13" s="39" t="s">
        <v>101</v>
      </c>
      <c r="E13" s="15" t="n">
        <v>90</v>
      </c>
      <c r="F13" s="3" t="n">
        <v>1</v>
      </c>
    </row>
    <row r="14" customFormat="false" ht="15" hidden="false" customHeight="false" outlineLevel="0" collapsed="false">
      <c r="A14" s="3" t="s">
        <v>2345</v>
      </c>
      <c r="B14" s="3" t="s">
        <v>2163</v>
      </c>
      <c r="C14" s="3" t="s">
        <v>2166</v>
      </c>
      <c r="D14" s="39" t="s">
        <v>101</v>
      </c>
      <c r="E14" s="15" t="n">
        <v>781</v>
      </c>
      <c r="F14" s="3" t="n">
        <v>12</v>
      </c>
    </row>
    <row r="15" customFormat="false" ht="15" hidden="false" customHeight="false" outlineLevel="0" collapsed="false">
      <c r="A15" s="3" t="s">
        <v>2346</v>
      </c>
      <c r="B15" s="3" t="s">
        <v>2167</v>
      </c>
      <c r="C15" s="3" t="s">
        <v>2168</v>
      </c>
      <c r="D15" s="39" t="s">
        <v>103</v>
      </c>
      <c r="E15" s="15" t="n">
        <v>-4058.4</v>
      </c>
      <c r="F15" s="3" t="n">
        <v>3</v>
      </c>
    </row>
    <row r="16" customFormat="false" ht="15" hidden="false" customHeight="false" outlineLevel="0" collapsed="false">
      <c r="A16" s="3" t="s">
        <v>2347</v>
      </c>
      <c r="B16" s="3" t="s">
        <v>2169</v>
      </c>
      <c r="C16" s="3" t="s">
        <v>2170</v>
      </c>
      <c r="D16" s="39" t="s">
        <v>103</v>
      </c>
      <c r="E16" s="15" t="n">
        <v>-299.37</v>
      </c>
      <c r="F16" s="3" t="n">
        <v>2</v>
      </c>
    </row>
    <row r="17" customFormat="false" ht="15" hidden="false" customHeight="false" outlineLevel="0" collapsed="false">
      <c r="A17" s="3" t="s">
        <v>2348</v>
      </c>
      <c r="B17" s="3" t="s">
        <v>2171</v>
      </c>
      <c r="C17" s="3" t="s">
        <v>2172</v>
      </c>
      <c r="D17" s="39" t="s">
        <v>103</v>
      </c>
      <c r="E17" s="15" t="n">
        <v>-9939.72</v>
      </c>
      <c r="F17" s="3" t="n">
        <v>6</v>
      </c>
    </row>
    <row r="18" customFormat="false" ht="15" hidden="false" customHeight="false" outlineLevel="0" collapsed="false">
      <c r="A18" s="3" t="s">
        <v>2349</v>
      </c>
      <c r="B18" s="3" t="s">
        <v>2173</v>
      </c>
      <c r="C18" s="3" t="s">
        <v>2174</v>
      </c>
      <c r="D18" s="39" t="s">
        <v>103</v>
      </c>
      <c r="E18" s="15" t="n">
        <v>-3394.03</v>
      </c>
      <c r="F18" s="3" t="n">
        <v>3</v>
      </c>
    </row>
    <row r="19" customFormat="false" ht="15" hidden="false" customHeight="false" outlineLevel="0" collapsed="false">
      <c r="A19" s="3" t="s">
        <v>2350</v>
      </c>
      <c r="B19" s="3" t="s">
        <v>2175</v>
      </c>
      <c r="C19" s="3" t="s">
        <v>2176</v>
      </c>
      <c r="D19" s="39" t="s">
        <v>103</v>
      </c>
      <c r="E19" s="15" t="n">
        <v>-87481.1</v>
      </c>
      <c r="F19" s="3" t="n">
        <v>3348</v>
      </c>
    </row>
    <row r="20" customFormat="false" ht="15" hidden="false" customHeight="false" outlineLevel="0" collapsed="false">
      <c r="A20" s="3" t="s">
        <v>2351</v>
      </c>
      <c r="B20" s="3" t="s">
        <v>2177</v>
      </c>
      <c r="C20" s="3" t="s">
        <v>2178</v>
      </c>
      <c r="D20" s="39" t="s">
        <v>103</v>
      </c>
      <c r="E20" s="15" t="n">
        <v>-418849.11</v>
      </c>
      <c r="F20" s="3" t="n">
        <v>1625</v>
      </c>
    </row>
    <row r="21" customFormat="false" ht="15" hidden="false" customHeight="false" outlineLevel="0" collapsed="false">
      <c r="A21" s="3" t="s">
        <v>2352</v>
      </c>
      <c r="B21" s="3" t="s">
        <v>2179</v>
      </c>
      <c r="C21" s="3" t="s">
        <v>2180</v>
      </c>
      <c r="D21" s="39" t="s">
        <v>103</v>
      </c>
      <c r="E21" s="15" t="n">
        <v>-177371.09</v>
      </c>
      <c r="F21" s="3" t="n">
        <v>1130</v>
      </c>
    </row>
    <row r="22" customFormat="false" ht="15" hidden="false" customHeight="false" outlineLevel="0" collapsed="false">
      <c r="A22" s="3" t="s">
        <v>2353</v>
      </c>
      <c r="B22" s="3" t="s">
        <v>2181</v>
      </c>
      <c r="C22" s="3" t="s">
        <v>2182</v>
      </c>
      <c r="D22" s="39" t="s">
        <v>103</v>
      </c>
      <c r="E22" s="15" t="n">
        <v>-29297.9</v>
      </c>
      <c r="F22" s="3" t="n">
        <v>16</v>
      </c>
    </row>
    <row r="23" customFormat="false" ht="15" hidden="false" customHeight="false" outlineLevel="0" collapsed="false">
      <c r="A23" s="3" t="s">
        <v>2354</v>
      </c>
      <c r="B23" s="3" t="s">
        <v>2183</v>
      </c>
      <c r="C23" s="3" t="s">
        <v>2184</v>
      </c>
      <c r="D23" s="39" t="s">
        <v>103</v>
      </c>
      <c r="E23" s="15" t="n">
        <v>-1227831.28</v>
      </c>
      <c r="F23" s="3" t="n">
        <v>281</v>
      </c>
    </row>
    <row r="24" customFormat="false" ht="15" hidden="false" customHeight="false" outlineLevel="0" collapsed="false">
      <c r="A24" s="3" t="s">
        <v>2355</v>
      </c>
      <c r="B24" s="3" t="s">
        <v>2185</v>
      </c>
      <c r="C24" s="3" t="s">
        <v>2186</v>
      </c>
      <c r="D24" s="39" t="s">
        <v>103</v>
      </c>
      <c r="E24" s="15" t="n">
        <v>-200479.1</v>
      </c>
      <c r="F24" s="3" t="n">
        <v>1414</v>
      </c>
    </row>
    <row r="25" customFormat="false" ht="15" hidden="false" customHeight="false" outlineLevel="0" collapsed="false">
      <c r="A25" s="3" t="s">
        <v>2356</v>
      </c>
      <c r="B25" s="3" t="s">
        <v>2187</v>
      </c>
      <c r="C25" s="3" t="s">
        <v>2188</v>
      </c>
      <c r="D25" s="39" t="s">
        <v>103</v>
      </c>
      <c r="E25" s="15" t="n">
        <v>-603325.85</v>
      </c>
      <c r="F25" s="3" t="n">
        <v>4594</v>
      </c>
    </row>
    <row r="26" customFormat="false" ht="15" hidden="false" customHeight="false" outlineLevel="0" collapsed="false">
      <c r="A26" s="3" t="s">
        <v>2357</v>
      </c>
      <c r="B26" s="3" t="s">
        <v>2189</v>
      </c>
      <c r="C26" s="3" t="s">
        <v>2190</v>
      </c>
      <c r="D26" s="39" t="s">
        <v>103</v>
      </c>
      <c r="E26" s="15" t="n">
        <v>-244.88</v>
      </c>
      <c r="F26" s="3" t="n">
        <v>3</v>
      </c>
    </row>
    <row r="27" customFormat="false" ht="15" hidden="false" customHeight="false" outlineLevel="0" collapsed="false">
      <c r="A27" s="3" t="s">
        <v>2358</v>
      </c>
      <c r="B27" s="3" t="s">
        <v>2191</v>
      </c>
      <c r="C27" s="3" t="s">
        <v>2192</v>
      </c>
      <c r="D27" s="39" t="s">
        <v>103</v>
      </c>
      <c r="E27" s="15" t="n">
        <v>-82968.16</v>
      </c>
      <c r="F27" s="3" t="n">
        <v>3667</v>
      </c>
    </row>
    <row r="28" customFormat="false" ht="15" hidden="false" customHeight="false" outlineLevel="0" collapsed="false">
      <c r="A28" s="3" t="s">
        <v>2359</v>
      </c>
      <c r="B28" s="3" t="s">
        <v>2193</v>
      </c>
      <c r="C28" s="3" t="s">
        <v>2194</v>
      </c>
      <c r="D28" s="39" t="s">
        <v>103</v>
      </c>
      <c r="E28" s="15" t="n">
        <v>-77630.44</v>
      </c>
      <c r="F28" s="3" t="n">
        <v>412</v>
      </c>
    </row>
    <row r="29" customFormat="false" ht="15" hidden="false" customHeight="false" outlineLevel="0" collapsed="false">
      <c r="A29" s="3" t="s">
        <v>2360</v>
      </c>
      <c r="B29" s="3" t="s">
        <v>2195</v>
      </c>
      <c r="C29" s="3" t="s">
        <v>2196</v>
      </c>
      <c r="D29" s="39" t="s">
        <v>103</v>
      </c>
      <c r="E29" s="15" t="n">
        <v>-105185.92</v>
      </c>
      <c r="F29" s="3" t="n">
        <v>1613</v>
      </c>
    </row>
    <row r="30" customFormat="false" ht="15" hidden="false" customHeight="false" outlineLevel="0" collapsed="false">
      <c r="A30" s="3" t="s">
        <v>2361</v>
      </c>
      <c r="B30" s="3" t="s">
        <v>2197</v>
      </c>
      <c r="C30" s="3" t="s">
        <v>2198</v>
      </c>
      <c r="D30" s="39" t="s">
        <v>103</v>
      </c>
      <c r="E30" s="15" t="n">
        <v>-661.3</v>
      </c>
      <c r="F30" s="3" t="n">
        <v>4</v>
      </c>
    </row>
    <row r="31" customFormat="false" ht="15" hidden="false" customHeight="false" outlineLevel="0" collapsed="false">
      <c r="A31" s="3" t="s">
        <v>2362</v>
      </c>
      <c r="B31" s="3" t="s">
        <v>2199</v>
      </c>
      <c r="C31" s="3" t="s">
        <v>2200</v>
      </c>
      <c r="D31" s="39" t="s">
        <v>102</v>
      </c>
      <c r="E31" s="15" t="n">
        <v>17000</v>
      </c>
      <c r="F31" s="3" t="n">
        <v>17</v>
      </c>
    </row>
    <row r="32" customFormat="false" ht="15" hidden="false" customHeight="false" outlineLevel="0" collapsed="false">
      <c r="A32" s="3" t="s">
        <v>2363</v>
      </c>
      <c r="B32" s="3" t="s">
        <v>2201</v>
      </c>
      <c r="C32" s="3" t="s">
        <v>2202</v>
      </c>
      <c r="D32" s="39" t="s">
        <v>102</v>
      </c>
      <c r="E32" s="15" t="n">
        <v>9939.72</v>
      </c>
      <c r="F32" s="3" t="n">
        <v>6</v>
      </c>
    </row>
    <row r="33" customFormat="false" ht="15" hidden="false" customHeight="false" outlineLevel="0" collapsed="false">
      <c r="A33" s="3" t="s">
        <v>2364</v>
      </c>
      <c r="B33" s="3" t="s">
        <v>2203</v>
      </c>
      <c r="C33" s="3" t="s">
        <v>2204</v>
      </c>
      <c r="D33" s="39" t="s">
        <v>102</v>
      </c>
      <c r="E33" s="15" t="n">
        <v>1849.41</v>
      </c>
      <c r="F33" s="3" t="n">
        <v>2</v>
      </c>
    </row>
    <row r="34" customFormat="false" ht="15" hidden="false" customHeight="false" outlineLevel="0" collapsed="false">
      <c r="A34" s="3" t="s">
        <v>2365</v>
      </c>
      <c r="B34" s="3" t="s">
        <v>2205</v>
      </c>
      <c r="C34" s="3" t="s">
        <v>2206</v>
      </c>
      <c r="D34" s="39" t="s">
        <v>102</v>
      </c>
      <c r="E34" s="15" t="n">
        <v>733223.65</v>
      </c>
      <c r="F34" s="3" t="n">
        <v>322</v>
      </c>
    </row>
    <row r="35" customFormat="false" ht="15" hidden="false" customHeight="false" outlineLevel="0" collapsed="false">
      <c r="A35" s="3" t="s">
        <v>2366</v>
      </c>
      <c r="B35" s="3" t="s">
        <v>2207</v>
      </c>
      <c r="C35" s="3" t="s">
        <v>2208</v>
      </c>
      <c r="D35" s="39" t="s">
        <v>102</v>
      </c>
      <c r="E35" s="15" t="n">
        <v>996.8</v>
      </c>
      <c r="F35" s="3" t="n">
        <v>1</v>
      </c>
    </row>
    <row r="36" customFormat="false" ht="15" hidden="false" customHeight="false" outlineLevel="0" collapsed="false">
      <c r="A36" s="3" t="s">
        <v>2367</v>
      </c>
      <c r="B36" s="3" t="s">
        <v>2209</v>
      </c>
      <c r="C36" s="3" t="s">
        <v>2210</v>
      </c>
      <c r="D36" s="39" t="s">
        <v>102</v>
      </c>
      <c r="E36" s="15" t="n">
        <v>188.57</v>
      </c>
      <c r="F36" s="3" t="n">
        <v>2</v>
      </c>
    </row>
    <row r="37" customFormat="false" ht="15" hidden="false" customHeight="false" outlineLevel="0" collapsed="false">
      <c r="A37" s="3" t="s">
        <v>2368</v>
      </c>
      <c r="B37" s="3" t="s">
        <v>2209</v>
      </c>
      <c r="C37" s="3" t="s">
        <v>2211</v>
      </c>
      <c r="D37" s="39" t="s">
        <v>102</v>
      </c>
      <c r="E37" s="15" t="n">
        <v>1531.84</v>
      </c>
      <c r="F37" s="3" t="n">
        <v>17</v>
      </c>
    </row>
    <row r="38" customFormat="false" ht="15" hidden="false" customHeight="false" outlineLevel="0" collapsed="false">
      <c r="A38" s="3" t="s">
        <v>2369</v>
      </c>
      <c r="B38" s="3" t="s">
        <v>2212</v>
      </c>
      <c r="C38" s="3" t="s">
        <v>2213</v>
      </c>
      <c r="D38" s="39" t="s">
        <v>102</v>
      </c>
      <c r="E38" s="15" t="n">
        <v>32371.31</v>
      </c>
      <c r="F38" s="3" t="n">
        <v>153</v>
      </c>
    </row>
    <row r="39" customFormat="false" ht="15" hidden="false" customHeight="false" outlineLevel="0" collapsed="false">
      <c r="A39" s="3" t="s">
        <v>2370</v>
      </c>
      <c r="B39" s="3" t="s">
        <v>2214</v>
      </c>
      <c r="C39" s="3" t="s">
        <v>2215</v>
      </c>
      <c r="D39" s="39" t="s">
        <v>102</v>
      </c>
      <c r="E39" s="15" t="n">
        <v>9396.5</v>
      </c>
      <c r="F39" s="3" t="n">
        <v>10</v>
      </c>
    </row>
    <row r="40" customFormat="false" ht="15" hidden="false" customHeight="false" outlineLevel="0" collapsed="false">
      <c r="A40" s="3" t="s">
        <v>2371</v>
      </c>
      <c r="B40" s="3" t="s">
        <v>2216</v>
      </c>
      <c r="C40" s="3" t="s">
        <v>2217</v>
      </c>
      <c r="D40" s="39" t="s">
        <v>102</v>
      </c>
      <c r="E40" s="15" t="n">
        <v>47878.3</v>
      </c>
      <c r="F40" s="3" t="n">
        <v>1878</v>
      </c>
    </row>
    <row r="41" customFormat="false" ht="15" hidden="false" customHeight="false" outlineLevel="0" collapsed="false">
      <c r="A41" s="3" t="s">
        <v>2372</v>
      </c>
      <c r="B41" s="3" t="s">
        <v>2218</v>
      </c>
      <c r="C41" s="3" t="s">
        <v>2219</v>
      </c>
      <c r="D41" s="39" t="s">
        <v>102</v>
      </c>
      <c r="E41" s="15" t="n">
        <v>828.28</v>
      </c>
      <c r="F41" s="3" t="n">
        <v>1</v>
      </c>
    </row>
    <row r="42" customFormat="false" ht="15" hidden="false" customHeight="false" outlineLevel="0" collapsed="false">
      <c r="A42" s="3" t="s">
        <v>2373</v>
      </c>
      <c r="B42" s="3" t="s">
        <v>2220</v>
      </c>
      <c r="C42" s="3" t="s">
        <v>2221</v>
      </c>
      <c r="D42" s="39" t="s">
        <v>102</v>
      </c>
      <c r="E42" s="15" t="n">
        <v>1829.96</v>
      </c>
      <c r="F42" s="3" t="n">
        <v>3</v>
      </c>
    </row>
    <row r="43" customFormat="false" ht="15" hidden="false" customHeight="false" outlineLevel="0" collapsed="false">
      <c r="A43" s="3" t="s">
        <v>2374</v>
      </c>
      <c r="B43" s="3" t="s">
        <v>2222</v>
      </c>
      <c r="C43" s="3" t="s">
        <v>2223</v>
      </c>
      <c r="D43" s="39" t="s">
        <v>102</v>
      </c>
      <c r="E43" s="15" t="n">
        <v>346</v>
      </c>
      <c r="F43" s="3" t="n">
        <v>3</v>
      </c>
    </row>
    <row r="44" customFormat="false" ht="15" hidden="false" customHeight="false" outlineLevel="0" collapsed="false">
      <c r="A44" s="3" t="s">
        <v>2375</v>
      </c>
      <c r="B44" s="3" t="s">
        <v>2224</v>
      </c>
      <c r="C44" s="3" t="s">
        <v>2225</v>
      </c>
      <c r="D44" s="39" t="s">
        <v>102</v>
      </c>
      <c r="E44" s="15" t="n">
        <v>1278</v>
      </c>
      <c r="F44" s="3" t="n">
        <v>21</v>
      </c>
    </row>
    <row r="45" customFormat="false" ht="15" hidden="false" customHeight="false" outlineLevel="0" collapsed="false">
      <c r="A45" s="3" t="s">
        <v>2376</v>
      </c>
      <c r="B45" s="3" t="s">
        <v>2226</v>
      </c>
      <c r="C45" s="3" t="s">
        <v>2227</v>
      </c>
      <c r="D45" s="39" t="s">
        <v>102</v>
      </c>
      <c r="E45" s="15" t="n">
        <v>14100</v>
      </c>
      <c r="F45" s="3" t="n">
        <v>700</v>
      </c>
    </row>
    <row r="46" customFormat="false" ht="15" hidden="false" customHeight="false" outlineLevel="0" collapsed="false">
      <c r="A46" s="3" t="s">
        <v>2377</v>
      </c>
      <c r="B46" s="3" t="s">
        <v>2228</v>
      </c>
      <c r="C46" s="3" t="s">
        <v>2229</v>
      </c>
      <c r="D46" s="39" t="s">
        <v>102</v>
      </c>
      <c r="E46" s="15" t="n">
        <v>400</v>
      </c>
      <c r="F46" s="3" t="n">
        <v>2</v>
      </c>
    </row>
    <row r="47" customFormat="false" ht="15" hidden="false" customHeight="false" outlineLevel="0" collapsed="false">
      <c r="A47" s="3" t="s">
        <v>2378</v>
      </c>
      <c r="B47" s="3" t="s">
        <v>2230</v>
      </c>
      <c r="C47" s="3" t="s">
        <v>2231</v>
      </c>
      <c r="D47" s="39" t="s">
        <v>102</v>
      </c>
      <c r="E47" s="15" t="n">
        <v>323.3</v>
      </c>
      <c r="F47" s="3" t="n">
        <v>2</v>
      </c>
    </row>
    <row r="48" customFormat="false" ht="15" hidden="false" customHeight="false" outlineLevel="0" collapsed="false">
      <c r="A48" s="3" t="s">
        <v>2379</v>
      </c>
      <c r="B48" s="3" t="s">
        <v>2232</v>
      </c>
      <c r="C48" s="3" t="s">
        <v>2200</v>
      </c>
      <c r="D48" s="39" t="s">
        <v>102</v>
      </c>
      <c r="E48" s="15" t="n">
        <v>83000</v>
      </c>
      <c r="F48" s="3" t="n">
        <v>58</v>
      </c>
    </row>
    <row r="49" customFormat="false" ht="15" hidden="false" customHeight="false" outlineLevel="0" collapsed="false">
      <c r="A49" s="3" t="s">
        <v>2380</v>
      </c>
      <c r="B49" s="3" t="s">
        <v>2233</v>
      </c>
      <c r="C49" s="3" t="s">
        <v>2234</v>
      </c>
      <c r="D49" s="39" t="s">
        <v>102</v>
      </c>
      <c r="E49" s="15" t="n">
        <v>13879.74</v>
      </c>
      <c r="F49" s="3" t="n">
        <v>1077</v>
      </c>
    </row>
    <row r="50" customFormat="false" ht="15" hidden="false" customHeight="false" outlineLevel="0" collapsed="false">
      <c r="A50" s="3" t="s">
        <v>2381</v>
      </c>
      <c r="B50" s="3" t="s">
        <v>2235</v>
      </c>
      <c r="C50" s="3" t="s">
        <v>2236</v>
      </c>
      <c r="D50" s="39" t="s">
        <v>102</v>
      </c>
      <c r="E50" s="15" t="n">
        <v>777.36</v>
      </c>
      <c r="F50" s="3" t="n">
        <v>50</v>
      </c>
    </row>
    <row r="51" customFormat="false" ht="15" hidden="false" customHeight="false" outlineLevel="0" collapsed="false">
      <c r="A51" s="3" t="s">
        <v>2382</v>
      </c>
      <c r="B51" s="3" t="s">
        <v>2237</v>
      </c>
      <c r="C51" s="3" t="s">
        <v>2238</v>
      </c>
      <c r="D51" s="39" t="s">
        <v>102</v>
      </c>
      <c r="E51" s="15" t="n">
        <v>115976.34</v>
      </c>
      <c r="F51" s="3" t="n">
        <v>1020</v>
      </c>
    </row>
    <row r="52" customFormat="false" ht="15" hidden="false" customHeight="false" outlineLevel="0" collapsed="false">
      <c r="A52" s="3" t="s">
        <v>2383</v>
      </c>
      <c r="B52" s="3" t="s">
        <v>2239</v>
      </c>
      <c r="C52" s="3" t="s">
        <v>2240</v>
      </c>
      <c r="D52" s="39" t="s">
        <v>102</v>
      </c>
      <c r="E52" s="15" t="n">
        <v>4700.9</v>
      </c>
      <c r="F52" s="3" t="n">
        <v>137</v>
      </c>
    </row>
    <row r="53" customFormat="false" ht="15" hidden="false" customHeight="false" outlineLevel="0" collapsed="false">
      <c r="A53" s="3" t="s">
        <v>2384</v>
      </c>
      <c r="B53" s="3" t="s">
        <v>2241</v>
      </c>
      <c r="C53" s="3" t="s">
        <v>2242</v>
      </c>
      <c r="D53" s="39" t="s">
        <v>102</v>
      </c>
      <c r="E53" s="15" t="n">
        <v>211.5</v>
      </c>
      <c r="F53" s="3" t="n">
        <v>6</v>
      </c>
    </row>
    <row r="54" customFormat="false" ht="15" hidden="false" customHeight="false" outlineLevel="0" collapsed="false">
      <c r="A54" s="3" t="s">
        <v>2385</v>
      </c>
      <c r="B54" s="3" t="s">
        <v>2243</v>
      </c>
      <c r="C54" s="3" t="s">
        <v>2244</v>
      </c>
      <c r="D54" s="39" t="s">
        <v>102</v>
      </c>
      <c r="E54" s="15" t="n">
        <v>2752.24</v>
      </c>
      <c r="F54" s="3" t="n">
        <v>97</v>
      </c>
    </row>
    <row r="55" customFormat="false" ht="15" hidden="false" customHeight="false" outlineLevel="0" collapsed="false">
      <c r="A55" s="3" t="s">
        <v>2386</v>
      </c>
      <c r="B55" s="3" t="s">
        <v>2245</v>
      </c>
      <c r="C55" s="3" t="s">
        <v>2246</v>
      </c>
      <c r="D55" s="39" t="s">
        <v>102</v>
      </c>
      <c r="E55" s="15" t="n">
        <v>3835.5</v>
      </c>
      <c r="F55" s="3" t="n">
        <v>123</v>
      </c>
    </row>
    <row r="56" customFormat="false" ht="15" hidden="false" customHeight="false" outlineLevel="0" collapsed="false">
      <c r="A56" s="3" t="s">
        <v>2387</v>
      </c>
      <c r="B56" s="3" t="s">
        <v>2247</v>
      </c>
      <c r="C56" s="3" t="s">
        <v>2248</v>
      </c>
      <c r="D56" s="39" t="s">
        <v>102</v>
      </c>
      <c r="E56" s="15" t="n">
        <v>113637.66</v>
      </c>
      <c r="F56" s="3" t="n">
        <v>305</v>
      </c>
    </row>
    <row r="57" customFormat="false" ht="15" hidden="false" customHeight="false" outlineLevel="0" collapsed="false">
      <c r="A57" s="3" t="s">
        <v>2388</v>
      </c>
      <c r="B57" s="3" t="s">
        <v>2249</v>
      </c>
      <c r="C57" s="3" t="s">
        <v>2250</v>
      </c>
      <c r="D57" s="39" t="s">
        <v>102</v>
      </c>
      <c r="E57" s="15" t="n">
        <v>185.4</v>
      </c>
      <c r="F57" s="3" t="n">
        <v>2</v>
      </c>
    </row>
    <row r="58" customFormat="false" ht="15" hidden="false" customHeight="false" outlineLevel="0" collapsed="false">
      <c r="A58" s="3" t="s">
        <v>2389</v>
      </c>
      <c r="B58" s="3" t="s">
        <v>2251</v>
      </c>
      <c r="C58" s="3" t="s">
        <v>2252</v>
      </c>
      <c r="D58" s="39" t="s">
        <v>102</v>
      </c>
      <c r="E58" s="15" t="n">
        <v>3761.58</v>
      </c>
      <c r="F58" s="3" t="n">
        <v>1525</v>
      </c>
    </row>
    <row r="59" customFormat="false" ht="15" hidden="false" customHeight="false" outlineLevel="0" collapsed="false">
      <c r="A59" s="3" t="s">
        <v>2390</v>
      </c>
      <c r="B59" s="3" t="s">
        <v>2253</v>
      </c>
      <c r="C59" s="3" t="s">
        <v>2254</v>
      </c>
      <c r="D59" s="39" t="s">
        <v>102</v>
      </c>
      <c r="E59" s="15" t="n">
        <v>967</v>
      </c>
      <c r="F59" s="3" t="n">
        <v>29</v>
      </c>
    </row>
    <row r="60" customFormat="false" ht="15" hidden="false" customHeight="false" outlineLevel="0" collapsed="false">
      <c r="A60" s="3" t="s">
        <v>2391</v>
      </c>
      <c r="B60" s="3" t="s">
        <v>2255</v>
      </c>
      <c r="C60" s="3" t="s">
        <v>2256</v>
      </c>
      <c r="D60" s="39" t="s">
        <v>102</v>
      </c>
      <c r="E60" s="15" t="n">
        <v>17661.5</v>
      </c>
      <c r="F60" s="3" t="n">
        <v>643</v>
      </c>
    </row>
    <row r="61" customFormat="false" ht="15" hidden="false" customHeight="false" outlineLevel="0" collapsed="false">
      <c r="A61" s="3" t="s">
        <v>2392</v>
      </c>
      <c r="B61" s="3" t="s">
        <v>2257</v>
      </c>
      <c r="C61" s="3" t="s">
        <v>2258</v>
      </c>
      <c r="D61" s="39" t="s">
        <v>102</v>
      </c>
      <c r="E61" s="15" t="n">
        <v>7133.1</v>
      </c>
      <c r="F61" s="3" t="n">
        <v>1588</v>
      </c>
    </row>
    <row r="62" customFormat="false" ht="15" hidden="false" customHeight="false" outlineLevel="0" collapsed="false">
      <c r="A62" s="3" t="s">
        <v>2393</v>
      </c>
      <c r="B62" s="3" t="s">
        <v>2259</v>
      </c>
      <c r="C62" s="3" t="s">
        <v>2260</v>
      </c>
      <c r="D62" s="39" t="s">
        <v>102</v>
      </c>
      <c r="E62" s="15" t="n">
        <v>7227.95</v>
      </c>
      <c r="F62" s="3" t="n">
        <v>180</v>
      </c>
    </row>
    <row r="63" customFormat="false" ht="15" hidden="false" customHeight="false" outlineLevel="0" collapsed="false">
      <c r="A63" s="3" t="s">
        <v>2394</v>
      </c>
      <c r="B63" s="3" t="s">
        <v>2261</v>
      </c>
      <c r="C63" s="3" t="s">
        <v>2262</v>
      </c>
      <c r="D63" s="39" t="s">
        <v>102</v>
      </c>
      <c r="E63" s="15" t="n">
        <v>1617.3</v>
      </c>
      <c r="F63" s="3" t="n">
        <v>56</v>
      </c>
    </row>
    <row r="64" customFormat="false" ht="15" hidden="false" customHeight="false" outlineLevel="0" collapsed="false">
      <c r="A64" s="3" t="s">
        <v>2395</v>
      </c>
      <c r="B64" s="3" t="s">
        <v>2263</v>
      </c>
      <c r="C64" s="3" t="s">
        <v>2264</v>
      </c>
      <c r="D64" s="39" t="s">
        <v>102</v>
      </c>
      <c r="E64" s="15" t="n">
        <v>4058.4</v>
      </c>
      <c r="F64" s="3" t="n">
        <v>3</v>
      </c>
    </row>
    <row r="65" customFormat="false" ht="15" hidden="false" customHeight="false" outlineLevel="0" collapsed="false">
      <c r="A65" s="3" t="s">
        <v>2396</v>
      </c>
      <c r="B65" s="3" t="s">
        <v>2265</v>
      </c>
      <c r="C65" s="3" t="s">
        <v>2266</v>
      </c>
      <c r="D65" s="39" t="s">
        <v>102</v>
      </c>
      <c r="E65" s="15" t="n">
        <v>339.15</v>
      </c>
      <c r="F65" s="3" t="n">
        <v>16</v>
      </c>
    </row>
    <row r="66" customFormat="false" ht="15" hidden="false" customHeight="false" outlineLevel="0" collapsed="false">
      <c r="A66" s="3" t="s">
        <v>2397</v>
      </c>
      <c r="B66" s="3" t="s">
        <v>2267</v>
      </c>
      <c r="C66" s="3" t="s">
        <v>2268</v>
      </c>
      <c r="D66" s="39" t="s">
        <v>102</v>
      </c>
      <c r="E66" s="15" t="n">
        <v>709</v>
      </c>
      <c r="F66" s="3" t="n">
        <v>27</v>
      </c>
    </row>
    <row r="67" customFormat="false" ht="15" hidden="false" customHeight="false" outlineLevel="0" collapsed="false">
      <c r="A67" s="3" t="s">
        <v>2398</v>
      </c>
      <c r="B67" s="3" t="s">
        <v>2269</v>
      </c>
      <c r="C67" s="3" t="s">
        <v>2270</v>
      </c>
      <c r="D67" s="39" t="s">
        <v>102</v>
      </c>
      <c r="E67" s="15" t="n">
        <v>5286.4</v>
      </c>
      <c r="F67" s="3" t="n">
        <v>1216</v>
      </c>
    </row>
    <row r="68" customFormat="false" ht="15" hidden="false" customHeight="false" outlineLevel="0" collapsed="false">
      <c r="A68" s="3" t="s">
        <v>2399</v>
      </c>
      <c r="B68" s="3" t="s">
        <v>2271</v>
      </c>
      <c r="C68" s="3" t="s">
        <v>2272</v>
      </c>
      <c r="D68" s="39" t="s">
        <v>102</v>
      </c>
      <c r="E68" s="15" t="n">
        <v>578.34</v>
      </c>
      <c r="F68" s="3" t="n">
        <v>21</v>
      </c>
    </row>
    <row r="69" customFormat="false" ht="15" hidden="false" customHeight="false" outlineLevel="0" collapsed="false">
      <c r="A69" s="3" t="s">
        <v>2400</v>
      </c>
      <c r="B69" s="3" t="s">
        <v>2273</v>
      </c>
      <c r="C69" s="3" t="s">
        <v>2274</v>
      </c>
      <c r="D69" s="39" t="s">
        <v>102</v>
      </c>
      <c r="E69" s="15" t="n">
        <v>91.5</v>
      </c>
      <c r="F69" s="3" t="n">
        <v>1</v>
      </c>
    </row>
    <row r="70" customFormat="false" ht="15" hidden="false" customHeight="false" outlineLevel="0" collapsed="false">
      <c r="A70" s="3" t="s">
        <v>2401</v>
      </c>
      <c r="B70" s="3" t="s">
        <v>2275</v>
      </c>
      <c r="C70" s="3" t="s">
        <v>2276</v>
      </c>
      <c r="D70" s="39" t="s">
        <v>102</v>
      </c>
      <c r="E70" s="15" t="n">
        <v>1855.5</v>
      </c>
      <c r="F70" s="3" t="n">
        <v>75</v>
      </c>
    </row>
    <row r="71" customFormat="false" ht="15" hidden="false" customHeight="false" outlineLevel="0" collapsed="false">
      <c r="A71" s="3" t="s">
        <v>2402</v>
      </c>
      <c r="B71" s="3" t="s">
        <v>2277</v>
      </c>
      <c r="C71" s="3" t="s">
        <v>2278</v>
      </c>
      <c r="D71" s="39" t="s">
        <v>102</v>
      </c>
      <c r="E71" s="15" t="n">
        <v>40852</v>
      </c>
      <c r="F71" s="3" t="n">
        <v>331</v>
      </c>
    </row>
    <row r="72" customFormat="false" ht="15" hidden="false" customHeight="false" outlineLevel="0" collapsed="false">
      <c r="A72" s="3" t="s">
        <v>2403</v>
      </c>
      <c r="B72" s="3" t="s">
        <v>2279</v>
      </c>
      <c r="C72" s="3" t="s">
        <v>2280</v>
      </c>
      <c r="D72" s="39" t="s">
        <v>102</v>
      </c>
      <c r="E72" s="15" t="n">
        <v>8750</v>
      </c>
      <c r="F72" s="3" t="n">
        <v>19</v>
      </c>
    </row>
    <row r="73" customFormat="false" ht="15" hidden="false" customHeight="false" outlineLevel="0" collapsed="false">
      <c r="A73" s="3" t="s">
        <v>2404</v>
      </c>
      <c r="B73" s="3" t="s">
        <v>2281</v>
      </c>
      <c r="C73" s="3" t="s">
        <v>2282</v>
      </c>
      <c r="D73" s="39" t="s">
        <v>102</v>
      </c>
      <c r="E73" s="15" t="n">
        <v>122186.66</v>
      </c>
      <c r="F73" s="3" t="n">
        <v>2046</v>
      </c>
    </row>
    <row r="74" customFormat="false" ht="15" hidden="false" customHeight="false" outlineLevel="0" collapsed="false">
      <c r="A74" s="3" t="s">
        <v>2405</v>
      </c>
      <c r="B74" s="3" t="s">
        <v>2283</v>
      </c>
      <c r="C74" s="3" t="s">
        <v>2284</v>
      </c>
      <c r="D74" s="39" t="s">
        <v>102</v>
      </c>
      <c r="E74" s="15" t="n">
        <v>726.83</v>
      </c>
      <c r="F74" s="3" t="n">
        <v>4</v>
      </c>
    </row>
    <row r="75" customFormat="false" ht="15" hidden="false" customHeight="false" outlineLevel="0" collapsed="false">
      <c r="A75" s="3" t="s">
        <v>2406</v>
      </c>
      <c r="B75" s="3" t="s">
        <v>2285</v>
      </c>
      <c r="C75" s="3" t="s">
        <v>2286</v>
      </c>
      <c r="D75" s="39" t="s">
        <v>102</v>
      </c>
      <c r="E75" s="15" t="n">
        <v>5535.9</v>
      </c>
      <c r="F75" s="3" t="n">
        <v>4</v>
      </c>
    </row>
    <row r="76" customFormat="false" ht="15" hidden="false" customHeight="false" outlineLevel="0" collapsed="false">
      <c r="A76" s="3" t="s">
        <v>2407</v>
      </c>
      <c r="B76" s="3" t="s">
        <v>2287</v>
      </c>
      <c r="C76" s="3" t="s">
        <v>2288</v>
      </c>
      <c r="D76" s="39" t="s">
        <v>100</v>
      </c>
      <c r="E76" s="15" t="n">
        <v>224220.46</v>
      </c>
      <c r="F76" s="3" t="n">
        <v>1187</v>
      </c>
    </row>
    <row r="77" customFormat="false" ht="15" hidden="false" customHeight="false" outlineLevel="0" collapsed="false">
      <c r="A77" s="3" t="s">
        <v>2408</v>
      </c>
      <c r="B77" s="3" t="s">
        <v>2289</v>
      </c>
      <c r="C77" s="3" t="s">
        <v>2290</v>
      </c>
      <c r="D77" s="39" t="s">
        <v>100</v>
      </c>
      <c r="E77" s="15" t="n">
        <v>74736.04</v>
      </c>
      <c r="F77" s="3" t="n">
        <v>1187</v>
      </c>
    </row>
    <row r="78" customFormat="false" ht="15" hidden="false" customHeight="false" outlineLevel="0" collapsed="false">
      <c r="A78" s="3" t="s">
        <v>2409</v>
      </c>
      <c r="B78" s="3" t="s">
        <v>2291</v>
      </c>
      <c r="C78" s="3" t="s">
        <v>2292</v>
      </c>
      <c r="D78" s="39" t="s">
        <v>100</v>
      </c>
      <c r="E78" s="15" t="n">
        <v>130893.83</v>
      </c>
      <c r="F78" s="3" t="n">
        <v>1139</v>
      </c>
    </row>
    <row r="79" customFormat="false" ht="15" hidden="false" customHeight="false" outlineLevel="0" collapsed="false">
      <c r="A79" s="3" t="s">
        <v>2410</v>
      </c>
      <c r="B79" s="3" t="s">
        <v>2293</v>
      </c>
      <c r="C79" s="3" t="s">
        <v>2294</v>
      </c>
      <c r="D79" s="39" t="s">
        <v>100</v>
      </c>
      <c r="E79" s="15" t="n">
        <v>8332736.61</v>
      </c>
      <c r="F79" s="3" t="n">
        <v>5628</v>
      </c>
    </row>
    <row r="80" customFormat="false" ht="15" hidden="false" customHeight="false" outlineLevel="0" collapsed="false">
      <c r="A80" s="3" t="s">
        <v>2411</v>
      </c>
      <c r="B80" s="3" t="s">
        <v>2295</v>
      </c>
      <c r="C80" s="3" t="s">
        <v>2296</v>
      </c>
      <c r="D80" s="39" t="s">
        <v>99</v>
      </c>
      <c r="E80" s="15" t="n">
        <v>11128.27</v>
      </c>
      <c r="F80" s="3" t="n">
        <v>12</v>
      </c>
    </row>
    <row r="81" customFormat="false" ht="15" hidden="false" customHeight="false" outlineLevel="0" collapsed="false">
      <c r="A81" s="3" t="s">
        <v>2412</v>
      </c>
      <c r="B81" s="3" t="s">
        <v>2297</v>
      </c>
      <c r="C81" s="3" t="s">
        <v>2298</v>
      </c>
      <c r="D81" s="39" t="s">
        <v>99</v>
      </c>
      <c r="E81" s="15" t="n">
        <v>3</v>
      </c>
      <c r="F81" s="3" t="n">
        <v>1</v>
      </c>
    </row>
    <row r="82" customFormat="false" ht="15" hidden="false" customHeight="false" outlineLevel="0" collapsed="false">
      <c r="A82" s="3" t="s">
        <v>2413</v>
      </c>
      <c r="B82" s="3" t="s">
        <v>2299</v>
      </c>
      <c r="C82" s="3" t="s">
        <v>2300</v>
      </c>
      <c r="D82" s="39" t="s">
        <v>99</v>
      </c>
      <c r="E82" s="15" t="n">
        <v>696678.22</v>
      </c>
      <c r="F82" s="3" t="n">
        <v>3391</v>
      </c>
    </row>
    <row r="83" customFormat="false" ht="15" hidden="false" customHeight="false" outlineLevel="0" collapsed="false">
      <c r="A83" s="3" t="s">
        <v>2414</v>
      </c>
      <c r="B83" s="3" t="s">
        <v>2301</v>
      </c>
      <c r="C83" s="3" t="s">
        <v>2302</v>
      </c>
      <c r="D83" s="39" t="s">
        <v>99</v>
      </c>
      <c r="E83" s="15" t="n">
        <v>288576.62</v>
      </c>
      <c r="F83" s="3" t="n">
        <v>1148</v>
      </c>
    </row>
    <row r="84" customFormat="false" ht="15" hidden="false" customHeight="false" outlineLevel="0" collapsed="false">
      <c r="A84" s="3" t="s">
        <v>2415</v>
      </c>
      <c r="B84" s="3" t="s">
        <v>2303</v>
      </c>
      <c r="C84" s="3" t="s">
        <v>2304</v>
      </c>
      <c r="D84" s="39" t="s">
        <v>99</v>
      </c>
      <c r="E84" s="15" t="n">
        <v>644493.42</v>
      </c>
      <c r="F84" s="3" t="n">
        <v>1756</v>
      </c>
    </row>
    <row r="85" customFormat="false" ht="15" hidden="false" customHeight="false" outlineLevel="0" collapsed="false">
      <c r="A85" s="3" t="s">
        <v>2416</v>
      </c>
      <c r="B85" s="3" t="s">
        <v>2305</v>
      </c>
      <c r="C85" s="3" t="s">
        <v>2306</v>
      </c>
      <c r="D85" s="39" t="s">
        <v>99</v>
      </c>
      <c r="E85" s="15" t="n">
        <v>65683.87</v>
      </c>
      <c r="F85" s="3" t="n">
        <v>2124</v>
      </c>
    </row>
    <row r="86" customFormat="false" ht="15" hidden="false" customHeight="false" outlineLevel="0" collapsed="false">
      <c r="A86" s="3" t="s">
        <v>2417</v>
      </c>
      <c r="B86" s="3" t="s">
        <v>2307</v>
      </c>
      <c r="C86" s="3" t="s">
        <v>2308</v>
      </c>
      <c r="D86" s="39" t="s">
        <v>99</v>
      </c>
      <c r="E86" s="15" t="n">
        <v>311418.26</v>
      </c>
      <c r="F86" s="3" t="n">
        <v>4568</v>
      </c>
    </row>
    <row r="87" customFormat="false" ht="15" hidden="false" customHeight="false" outlineLevel="0" collapsed="false">
      <c r="A87" s="3" t="s">
        <v>2418</v>
      </c>
      <c r="B87" s="3" t="s">
        <v>2309</v>
      </c>
      <c r="C87" s="3" t="s">
        <v>2310</v>
      </c>
      <c r="D87" s="39" t="s">
        <v>99</v>
      </c>
      <c r="E87" s="15" t="n">
        <v>418.31</v>
      </c>
      <c r="F87" s="3" t="n">
        <v>57</v>
      </c>
    </row>
    <row r="88" customFormat="false" ht="15" hidden="false" customHeight="false" outlineLevel="0" collapsed="false">
      <c r="A88" s="3" t="s">
        <v>2419</v>
      </c>
      <c r="B88" s="3" t="s">
        <v>2311</v>
      </c>
      <c r="C88" s="3" t="s">
        <v>2312</v>
      </c>
      <c r="D88" s="39" t="s">
        <v>99</v>
      </c>
      <c r="E88" s="15" t="n">
        <v>345728.21</v>
      </c>
      <c r="F88" s="3" t="n">
        <v>2074</v>
      </c>
    </row>
    <row r="89" customFormat="false" ht="15" hidden="false" customHeight="false" outlineLevel="0" collapsed="false">
      <c r="A89" s="3" t="s">
        <v>2420</v>
      </c>
      <c r="B89" s="3" t="s">
        <v>2313</v>
      </c>
      <c r="C89" s="3" t="s">
        <v>2314</v>
      </c>
      <c r="D89" s="39" t="s">
        <v>99</v>
      </c>
      <c r="E89" s="15" t="n">
        <v>20.98</v>
      </c>
      <c r="F89" s="3" t="n">
        <v>2</v>
      </c>
    </row>
    <row r="90" customFormat="false" ht="15" hidden="false" customHeight="false" outlineLevel="0" collapsed="false">
      <c r="A90" s="3" t="s">
        <v>2421</v>
      </c>
      <c r="B90" s="3" t="s">
        <v>2315</v>
      </c>
      <c r="C90" s="3" t="s">
        <v>2316</v>
      </c>
      <c r="D90" s="39" t="s">
        <v>98</v>
      </c>
      <c r="E90" s="15" t="n">
        <v>12970123.06</v>
      </c>
      <c r="F90" s="3" t="n">
        <v>5336</v>
      </c>
    </row>
    <row r="91" customFormat="false" ht="15" hidden="false" customHeight="false" outlineLevel="0" collapsed="false">
      <c r="A91" s="3" t="s">
        <v>2422</v>
      </c>
      <c r="B91" s="3" t="s">
        <v>2317</v>
      </c>
      <c r="C91" s="3" t="s">
        <v>2318</v>
      </c>
      <c r="D91" s="39" t="s">
        <v>98</v>
      </c>
      <c r="E91" s="15" t="n">
        <v>64</v>
      </c>
      <c r="F91" s="3" t="n">
        <v>1</v>
      </c>
    </row>
    <row r="92" customFormat="false" ht="15" hidden="false" customHeight="false" outlineLevel="0" collapsed="false">
      <c r="A92" s="3" t="s">
        <v>2423</v>
      </c>
      <c r="B92" s="3" t="s">
        <v>2319</v>
      </c>
      <c r="C92" s="3" t="s">
        <v>2320</v>
      </c>
      <c r="D92" s="39" t="s">
        <v>98</v>
      </c>
      <c r="E92" s="15" t="n">
        <v>0.4</v>
      </c>
      <c r="F92" s="3" t="n">
        <v>1</v>
      </c>
    </row>
    <row r="93" customFormat="false" ht="15" hidden="false" customHeight="false" outlineLevel="0" collapsed="false">
      <c r="A93" s="3" t="s">
        <v>2424</v>
      </c>
      <c r="B93" s="3" t="s">
        <v>2321</v>
      </c>
      <c r="C93" s="3" t="s">
        <v>2322</v>
      </c>
      <c r="D93" s="39" t="s">
        <v>98</v>
      </c>
      <c r="E93" s="15" t="n">
        <v>10688.88</v>
      </c>
      <c r="F93" s="3" t="n">
        <v>58</v>
      </c>
    </row>
    <row r="94" customFormat="false" ht="15" hidden="false" customHeight="false" outlineLevel="0" collapsed="false">
      <c r="A94" s="3" t="s">
        <v>2425</v>
      </c>
      <c r="B94" s="3" t="s">
        <v>2323</v>
      </c>
      <c r="C94" s="3" t="s">
        <v>2180</v>
      </c>
      <c r="D94" s="39" t="s">
        <v>98</v>
      </c>
      <c r="E94" s="15" t="n">
        <v>332.73</v>
      </c>
      <c r="F94" s="3" t="n">
        <v>2</v>
      </c>
    </row>
    <row r="95" customFormat="false" ht="15" hidden="false" customHeight="false" outlineLevel="0" collapsed="false">
      <c r="A95" s="3" t="s">
        <v>2426</v>
      </c>
      <c r="B95" s="3" t="s">
        <v>2324</v>
      </c>
      <c r="C95" s="3" t="s">
        <v>2325</v>
      </c>
      <c r="D95" s="39" t="s">
        <v>98</v>
      </c>
      <c r="E95" s="15" t="n">
        <v>47.67</v>
      </c>
      <c r="F95" s="3" t="n">
        <v>1</v>
      </c>
    </row>
    <row r="96" customFormat="false" ht="15" hidden="false" customHeight="false" outlineLevel="0" collapsed="false">
      <c r="A96" s="3" t="s">
        <v>2427</v>
      </c>
      <c r="B96" s="3" t="s">
        <v>2326</v>
      </c>
      <c r="C96" s="3" t="s">
        <v>2327</v>
      </c>
      <c r="D96" s="39" t="s">
        <v>98</v>
      </c>
      <c r="E96" s="15" t="n">
        <v>878.87</v>
      </c>
      <c r="F96" s="3" t="n">
        <v>6</v>
      </c>
    </row>
    <row r="97" customFormat="false" ht="15" hidden="false" customHeight="false" outlineLevel="0" collapsed="false">
      <c r="A97" s="3" t="s">
        <v>2329</v>
      </c>
      <c r="B97" s="3" t="s">
        <v>2328</v>
      </c>
      <c r="C97" s="3" t="s">
        <v>2329</v>
      </c>
      <c r="D97" s="39" t="s">
        <v>82</v>
      </c>
      <c r="E97" s="15" t="n">
        <v>2818990.37</v>
      </c>
      <c r="F97" s="3" t="n">
        <v>5640</v>
      </c>
    </row>
    <row r="98" customFormat="false" ht="15" hidden="false" customHeight="false" outlineLevel="0" collapsed="false">
      <c r="A98" s="3" t="s">
        <v>2330</v>
      </c>
      <c r="B98" s="3" t="s">
        <v>2328</v>
      </c>
      <c r="C98" s="3" t="s">
        <v>2330</v>
      </c>
      <c r="D98" s="39" t="s">
        <v>82</v>
      </c>
      <c r="E98" s="15" t="n">
        <v>4726627.44</v>
      </c>
      <c r="F98" s="3" t="n">
        <v>5638</v>
      </c>
    </row>
  </sheetData>
  <autoFilter ref="A4:F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9" t="s">
        <v>2428</v>
      </c>
    </row>
    <row r="2" customFormat="false" ht="15" hidden="false" customHeight="false" outlineLevel="0" collapsed="false">
      <c r="A2" s="7" t="s">
        <v>2429</v>
      </c>
    </row>
    <row r="4" customFormat="false" ht="25.5" hidden="false" customHeight="true" outlineLevel="0" collapsed="false">
      <c r="A4" s="13" t="s">
        <v>2430</v>
      </c>
      <c r="B4" s="13" t="s">
        <v>2431</v>
      </c>
      <c r="C4" s="13" t="s">
        <v>2149</v>
      </c>
      <c r="D4" s="14" t="s">
        <v>2334</v>
      </c>
      <c r="E4" s="14" t="s">
        <v>2335</v>
      </c>
      <c r="F4" s="14" t="s">
        <v>210</v>
      </c>
    </row>
    <row r="5" customFormat="false" ht="15" hidden="false" customHeight="false" outlineLevel="0" collapsed="false">
      <c r="A5" s="40" t="s">
        <v>186</v>
      </c>
      <c r="B5" s="41" t="s">
        <v>186</v>
      </c>
      <c r="C5" s="40"/>
      <c r="D5" s="42" t="n">
        <v>4352.23</v>
      </c>
      <c r="E5" s="40" t="n">
        <v>42</v>
      </c>
      <c r="F5" s="43" t="s">
        <v>2432</v>
      </c>
    </row>
    <row r="6" customFormat="false" ht="15" hidden="false" customHeight="false" outlineLevel="0" collapsed="false">
      <c r="A6" s="3" t="s">
        <v>189</v>
      </c>
      <c r="B6" s="39" t="s">
        <v>189</v>
      </c>
      <c r="C6" s="3" t="s">
        <v>2433</v>
      </c>
      <c r="D6" s="15" t="n">
        <v>2554.85</v>
      </c>
      <c r="E6" s="3" t="n">
        <v>11</v>
      </c>
    </row>
    <row r="7" customFormat="false" ht="15" hidden="false" customHeight="false" outlineLevel="0" collapsed="false">
      <c r="A7" s="3" t="s">
        <v>155</v>
      </c>
      <c r="B7" s="39" t="s">
        <v>155</v>
      </c>
      <c r="C7" s="3" t="s">
        <v>2434</v>
      </c>
      <c r="D7" s="15" t="n">
        <v>56904.05</v>
      </c>
      <c r="E7" s="3" t="n">
        <v>201</v>
      </c>
    </row>
    <row r="8" customFormat="false" ht="15" hidden="false" customHeight="false" outlineLevel="0" collapsed="false">
      <c r="A8" s="3" t="s">
        <v>134</v>
      </c>
      <c r="B8" s="39" t="s">
        <v>134</v>
      </c>
      <c r="C8" s="3" t="s">
        <v>2435</v>
      </c>
      <c r="D8" s="15" t="n">
        <v>156639.98</v>
      </c>
      <c r="E8" s="3" t="n">
        <v>504</v>
      </c>
    </row>
    <row r="9" customFormat="false" ht="15" hidden="false" customHeight="false" outlineLevel="0" collapsed="false">
      <c r="A9" s="3" t="s">
        <v>136</v>
      </c>
      <c r="B9" s="39" t="s">
        <v>136</v>
      </c>
      <c r="C9" s="3" t="s">
        <v>2436</v>
      </c>
      <c r="D9" s="15" t="n">
        <v>119978.2</v>
      </c>
      <c r="E9" s="3" t="n">
        <v>342</v>
      </c>
    </row>
    <row r="10" customFormat="false" ht="15" hidden="false" customHeight="false" outlineLevel="0" collapsed="false">
      <c r="A10" s="3" t="s">
        <v>122</v>
      </c>
      <c r="B10" s="39" t="s">
        <v>122</v>
      </c>
      <c r="C10" s="3" t="s">
        <v>2437</v>
      </c>
      <c r="D10" s="15" t="n">
        <v>448452.27</v>
      </c>
      <c r="E10" s="3" t="n">
        <v>384</v>
      </c>
    </row>
    <row r="11" customFormat="false" ht="15" hidden="false" customHeight="false" outlineLevel="0" collapsed="false">
      <c r="A11" s="3" t="s">
        <v>153</v>
      </c>
      <c r="B11" s="39" t="s">
        <v>153</v>
      </c>
      <c r="C11" s="3" t="s">
        <v>2438</v>
      </c>
      <c r="D11" s="15" t="n">
        <v>58005.11</v>
      </c>
      <c r="E11" s="3" t="n">
        <v>213</v>
      </c>
    </row>
    <row r="12" customFormat="false" ht="15" hidden="false" customHeight="false" outlineLevel="0" collapsed="false">
      <c r="A12" s="3" t="s">
        <v>181</v>
      </c>
      <c r="B12" s="39" t="s">
        <v>181</v>
      </c>
      <c r="C12" s="3" t="s">
        <v>2439</v>
      </c>
      <c r="D12" s="15" t="n">
        <v>12641.47</v>
      </c>
      <c r="E12" s="3" t="n">
        <v>13</v>
      </c>
    </row>
    <row r="13" customFormat="false" ht="15" hidden="false" customHeight="false" outlineLevel="0" collapsed="false">
      <c r="A13" s="3" t="s">
        <v>191</v>
      </c>
      <c r="B13" s="39" t="s">
        <v>191</v>
      </c>
      <c r="C13" s="3" t="s">
        <v>2440</v>
      </c>
      <c r="D13" s="15" t="n">
        <v>2315.73</v>
      </c>
      <c r="E13" s="3" t="n">
        <v>15</v>
      </c>
    </row>
    <row r="14" customFormat="false" ht="15" hidden="false" customHeight="false" outlineLevel="0" collapsed="false">
      <c r="A14" s="3" t="s">
        <v>149</v>
      </c>
      <c r="B14" s="39" t="s">
        <v>149</v>
      </c>
      <c r="C14" s="3" t="s">
        <v>2441</v>
      </c>
      <c r="D14" s="15" t="n">
        <v>59316.45</v>
      </c>
      <c r="E14" s="3" t="n">
        <v>22</v>
      </c>
    </row>
    <row r="15" customFormat="false" ht="15" hidden="false" customHeight="false" outlineLevel="0" collapsed="false">
      <c r="A15" s="3" t="s">
        <v>128</v>
      </c>
      <c r="B15" s="39" t="s">
        <v>128</v>
      </c>
      <c r="C15" s="3" t="s">
        <v>2311</v>
      </c>
      <c r="D15" s="15" t="n">
        <v>279254.49</v>
      </c>
      <c r="E15" s="3" t="n">
        <v>248</v>
      </c>
    </row>
    <row r="16" customFormat="false" ht="15" hidden="false" customHeight="false" outlineLevel="0" collapsed="false">
      <c r="A16" s="3" t="s">
        <v>109</v>
      </c>
      <c r="B16" s="39" t="s">
        <v>109</v>
      </c>
      <c r="C16" s="3" t="s">
        <v>2311</v>
      </c>
      <c r="D16" s="15" t="n">
        <v>2874174.87</v>
      </c>
      <c r="E16" s="3" t="n">
        <v>1911</v>
      </c>
    </row>
    <row r="17" customFormat="false" ht="15" hidden="false" customHeight="false" outlineLevel="0" collapsed="false">
      <c r="A17" s="3" t="s">
        <v>2442</v>
      </c>
      <c r="B17" s="39" t="s">
        <v>109</v>
      </c>
      <c r="C17" s="3" t="s">
        <v>2311</v>
      </c>
      <c r="D17" s="15" t="n">
        <v>932531.09</v>
      </c>
      <c r="E17" s="3" t="n">
        <v>826</v>
      </c>
    </row>
    <row r="18" customFormat="false" ht="15" hidden="false" customHeight="false" outlineLevel="0" collapsed="false">
      <c r="A18" s="3" t="s">
        <v>133</v>
      </c>
      <c r="B18" s="39" t="s">
        <v>133</v>
      </c>
      <c r="C18" s="3" t="s">
        <v>2311</v>
      </c>
      <c r="D18" s="15" t="n">
        <v>178394.77</v>
      </c>
      <c r="E18" s="3" t="n">
        <v>158</v>
      </c>
    </row>
    <row r="19" customFormat="false" ht="15" hidden="false" customHeight="false" outlineLevel="0" collapsed="false">
      <c r="A19" s="3" t="s">
        <v>2443</v>
      </c>
      <c r="B19" s="39" t="s">
        <v>148</v>
      </c>
      <c r="C19" s="3" t="s">
        <v>2444</v>
      </c>
      <c r="D19" s="15" t="n">
        <v>59423.16</v>
      </c>
      <c r="E19" s="3" t="n">
        <v>55</v>
      </c>
    </row>
    <row r="20" customFormat="false" ht="15" hidden="false" customHeight="false" outlineLevel="0" collapsed="false">
      <c r="A20" s="3" t="s">
        <v>183</v>
      </c>
      <c r="B20" s="39" t="s">
        <v>183</v>
      </c>
      <c r="C20" s="3" t="s">
        <v>2445</v>
      </c>
      <c r="D20" s="15" t="n">
        <v>10308.35</v>
      </c>
      <c r="E20" s="3" t="n">
        <v>28</v>
      </c>
    </row>
    <row r="21" customFormat="false" ht="15" hidden="false" customHeight="false" outlineLevel="0" collapsed="false">
      <c r="A21" s="3" t="s">
        <v>144</v>
      </c>
      <c r="B21" s="39" t="s">
        <v>144</v>
      </c>
      <c r="C21" s="3" t="s">
        <v>2446</v>
      </c>
      <c r="D21" s="15" t="n">
        <v>659.5</v>
      </c>
      <c r="E21" s="3" t="n">
        <v>2</v>
      </c>
    </row>
    <row r="22" customFormat="false" ht="15" hidden="false" customHeight="false" outlineLevel="0" collapsed="false">
      <c r="A22" s="3" t="s">
        <v>2447</v>
      </c>
      <c r="B22" s="39" t="s">
        <v>144</v>
      </c>
      <c r="C22" s="3" t="s">
        <v>2446</v>
      </c>
      <c r="D22" s="15" t="n">
        <v>77888.3</v>
      </c>
      <c r="E22" s="3" t="n">
        <v>59</v>
      </c>
    </row>
    <row r="23" customFormat="false" ht="15" hidden="false" customHeight="false" outlineLevel="0" collapsed="false">
      <c r="A23" s="3" t="s">
        <v>147</v>
      </c>
      <c r="B23" s="39" t="s">
        <v>147</v>
      </c>
      <c r="C23" s="3" t="s">
        <v>2446</v>
      </c>
      <c r="D23" s="15" t="n">
        <v>71368.54</v>
      </c>
      <c r="E23" s="3" t="n">
        <v>47</v>
      </c>
    </row>
    <row r="24" customFormat="false" ht="15" hidden="false" customHeight="false" outlineLevel="0" collapsed="false">
      <c r="A24" s="3" t="s">
        <v>135</v>
      </c>
      <c r="B24" s="39" t="s">
        <v>135</v>
      </c>
      <c r="C24" s="3" t="s">
        <v>2448</v>
      </c>
      <c r="D24" s="15" t="n">
        <v>134336.6</v>
      </c>
      <c r="E24" s="3" t="n">
        <v>45</v>
      </c>
    </row>
    <row r="25" customFormat="false" ht="15" hidden="false" customHeight="false" outlineLevel="0" collapsed="false">
      <c r="A25" s="3" t="s">
        <v>160</v>
      </c>
      <c r="B25" s="39" t="s">
        <v>160</v>
      </c>
      <c r="C25" s="3" t="s">
        <v>2449</v>
      </c>
      <c r="D25" s="15" t="n">
        <v>51807.4</v>
      </c>
      <c r="E25" s="3" t="n">
        <v>86</v>
      </c>
    </row>
    <row r="26" customFormat="false" ht="15" hidden="false" customHeight="false" outlineLevel="0" collapsed="false">
      <c r="A26" s="3" t="s">
        <v>2450</v>
      </c>
      <c r="B26" s="39" t="s">
        <v>140</v>
      </c>
      <c r="C26" s="3" t="s">
        <v>2235</v>
      </c>
      <c r="D26" s="15" t="n">
        <v>94182.2</v>
      </c>
      <c r="E26" s="3" t="n">
        <v>104</v>
      </c>
    </row>
    <row r="27" customFormat="false" ht="15" hidden="false" customHeight="false" outlineLevel="0" collapsed="false">
      <c r="A27" s="3" t="s">
        <v>176</v>
      </c>
      <c r="B27" s="39" t="s">
        <v>176</v>
      </c>
      <c r="C27" s="3" t="s">
        <v>2451</v>
      </c>
      <c r="D27" s="15" t="n">
        <v>24155.09</v>
      </c>
      <c r="E27" s="3" t="n">
        <v>26</v>
      </c>
    </row>
    <row r="28" customFormat="false" ht="15" hidden="false" customHeight="false" outlineLevel="0" collapsed="false">
      <c r="A28" s="3" t="s">
        <v>173</v>
      </c>
      <c r="B28" s="39" t="s">
        <v>173</v>
      </c>
      <c r="C28" s="3" t="s">
        <v>2452</v>
      </c>
      <c r="D28" s="15" t="n">
        <v>29728.91</v>
      </c>
      <c r="E28" s="3" t="n">
        <v>29</v>
      </c>
    </row>
    <row r="29" customFormat="false" ht="15" hidden="false" customHeight="false" outlineLevel="0" collapsed="false">
      <c r="A29" s="3" t="s">
        <v>178</v>
      </c>
      <c r="B29" s="39" t="s">
        <v>178</v>
      </c>
      <c r="C29" s="3" t="s">
        <v>2453</v>
      </c>
      <c r="D29" s="15" t="n">
        <v>17923.82</v>
      </c>
      <c r="E29" s="3" t="n">
        <v>22</v>
      </c>
    </row>
    <row r="30" customFormat="false" ht="15" hidden="false" customHeight="false" outlineLevel="0" collapsed="false">
      <c r="A30" s="3" t="s">
        <v>146</v>
      </c>
      <c r="B30" s="39" t="s">
        <v>146</v>
      </c>
      <c r="C30" s="3" t="s">
        <v>2454</v>
      </c>
      <c r="D30" s="15" t="n">
        <v>74584.12</v>
      </c>
      <c r="E30" s="3" t="n">
        <v>188</v>
      </c>
    </row>
    <row r="31" customFormat="false" ht="15" hidden="false" customHeight="false" outlineLevel="0" collapsed="false">
      <c r="A31" s="3" t="s">
        <v>174</v>
      </c>
      <c r="B31" s="39" t="s">
        <v>174</v>
      </c>
      <c r="C31" s="3" t="s">
        <v>2455</v>
      </c>
      <c r="D31" s="15" t="n">
        <v>28951.39</v>
      </c>
      <c r="E31" s="3" t="n">
        <v>117</v>
      </c>
    </row>
    <row r="32" customFormat="false" ht="15" hidden="false" customHeight="false" outlineLevel="0" collapsed="false">
      <c r="A32" s="3" t="s">
        <v>2456</v>
      </c>
      <c r="B32" s="39" t="s">
        <v>182</v>
      </c>
      <c r="C32" s="3" t="s">
        <v>2457</v>
      </c>
      <c r="D32" s="15" t="n">
        <v>11953.99</v>
      </c>
      <c r="E32" s="3" t="n">
        <v>43</v>
      </c>
    </row>
    <row r="33" customFormat="false" ht="15" hidden="false" customHeight="false" outlineLevel="0" collapsed="false">
      <c r="A33" s="3" t="s">
        <v>2458</v>
      </c>
      <c r="B33" s="39" t="s">
        <v>169</v>
      </c>
      <c r="C33" s="3" t="s">
        <v>2459</v>
      </c>
      <c r="D33" s="15" t="n">
        <v>37848.49</v>
      </c>
      <c r="E33" s="3" t="n">
        <v>122</v>
      </c>
    </row>
    <row r="34" customFormat="false" ht="15" hidden="false" customHeight="false" outlineLevel="0" collapsed="false">
      <c r="A34" s="3" t="s">
        <v>2460</v>
      </c>
      <c r="B34" s="39" t="s">
        <v>119</v>
      </c>
      <c r="C34" s="3" t="s">
        <v>2461</v>
      </c>
      <c r="D34" s="15" t="n">
        <v>1033696.45</v>
      </c>
      <c r="E34" s="3" t="n">
        <v>2224</v>
      </c>
    </row>
    <row r="35" customFormat="false" ht="15" hidden="false" customHeight="false" outlineLevel="0" collapsed="false">
      <c r="A35" s="3" t="s">
        <v>142</v>
      </c>
      <c r="B35" s="39" t="s">
        <v>142</v>
      </c>
      <c r="C35" s="3" t="s">
        <v>2462</v>
      </c>
      <c r="D35" s="15" t="n">
        <v>84579.7</v>
      </c>
      <c r="E35" s="3" t="n">
        <v>140</v>
      </c>
    </row>
    <row r="36" customFormat="false" ht="15" hidden="false" customHeight="false" outlineLevel="0" collapsed="false">
      <c r="A36" s="3" t="s">
        <v>130</v>
      </c>
      <c r="B36" s="39" t="s">
        <v>130</v>
      </c>
      <c r="C36" s="3" t="s">
        <v>2463</v>
      </c>
      <c r="D36" s="15" t="n">
        <v>266922.57</v>
      </c>
      <c r="E36" s="3" t="n">
        <v>147</v>
      </c>
    </row>
    <row r="37" customFormat="false" ht="15" hidden="false" customHeight="false" outlineLevel="0" collapsed="false">
      <c r="A37" s="3" t="s">
        <v>190</v>
      </c>
      <c r="B37" s="39" t="s">
        <v>190</v>
      </c>
      <c r="C37" s="3" t="s">
        <v>2464</v>
      </c>
      <c r="D37" s="15" t="n">
        <v>2362.16</v>
      </c>
      <c r="E37" s="3" t="n">
        <v>14</v>
      </c>
    </row>
    <row r="38" customFormat="false" ht="15" hidden="false" customHeight="false" outlineLevel="0" collapsed="false">
      <c r="A38" s="3" t="s">
        <v>175</v>
      </c>
      <c r="B38" s="39" t="s">
        <v>175</v>
      </c>
      <c r="C38" s="3" t="s">
        <v>2464</v>
      </c>
      <c r="D38" s="15" t="n">
        <v>25671.03</v>
      </c>
      <c r="E38" s="3" t="n">
        <v>86</v>
      </c>
    </row>
    <row r="39" customFormat="false" ht="15" hidden="false" customHeight="false" outlineLevel="0" collapsed="false">
      <c r="A39" s="3" t="s">
        <v>156</v>
      </c>
      <c r="B39" s="39" t="s">
        <v>156</v>
      </c>
      <c r="C39" s="3" t="s">
        <v>2465</v>
      </c>
      <c r="D39" s="15" t="n">
        <v>55878.74</v>
      </c>
      <c r="E39" s="3" t="n">
        <v>53</v>
      </c>
    </row>
    <row r="40" customFormat="false" ht="15" hidden="false" customHeight="false" outlineLevel="0" collapsed="false">
      <c r="A40" s="3" t="s">
        <v>2466</v>
      </c>
      <c r="B40" s="39" t="s">
        <v>137</v>
      </c>
      <c r="C40" s="3" t="s">
        <v>2467</v>
      </c>
      <c r="D40" s="15" t="n">
        <v>114474.95</v>
      </c>
      <c r="E40" s="3" t="n">
        <v>371</v>
      </c>
    </row>
    <row r="41" customFormat="false" ht="15" hidden="false" customHeight="false" outlineLevel="0" collapsed="false">
      <c r="A41" s="3" t="s">
        <v>171</v>
      </c>
      <c r="B41" s="39" t="s">
        <v>171</v>
      </c>
      <c r="C41" s="3" t="s">
        <v>2468</v>
      </c>
      <c r="D41" s="15" t="n">
        <v>32545.55</v>
      </c>
      <c r="E41" s="3" t="n">
        <v>123</v>
      </c>
    </row>
    <row r="42" customFormat="false" ht="15" hidden="false" customHeight="false" outlineLevel="0" collapsed="false">
      <c r="A42" s="3" t="s">
        <v>188</v>
      </c>
      <c r="B42" s="39" t="s">
        <v>188</v>
      </c>
      <c r="C42" s="3" t="s">
        <v>2291</v>
      </c>
      <c r="D42" s="15" t="n">
        <v>3210.77</v>
      </c>
      <c r="E42" s="3" t="n">
        <v>22</v>
      </c>
    </row>
    <row r="43" customFormat="false" ht="15" hidden="false" customHeight="false" outlineLevel="0" collapsed="false">
      <c r="A43" s="3" t="s">
        <v>2469</v>
      </c>
      <c r="B43" s="39" t="s">
        <v>154</v>
      </c>
      <c r="C43" s="3" t="s">
        <v>2291</v>
      </c>
      <c r="D43" s="15" t="n">
        <v>57243.39</v>
      </c>
      <c r="E43" s="3" t="n">
        <v>31</v>
      </c>
    </row>
    <row r="44" customFormat="false" ht="15" hidden="false" customHeight="false" outlineLevel="0" collapsed="false">
      <c r="A44" s="3" t="s">
        <v>145</v>
      </c>
      <c r="B44" s="39" t="s">
        <v>145</v>
      </c>
      <c r="C44" s="3" t="s">
        <v>2470</v>
      </c>
      <c r="D44" s="15" t="n">
        <v>77220.12</v>
      </c>
      <c r="E44" s="3" t="n">
        <v>152</v>
      </c>
    </row>
    <row r="45" customFormat="false" ht="15" hidden="false" customHeight="false" outlineLevel="0" collapsed="false">
      <c r="A45" s="3" t="s">
        <v>165</v>
      </c>
      <c r="B45" s="39" t="s">
        <v>165</v>
      </c>
      <c r="C45" s="3" t="s">
        <v>2471</v>
      </c>
      <c r="D45" s="15" t="n">
        <v>40797.58</v>
      </c>
      <c r="E45" s="3" t="n">
        <v>113</v>
      </c>
    </row>
    <row r="46" customFormat="false" ht="15" hidden="false" customHeight="false" outlineLevel="0" collapsed="false">
      <c r="A46" s="3" t="s">
        <v>152</v>
      </c>
      <c r="B46" s="39" t="s">
        <v>152</v>
      </c>
      <c r="C46" s="3" t="s">
        <v>2472</v>
      </c>
      <c r="D46" s="15" t="n">
        <v>58495.59</v>
      </c>
      <c r="E46" s="3" t="n">
        <v>195</v>
      </c>
    </row>
    <row r="47" customFormat="false" ht="15" hidden="false" customHeight="false" outlineLevel="0" collapsed="false">
      <c r="A47" s="3" t="s">
        <v>2473</v>
      </c>
      <c r="B47" s="39" t="s">
        <v>180</v>
      </c>
      <c r="C47" s="3" t="s">
        <v>2474</v>
      </c>
      <c r="D47" s="15" t="n">
        <v>12773.05</v>
      </c>
      <c r="E47" s="3" t="n">
        <v>44</v>
      </c>
    </row>
    <row r="48" customFormat="false" ht="15" hidden="false" customHeight="false" outlineLevel="0" collapsed="false">
      <c r="A48" s="3" t="s">
        <v>2475</v>
      </c>
      <c r="B48" s="39" t="s">
        <v>161</v>
      </c>
      <c r="C48" s="3" t="s">
        <v>2293</v>
      </c>
      <c r="D48" s="15" t="n">
        <v>43399.82</v>
      </c>
      <c r="E48" s="3" t="n">
        <v>147</v>
      </c>
    </row>
    <row r="49" customFormat="false" ht="15" hidden="false" customHeight="false" outlineLevel="0" collapsed="false">
      <c r="A49" s="3" t="s">
        <v>168</v>
      </c>
      <c r="B49" s="39" t="s">
        <v>168</v>
      </c>
      <c r="C49" s="3" t="s">
        <v>2476</v>
      </c>
      <c r="D49" s="15" t="n">
        <v>38489.47</v>
      </c>
      <c r="E49" s="3" t="n">
        <v>134</v>
      </c>
    </row>
    <row r="50" customFormat="false" ht="15" hidden="false" customHeight="false" outlineLevel="0" collapsed="false">
      <c r="A50" s="3" t="s">
        <v>185</v>
      </c>
      <c r="B50" s="39" t="s">
        <v>185</v>
      </c>
      <c r="C50" s="3" t="s">
        <v>2477</v>
      </c>
      <c r="D50" s="15" t="n">
        <v>5925.46</v>
      </c>
      <c r="E50" s="3" t="n">
        <v>12</v>
      </c>
    </row>
    <row r="51" customFormat="false" ht="15" hidden="false" customHeight="false" outlineLevel="0" collapsed="false">
      <c r="A51" s="3" t="s">
        <v>159</v>
      </c>
      <c r="B51" s="39" t="s">
        <v>159</v>
      </c>
      <c r="C51" s="3" t="s">
        <v>2477</v>
      </c>
      <c r="D51" s="15" t="n">
        <v>53821.08</v>
      </c>
      <c r="E51" s="3" t="n">
        <v>141</v>
      </c>
    </row>
    <row r="52" customFormat="false" ht="15" hidden="false" customHeight="false" outlineLevel="0" collapsed="false">
      <c r="A52" s="3" t="s">
        <v>2478</v>
      </c>
      <c r="B52" s="39" t="s">
        <v>143</v>
      </c>
      <c r="C52" s="3" t="s">
        <v>2479</v>
      </c>
      <c r="D52" s="15" t="n">
        <v>80183.17</v>
      </c>
      <c r="E52" s="3" t="n">
        <v>364</v>
      </c>
    </row>
    <row r="53" customFormat="false" ht="15" hidden="false" customHeight="false" outlineLevel="0" collapsed="false">
      <c r="A53" s="3" t="s">
        <v>112</v>
      </c>
      <c r="B53" s="39" t="s">
        <v>112</v>
      </c>
      <c r="C53" s="3" t="s">
        <v>2479</v>
      </c>
      <c r="D53" s="15" t="n">
        <v>141451</v>
      </c>
      <c r="E53" s="3" t="n">
        <v>480</v>
      </c>
    </row>
    <row r="54" customFormat="false" ht="15" hidden="false" customHeight="false" outlineLevel="0" collapsed="false">
      <c r="A54" s="3" t="s">
        <v>2480</v>
      </c>
      <c r="B54" s="39" t="s">
        <v>112</v>
      </c>
      <c r="C54" s="3" t="s">
        <v>2479</v>
      </c>
      <c r="D54" s="15" t="n">
        <v>89680.22</v>
      </c>
      <c r="E54" s="3" t="n">
        <v>349</v>
      </c>
    </row>
    <row r="55" customFormat="false" ht="15" hidden="false" customHeight="false" outlineLevel="0" collapsed="false">
      <c r="A55" s="3" t="s">
        <v>2481</v>
      </c>
      <c r="B55" s="39" t="s">
        <v>112</v>
      </c>
      <c r="C55" s="3" t="s">
        <v>2479</v>
      </c>
      <c r="D55" s="15" t="n">
        <v>1792920.42</v>
      </c>
      <c r="E55" s="3" t="n">
        <v>6001</v>
      </c>
    </row>
    <row r="56" customFormat="false" ht="15" hidden="false" customHeight="false" outlineLevel="0" collapsed="false">
      <c r="A56" s="3" t="s">
        <v>2482</v>
      </c>
      <c r="B56" s="39" t="s">
        <v>112</v>
      </c>
      <c r="C56" s="3" t="s">
        <v>2479</v>
      </c>
      <c r="D56" s="15" t="n">
        <v>246853.25</v>
      </c>
      <c r="E56" s="3" t="n">
        <v>1499</v>
      </c>
    </row>
    <row r="57" customFormat="false" ht="15" hidden="false" customHeight="false" outlineLevel="0" collapsed="false">
      <c r="A57" s="3" t="s">
        <v>164</v>
      </c>
      <c r="B57" s="39" t="s">
        <v>164</v>
      </c>
      <c r="C57" s="3" t="s">
        <v>2479</v>
      </c>
      <c r="D57" s="15" t="n">
        <v>42396</v>
      </c>
      <c r="E57" s="3" t="n">
        <v>115</v>
      </c>
    </row>
    <row r="58" customFormat="false" ht="15" hidden="false" customHeight="false" outlineLevel="0" collapsed="false">
      <c r="A58" s="3" t="s">
        <v>2483</v>
      </c>
      <c r="B58" s="39" t="s">
        <v>157</v>
      </c>
      <c r="C58" s="3" t="s">
        <v>2479</v>
      </c>
      <c r="D58" s="15" t="n">
        <v>55220.14</v>
      </c>
      <c r="E58" s="3" t="n">
        <v>165</v>
      </c>
    </row>
    <row r="59" customFormat="false" ht="15" hidden="false" customHeight="false" outlineLevel="0" collapsed="false">
      <c r="A59" s="3" t="s">
        <v>162</v>
      </c>
      <c r="B59" s="39" t="s">
        <v>162</v>
      </c>
      <c r="C59" s="3" t="s">
        <v>2479</v>
      </c>
      <c r="D59" s="15" t="n">
        <v>42767.61</v>
      </c>
      <c r="E59" s="3" t="n">
        <v>103</v>
      </c>
    </row>
    <row r="60" customFormat="false" ht="15" hidden="false" customHeight="false" outlineLevel="0" collapsed="false">
      <c r="A60" s="3" t="s">
        <v>172</v>
      </c>
      <c r="B60" s="39" t="s">
        <v>172</v>
      </c>
      <c r="C60" s="3" t="s">
        <v>2479</v>
      </c>
      <c r="D60" s="15" t="n">
        <v>29730.39</v>
      </c>
      <c r="E60" s="3" t="n">
        <v>80</v>
      </c>
    </row>
    <row r="61" customFormat="false" ht="15" hidden="false" customHeight="false" outlineLevel="0" collapsed="false">
      <c r="A61" s="3" t="s">
        <v>187</v>
      </c>
      <c r="B61" s="39" t="s">
        <v>187</v>
      </c>
      <c r="C61" s="3" t="s">
        <v>2173</v>
      </c>
      <c r="D61" s="15" t="n">
        <v>3384.91</v>
      </c>
      <c r="E61" s="3" t="n">
        <v>10</v>
      </c>
    </row>
    <row r="62" customFormat="false" ht="15" hidden="false" customHeight="false" outlineLevel="0" collapsed="false">
      <c r="A62" s="3" t="s">
        <v>167</v>
      </c>
      <c r="B62" s="39" t="s">
        <v>167</v>
      </c>
      <c r="C62" s="3" t="s">
        <v>2484</v>
      </c>
      <c r="D62" s="15" t="n">
        <v>39612.8</v>
      </c>
      <c r="E62" s="3" t="n">
        <v>116</v>
      </c>
    </row>
    <row r="63" customFormat="false" ht="15" hidden="false" customHeight="false" outlineLevel="0" collapsed="false">
      <c r="A63" s="3" t="s">
        <v>2485</v>
      </c>
      <c r="B63" s="39" t="s">
        <v>124</v>
      </c>
      <c r="C63" s="3" t="s">
        <v>2486</v>
      </c>
      <c r="D63" s="15" t="n">
        <v>380683.73</v>
      </c>
      <c r="E63" s="3" t="n">
        <v>864</v>
      </c>
    </row>
    <row r="64" customFormat="false" ht="15" hidden="false" customHeight="false" outlineLevel="0" collapsed="false">
      <c r="A64" s="3" t="s">
        <v>125</v>
      </c>
      <c r="B64" s="39" t="s">
        <v>125</v>
      </c>
      <c r="C64" s="3" t="s">
        <v>2487</v>
      </c>
      <c r="D64" s="15" t="n">
        <v>342403.1</v>
      </c>
      <c r="E64" s="3" t="n">
        <v>1281</v>
      </c>
    </row>
    <row r="65" customFormat="false" ht="15" hidden="false" customHeight="false" outlineLevel="0" collapsed="false">
      <c r="A65" s="3" t="s">
        <v>2488</v>
      </c>
      <c r="B65" s="39" t="s">
        <v>123</v>
      </c>
      <c r="C65" s="3" t="s">
        <v>2489</v>
      </c>
      <c r="D65" s="15" t="n">
        <v>405044.84</v>
      </c>
      <c r="E65" s="3" t="n">
        <v>1706</v>
      </c>
    </row>
    <row r="66" customFormat="false" ht="15" hidden="false" customHeight="false" outlineLevel="0" collapsed="false">
      <c r="A66" s="3" t="s">
        <v>131</v>
      </c>
      <c r="B66" s="39" t="s">
        <v>131</v>
      </c>
      <c r="C66" s="3" t="s">
        <v>2490</v>
      </c>
      <c r="D66" s="15" t="n">
        <v>251599.58</v>
      </c>
      <c r="E66" s="3" t="n">
        <v>506</v>
      </c>
    </row>
    <row r="67" customFormat="false" ht="15" hidden="false" customHeight="false" outlineLevel="0" collapsed="false">
      <c r="A67" s="3" t="s">
        <v>127</v>
      </c>
      <c r="B67" s="39" t="s">
        <v>127</v>
      </c>
      <c r="C67" s="3" t="s">
        <v>2490</v>
      </c>
      <c r="D67" s="15" t="n">
        <v>317635.8</v>
      </c>
      <c r="E67" s="3" t="n">
        <v>557</v>
      </c>
    </row>
    <row r="68" customFormat="false" ht="15" hidden="false" customHeight="false" outlineLevel="0" collapsed="false">
      <c r="A68" s="3" t="s">
        <v>129</v>
      </c>
      <c r="B68" s="39" t="s">
        <v>129</v>
      </c>
      <c r="C68" s="3" t="s">
        <v>2490</v>
      </c>
      <c r="D68" s="15" t="n">
        <v>272411.75</v>
      </c>
      <c r="E68" s="3" t="n">
        <v>521</v>
      </c>
    </row>
    <row r="69" customFormat="false" ht="15" hidden="false" customHeight="false" outlineLevel="0" collapsed="false">
      <c r="A69" s="3" t="s">
        <v>116</v>
      </c>
      <c r="B69" s="39" t="s">
        <v>116</v>
      </c>
      <c r="C69" s="3" t="s">
        <v>2491</v>
      </c>
      <c r="D69" s="15" t="n">
        <v>1165690.29</v>
      </c>
      <c r="E69" s="3" t="n">
        <v>2584</v>
      </c>
    </row>
    <row r="70" customFormat="false" ht="15" hidden="false" customHeight="false" outlineLevel="0" collapsed="false">
      <c r="A70" s="3" t="s">
        <v>115</v>
      </c>
      <c r="B70" s="39" t="s">
        <v>115</v>
      </c>
      <c r="C70" s="3" t="s">
        <v>2491</v>
      </c>
      <c r="D70" s="15" t="n">
        <v>1191743.66</v>
      </c>
      <c r="E70" s="3" t="n">
        <v>2497</v>
      </c>
    </row>
    <row r="71" customFormat="false" ht="15" hidden="false" customHeight="false" outlineLevel="0" collapsed="false">
      <c r="A71" s="3" t="s">
        <v>117</v>
      </c>
      <c r="B71" s="39" t="s">
        <v>117</v>
      </c>
      <c r="C71" s="3" t="s">
        <v>2491</v>
      </c>
      <c r="D71" s="15" t="n">
        <v>1072298.34</v>
      </c>
      <c r="E71" s="3" t="n">
        <v>2944</v>
      </c>
    </row>
    <row r="72" customFormat="false" ht="15" hidden="false" customHeight="false" outlineLevel="0" collapsed="false">
      <c r="A72" s="3" t="s">
        <v>150</v>
      </c>
      <c r="B72" s="39" t="s">
        <v>150</v>
      </c>
      <c r="C72" s="3" t="s">
        <v>2492</v>
      </c>
      <c r="D72" s="15" t="n">
        <v>58741.94</v>
      </c>
      <c r="E72" s="3" t="n">
        <v>202</v>
      </c>
    </row>
    <row r="73" customFormat="false" ht="15" hidden="false" customHeight="false" outlineLevel="0" collapsed="false">
      <c r="A73" s="3" t="s">
        <v>108</v>
      </c>
      <c r="B73" s="39" t="s">
        <v>108</v>
      </c>
      <c r="C73" s="3" t="s">
        <v>2493</v>
      </c>
      <c r="D73" s="15" t="n">
        <v>4182810.78</v>
      </c>
      <c r="E73" s="3" t="n">
        <v>14210</v>
      </c>
    </row>
    <row r="74" customFormat="false" ht="15" hidden="false" customHeight="false" outlineLevel="0" collapsed="false">
      <c r="A74" s="3" t="s">
        <v>170</v>
      </c>
      <c r="B74" s="39" t="s">
        <v>170</v>
      </c>
      <c r="C74" s="3" t="s">
        <v>2493</v>
      </c>
      <c r="D74" s="15" t="n">
        <v>35129.6</v>
      </c>
      <c r="E74" s="3" t="n">
        <v>53</v>
      </c>
    </row>
    <row r="75" customFormat="false" ht="15" hidden="false" customHeight="false" outlineLevel="0" collapsed="false">
      <c r="A75" s="3" t="s">
        <v>110</v>
      </c>
      <c r="B75" s="39" t="s">
        <v>110</v>
      </c>
      <c r="C75" s="3" t="s">
        <v>2493</v>
      </c>
      <c r="D75" s="15" t="n">
        <v>3155321.15</v>
      </c>
      <c r="E75" s="3" t="n">
        <v>14928</v>
      </c>
    </row>
    <row r="76" customFormat="false" ht="15" hidden="false" customHeight="false" outlineLevel="0" collapsed="false">
      <c r="A76" s="3" t="s">
        <v>195</v>
      </c>
      <c r="B76" s="39" t="s">
        <v>195</v>
      </c>
      <c r="C76" s="3" t="s">
        <v>2494</v>
      </c>
      <c r="D76" s="15" t="n">
        <v>38</v>
      </c>
      <c r="E76" s="3" t="n">
        <v>1</v>
      </c>
    </row>
    <row r="77" customFormat="false" ht="15" hidden="false" customHeight="false" outlineLevel="0" collapsed="false">
      <c r="A77" s="3" t="s">
        <v>2495</v>
      </c>
      <c r="B77" s="39" t="s">
        <v>118</v>
      </c>
      <c r="C77" s="3" t="s">
        <v>2494</v>
      </c>
      <c r="D77" s="15" t="n">
        <v>1038873.72</v>
      </c>
      <c r="E77" s="3" t="n">
        <v>1437</v>
      </c>
    </row>
    <row r="78" customFormat="false" ht="15" hidden="false" customHeight="false" outlineLevel="0" collapsed="false">
      <c r="A78" s="3" t="s">
        <v>2496</v>
      </c>
      <c r="B78" s="39" t="s">
        <v>120</v>
      </c>
      <c r="C78" s="3" t="s">
        <v>2497</v>
      </c>
      <c r="D78" s="15" t="n">
        <v>918697.77</v>
      </c>
      <c r="E78" s="3" t="n">
        <v>1536</v>
      </c>
    </row>
    <row r="79" customFormat="false" ht="15" hidden="false" customHeight="false" outlineLevel="0" collapsed="false">
      <c r="A79" s="3" t="s">
        <v>2498</v>
      </c>
      <c r="B79" s="39" t="s">
        <v>120</v>
      </c>
      <c r="C79" s="3" t="s">
        <v>2497</v>
      </c>
      <c r="D79" s="15" t="n">
        <v>127.14</v>
      </c>
      <c r="E79" s="3" t="n">
        <v>15</v>
      </c>
    </row>
    <row r="80" customFormat="false" ht="15" hidden="false" customHeight="false" outlineLevel="0" collapsed="false">
      <c r="A80" s="3" t="s">
        <v>2499</v>
      </c>
      <c r="B80" s="39" t="s">
        <v>113</v>
      </c>
      <c r="C80" s="3" t="s">
        <v>2497</v>
      </c>
      <c r="D80" s="15" t="n">
        <v>2118168.35</v>
      </c>
      <c r="E80" s="3" t="n">
        <v>4235</v>
      </c>
    </row>
    <row r="81" customFormat="false" ht="15" hidden="false" customHeight="false" outlineLevel="0" collapsed="false">
      <c r="A81" s="3" t="s">
        <v>111</v>
      </c>
      <c r="B81" s="39" t="s">
        <v>111</v>
      </c>
      <c r="C81" s="3" t="s">
        <v>2497</v>
      </c>
      <c r="D81" s="15" t="n">
        <v>2301696.23</v>
      </c>
      <c r="E81" s="3" t="n">
        <v>3966</v>
      </c>
    </row>
    <row r="82" customFormat="false" ht="15" hidden="false" customHeight="false" outlineLevel="0" collapsed="false">
      <c r="A82" s="3" t="s">
        <v>114</v>
      </c>
      <c r="B82" s="39" t="s">
        <v>114</v>
      </c>
      <c r="C82" s="3" t="s">
        <v>2497</v>
      </c>
      <c r="D82" s="15" t="n">
        <v>1811710.47</v>
      </c>
      <c r="E82" s="3" t="n">
        <v>4643</v>
      </c>
    </row>
    <row r="83" customFormat="false" ht="15" hidden="false" customHeight="false" outlineLevel="0" collapsed="false">
      <c r="A83" s="3" t="s">
        <v>151</v>
      </c>
      <c r="B83" s="39" t="s">
        <v>151</v>
      </c>
      <c r="C83" s="3" t="s">
        <v>2500</v>
      </c>
      <c r="D83" s="15" t="n">
        <v>58514.73</v>
      </c>
      <c r="E83" s="3" t="n">
        <v>84</v>
      </c>
    </row>
    <row r="84" customFormat="false" ht="15" hidden="false" customHeight="false" outlineLevel="0" collapsed="false">
      <c r="A84" s="3" t="s">
        <v>2501</v>
      </c>
      <c r="B84" s="39" t="s">
        <v>126</v>
      </c>
      <c r="C84" s="3" t="s">
        <v>2502</v>
      </c>
      <c r="D84" s="15" t="n">
        <v>335239.86</v>
      </c>
      <c r="E84" s="3" t="n">
        <v>382</v>
      </c>
    </row>
    <row r="85" customFormat="false" ht="15" hidden="false" customHeight="false" outlineLevel="0" collapsed="false">
      <c r="A85" s="3" t="s">
        <v>158</v>
      </c>
      <c r="B85" s="39" t="s">
        <v>158</v>
      </c>
      <c r="C85" s="3" t="s">
        <v>2503</v>
      </c>
      <c r="D85" s="15" t="n">
        <v>54675.2</v>
      </c>
      <c r="E85" s="3" t="n">
        <v>41</v>
      </c>
    </row>
    <row r="86" customFormat="false" ht="15" hidden="false" customHeight="false" outlineLevel="0" collapsed="false">
      <c r="A86" s="3" t="s">
        <v>139</v>
      </c>
      <c r="B86" s="39" t="s">
        <v>139</v>
      </c>
      <c r="C86" s="3" t="s">
        <v>2504</v>
      </c>
      <c r="D86" s="15" t="n">
        <v>99077.27</v>
      </c>
      <c r="E86" s="3" t="n">
        <v>140</v>
      </c>
    </row>
    <row r="87" customFormat="false" ht="15" hidden="false" customHeight="false" outlineLevel="0" collapsed="false">
      <c r="A87" s="3" t="s">
        <v>121</v>
      </c>
      <c r="B87" s="39" t="s">
        <v>121</v>
      </c>
      <c r="C87" s="3" t="s">
        <v>2505</v>
      </c>
      <c r="D87" s="15" t="n">
        <v>520213.02</v>
      </c>
      <c r="E87" s="3" t="n">
        <v>870</v>
      </c>
    </row>
    <row r="88" customFormat="false" ht="15" hidden="false" customHeight="false" outlineLevel="0" collapsed="false">
      <c r="A88" s="3" t="s">
        <v>177</v>
      </c>
      <c r="B88" s="39" t="s">
        <v>177</v>
      </c>
      <c r="C88" s="3" t="s">
        <v>2506</v>
      </c>
      <c r="D88" s="15" t="n">
        <v>21722.36</v>
      </c>
      <c r="E88" s="3" t="n">
        <v>21</v>
      </c>
    </row>
    <row r="89" customFormat="false" ht="15" hidden="false" customHeight="false" outlineLevel="0" collapsed="false">
      <c r="A89" s="40" t="s">
        <v>194</v>
      </c>
      <c r="B89" s="41" t="s">
        <v>194</v>
      </c>
      <c r="C89" s="40"/>
      <c r="D89" s="42" t="n">
        <v>52.77</v>
      </c>
      <c r="E89" s="40" t="n">
        <v>3</v>
      </c>
      <c r="F89" s="43" t="s">
        <v>2432</v>
      </c>
    </row>
    <row r="90" customFormat="false" ht="15" hidden="false" customHeight="false" outlineLevel="0" collapsed="false">
      <c r="A90" s="40" t="s">
        <v>179</v>
      </c>
      <c r="B90" s="41" t="s">
        <v>179</v>
      </c>
      <c r="C90" s="40"/>
      <c r="D90" s="42" t="n">
        <v>14956.37</v>
      </c>
      <c r="E90" s="40" t="n">
        <v>47</v>
      </c>
      <c r="F90" s="43" t="s">
        <v>2432</v>
      </c>
    </row>
    <row r="91" customFormat="false" ht="15" hidden="false" customHeight="false" outlineLevel="0" collapsed="false">
      <c r="A91" s="40" t="s">
        <v>138</v>
      </c>
      <c r="B91" s="41" t="s">
        <v>138</v>
      </c>
      <c r="C91" s="40"/>
      <c r="D91" s="42" t="n">
        <v>105508.53</v>
      </c>
      <c r="E91" s="40" t="n">
        <v>48</v>
      </c>
      <c r="F91" s="43" t="s">
        <v>2432</v>
      </c>
    </row>
    <row r="92" customFormat="false" ht="15" hidden="false" customHeight="false" outlineLevel="0" collapsed="false">
      <c r="A92" s="40" t="s">
        <v>141</v>
      </c>
      <c r="B92" s="41" t="s">
        <v>141</v>
      </c>
      <c r="C92" s="40"/>
      <c r="D92" s="42" t="n">
        <v>89895.9</v>
      </c>
      <c r="E92" s="40" t="n">
        <v>279</v>
      </c>
      <c r="F92" s="43" t="s">
        <v>2432</v>
      </c>
    </row>
    <row r="93" customFormat="false" ht="15" hidden="false" customHeight="false" outlineLevel="0" collapsed="false">
      <c r="A93" s="40" t="s">
        <v>166</v>
      </c>
      <c r="B93" s="41" t="s">
        <v>166</v>
      </c>
      <c r="C93" s="40"/>
      <c r="D93" s="42" t="n">
        <v>39796.13</v>
      </c>
      <c r="E93" s="40" t="n">
        <v>125</v>
      </c>
      <c r="F93" s="43" t="s">
        <v>2432</v>
      </c>
    </row>
    <row r="94" customFormat="false" ht="15" hidden="false" customHeight="false" outlineLevel="0" collapsed="false">
      <c r="A94" s="40" t="s">
        <v>132</v>
      </c>
      <c r="B94" s="41" t="s">
        <v>132</v>
      </c>
      <c r="C94" s="40"/>
      <c r="D94" s="42" t="n">
        <v>199422.54</v>
      </c>
      <c r="E94" s="40" t="n">
        <v>457</v>
      </c>
      <c r="F94" s="43" t="s">
        <v>2432</v>
      </c>
    </row>
    <row r="95" customFormat="false" ht="15" hidden="false" customHeight="false" outlineLevel="0" collapsed="false">
      <c r="A95" s="40" t="s">
        <v>192</v>
      </c>
      <c r="B95" s="41" t="s">
        <v>192</v>
      </c>
      <c r="C95" s="40"/>
      <c r="D95" s="42" t="n">
        <v>702.94</v>
      </c>
      <c r="E95" s="40" t="n">
        <v>9</v>
      </c>
      <c r="F95" s="43" t="s">
        <v>2432</v>
      </c>
    </row>
    <row r="96" customFormat="false" ht="15" hidden="false" customHeight="false" outlineLevel="0" collapsed="false">
      <c r="A96" s="40" t="s">
        <v>193</v>
      </c>
      <c r="B96" s="41" t="s">
        <v>193</v>
      </c>
      <c r="C96" s="40"/>
      <c r="D96" s="42" t="n">
        <v>310.89</v>
      </c>
      <c r="E96" s="40" t="n">
        <v>8</v>
      </c>
      <c r="F96" s="43" t="s">
        <v>2432</v>
      </c>
    </row>
    <row r="97" customFormat="false" ht="15" hidden="false" customHeight="false" outlineLevel="0" collapsed="false">
      <c r="A97" s="40" t="s">
        <v>184</v>
      </c>
      <c r="B97" s="41" t="s">
        <v>184</v>
      </c>
      <c r="C97" s="40"/>
      <c r="D97" s="42" t="n">
        <v>6184.79</v>
      </c>
      <c r="E97" s="40" t="n">
        <v>14</v>
      </c>
      <c r="F97" s="43" t="s">
        <v>2432</v>
      </c>
    </row>
    <row r="98" customFormat="false" ht="15" hidden="false" customHeight="false" outlineLevel="0" collapsed="false">
      <c r="A98" s="40" t="s">
        <v>163</v>
      </c>
      <c r="B98" s="41" t="s">
        <v>163</v>
      </c>
      <c r="C98" s="40"/>
      <c r="D98" s="42" t="n">
        <v>42746.72</v>
      </c>
      <c r="E98" s="40" t="n">
        <v>38</v>
      </c>
      <c r="F98" s="43" t="s">
        <v>2432</v>
      </c>
    </row>
    <row r="100" customFormat="false" ht="15" hidden="false" customHeight="false" outlineLevel="0" collapsed="false">
      <c r="A100" s="7" t="s">
        <v>2507</v>
      </c>
    </row>
  </sheetData>
  <autoFilter ref="A4:F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2026-08-31T00:18:02Z</dcterms:created>
  <dc:creator>openpyxl</dc:creator>
  <dc:description/>
  <dc:language>en-US</dc:language>
  <cp:lastModifiedBy/>
  <dcterms:modified xsi:type="dcterms:W3CDTF">2026-08-31T00:18:25Z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