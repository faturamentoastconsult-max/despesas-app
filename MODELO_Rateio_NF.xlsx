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IO" sheetId="1" state="visible" r:id="rId3"/>
    <sheet name="LEIA-ME" sheetId="2" state="visible" r:id="rId4"/>
  </sheets>
  <definedNames>
    <definedName function="false" hidden="true" localSheetId="0" name="_xlnm._FilterDatabase" vbProcedure="false">RATEIO!$A$1:$AB$3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<sst xmlns="http://schemas.openxmlformats.org/spreadsheetml/2006/main" count="81" uniqueCount="77">
  <si>
    <t xml:space="preserve">ANO</t>
  </si>
  <si>
    <t xml:space="preserve">MÊS</t>
  </si>
  <si>
    <t xml:space="preserve">Emp</t>
  </si>
  <si>
    <t xml:space="preserve">Fil</t>
  </si>
  <si>
    <t xml:space="preserve">Cod</t>
  </si>
  <si>
    <t xml:space="preserve">C.Custo</t>
  </si>
  <si>
    <t xml:space="preserve">C.Custo (Descrição)</t>
  </si>
  <si>
    <t xml:space="preserve">Nome</t>
  </si>
  <si>
    <t xml:space="preserve">CPF</t>
  </si>
  <si>
    <t xml:space="preserve">Função</t>
  </si>
  <si>
    <t xml:space="preserve">Salário</t>
  </si>
  <si>
    <t xml:space="preserve">Dt Admissão</t>
  </si>
  <si>
    <t xml:space="preserve">Dt Demissão</t>
  </si>
  <si>
    <t xml:space="preserve">Taxa Fat</t>
  </si>
  <si>
    <t xml:space="preserve">Período Bnf</t>
  </si>
  <si>
    <t xml:space="preserve">002-SALARIO MES (Valor)</t>
  </si>
  <si>
    <t xml:space="preserve">091-HORA EXTRAS  65% (Valor)</t>
  </si>
  <si>
    <t xml:space="preserve">153-HORAS EXTRAS A 100% (Valor)</t>
  </si>
  <si>
    <t xml:space="preserve">160-D.S.R. S/HORA EXTRA</t>
  </si>
  <si>
    <t xml:space="preserve">188-ADIC. NOTURNO C/ 35% (Valor)</t>
  </si>
  <si>
    <t xml:space="preserve">276-PAGAMENTO DE VALE-TRANSPORTE (Valor)</t>
  </si>
  <si>
    <t xml:space="preserve">277-VALE REFEIÇÃO (Valor)</t>
  </si>
  <si>
    <t xml:space="preserve">498-ENCARGOS DE FOLHA</t>
  </si>
  <si>
    <t xml:space="preserve">553-ATRASOS E FALTAS (Valor)</t>
  </si>
  <si>
    <t xml:space="preserve">672-DESCONTO DE VALE-TRANSPORTE</t>
  </si>
  <si>
    <t xml:space="preserve">Taxa</t>
  </si>
  <si>
    <t xml:space="preserve">Tributo Fiscal</t>
  </si>
  <si>
    <t xml:space="preserve">Total Geral</t>
  </si>
  <si>
    <t xml:space="preserve">448</t>
  </si>
  <si>
    <t xml:space="preserve">88</t>
  </si>
  <si>
    <t xml:space="preserve">90001</t>
  </si>
  <si>
    <t xml:space="preserve">691</t>
  </si>
  <si>
    <t xml:space="preserve">691 - EMBALAGEM DIA</t>
  </si>
  <si>
    <t xml:space="preserve">MARIA DA SILVA (EXEMPLO)</t>
  </si>
  <si>
    <t xml:space="preserve">000.000.000-00</t>
  </si>
  <si>
    <t xml:space="preserve">AUXILIAR DE PRODUCAO</t>
  </si>
  <si>
    <t xml:space="preserve">01/08/2026 até 31/08/2026</t>
  </si>
  <si>
    <t xml:space="preserve">90002</t>
  </si>
  <si>
    <t xml:space="preserve">660</t>
  </si>
  <si>
    <t xml:space="preserve">660 - ACABAMENTO NOITE</t>
  </si>
  <si>
    <t xml:space="preserve">JOAO PEREIRA (EXEMPLO)</t>
  </si>
  <si>
    <t xml:space="preserve">OPERADOR DE MAQUINA</t>
  </si>
  <si>
    <t xml:space="preserve">01/08/2026 até 15/08/2026</t>
  </si>
  <si>
    <t xml:space="preserve">As duas linhas em azul são exemplo — apague antes de usar. Uma linha por colaborador. As colunas de verba variam de nota para nota: podem ser quantas forem, e nomes novos entram sozinhos. Regras completas na aba LEIA-ME.</t>
  </si>
  <si>
    <t xml:space="preserve">Modelo do arquivo de rateio</t>
  </si>
  <si>
    <t xml:space="preserve">Formato que o sistema de folha deve gravar na pasta do consolidado.</t>
  </si>
  <si>
    <t xml:space="preserve">As três regras que não podem falhar</t>
  </si>
  <si>
    <t xml:space="preserve">1. O nome do arquivo</t>
  </si>
  <si>
    <t xml:space="preserve">Vira o número da nota na base. "NF_026174.xlsx" produz a NF "NF_026174". Use sempre o mesmo formato: mesma quantidade de dígitos, mesmo prefixo. Um arquivo por nota.</t>
  </si>
  <si>
    <t xml:space="preserve">2. O cabeçalho na linha 1</t>
  </si>
  <si>
    <t xml:space="preserve">Os nomes das colunas têm que estar na primeira linha da aba de dados. Sem linhas de título, logotipo ou espaço em branco acima.</t>
  </si>
  <si>
    <t xml:space="preserve">3. Os nomes das colunas de identificação</t>
  </si>
  <si>
    <t xml:space="preserve">As 15 colunas azuis da aba RATEIO precisam vir com o nome exatamente como está lá, incluindo acento e maiúscula. É por elas que a leitura reconhece o que é cadastro e o que é verba.</t>
  </si>
  <si>
    <t xml:space="preserve">O que pode variar à vontade</t>
  </si>
  <si>
    <t xml:space="preserve">Colunas de verba</t>
  </si>
  <si>
    <t xml:space="preserve">Podem ser quantas forem e mudar de nota para nota. Verba nova entra sozinha, desde que o nome comece com três dígitos e um hífen: "284-PAGTO DE VALE ALIMENTACAO".</t>
  </si>
  <si>
    <t xml:space="preserve">Ordem das colunas</t>
  </si>
  <si>
    <t xml:space="preserve">Não importa. A leitura procura pelo nome, não pela posição.</t>
  </si>
  <si>
    <t xml:space="preserve">Linhas</t>
  </si>
  <si>
    <t xml:space="preserve">Uma por colaborador. Quantas forem.</t>
  </si>
  <si>
    <t xml:space="preserve">Abas</t>
  </si>
  <si>
    <t xml:space="preserve">A leitura procura a aba que tem as colunas de identificação, então uma aba de capa ou instruções no arquivo não atrapalha.</t>
  </si>
  <si>
    <t xml:space="preserve">O que não fazer</t>
  </si>
  <si>
    <t xml:space="preserve">Não repetir coluna</t>
  </si>
  <si>
    <t xml:space="preserve">"NOME", "CENTRO DE CUSTO" e "VALOR" duplicando o que já existe nas colunas de identificação são descartadas — e sinalizam cabeçalho fora do lugar.</t>
  </si>
  <si>
    <t xml:space="preserve">Não deixar CPF em branco</t>
  </si>
  <si>
    <t xml:space="preserve">Colaborador sem CPF é agrupado como "(em branco na origem)" e vira pendência de cadastro.</t>
  </si>
  <si>
    <t xml:space="preserve">Não formatar número como texto</t>
  </si>
  <si>
    <t xml:space="preserve">Valor tem que chegar como número. "1.707,00 / M" no campo Salário é texto e precisa ser tratado depois.</t>
  </si>
  <si>
    <t xml:space="preserve">Não usar célula mesclada</t>
  </si>
  <si>
    <t xml:space="preserve">Mesclagem no cabeçalho quebra a leitura das colunas.</t>
  </si>
  <si>
    <t xml:space="preserve">O que é</t>
  </si>
  <si>
    <t xml:space="preserve">A soma de todas as verbas mais Taxa e Tributo Fiscal, na própria linha. Veja a fórmula na coluna Total Geral da aba RATEIO.</t>
  </si>
  <si>
    <t xml:space="preserve">Para que serve</t>
  </si>
  <si>
    <t xml:space="preserve">É a conferência: o consolidado recalcula esse total pelas verbas e compara com o que veio aqui. Divergiu, a nota é sinalizada antes de ir ao cliente. Mande sempre, mesmo que pareça redundante.</t>
  </si>
  <si>
    <t xml:space="preserve">Dúvida no formato?</t>
  </si>
  <si>
    <t xml:space="preserve">Grave um arquivo de teste na pasta, atualize o consolidado e olhe a consulta de auditoria: tudo que a leitura não reconhecer aparece lá, com o nome do arquivo e da coluna.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</si>
</sst>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0.00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6"/>
      <color rgb="FF1F3A63"/>
      <name val="Arial"/>
      <family val="0"/>
      <charset val="1"/>
    </font>
    <font>
      <b val="true"/>
      <sz val="11"/>
      <color rgb="FF1F3A6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63"/>
        <bgColor rgb="FF333333"/>
      </patternFill>
    </fill>
    <fill>
      <patternFill patternType="solid">
        <fgColor rgb="FF0F7B5A"/>
        <bgColor rgb="FF008080"/>
      </patternFill>
    </fill>
    <fill>
      <patternFill patternType="solid">
        <fgColor rgb="FF8A6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B5A"/>
          <bgColor rgb="FF000000"/>
        </patternFill>
      </fill>
    </dxf>
    <dxf>
      <fill>
        <patternFill patternType="solid">
          <fgColor rgb="FF8A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000"/>
      <rgbColor rgb="FF800080"/>
      <rgbColor rgb="FF0F7B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0"/>
    <col collapsed="false" customWidth="true" hidden="false" outlineLevel="0" max="15" min="15" style="0" width="26"/>
    <col collapsed="false" customWidth="true" hidden="false" outlineLevel="0" max="25" min="16" style="0" width="17"/>
    <col collapsed="false" customWidth="true" hidden="false" outlineLevel="0" max="28" min="26" style="0" width="1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</row>
    <row r="2" customFormat="false" ht="15" hidden="false" customHeight="false" outlineLevel="0" collapsed="false">
      <c r="A2" s="4" t="n">
        <v>2026</v>
      </c>
      <c r="B2" s="4" t="n">
        <v>8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5" t="n">
        <v>1707</v>
      </c>
      <c r="L2" s="6" t="n">
        <v>45355</v>
      </c>
      <c r="M2" s="6"/>
      <c r="N2" s="7" t="n">
        <v>1.126</v>
      </c>
      <c r="O2" s="4" t="s">
        <v>36</v>
      </c>
      <c r="P2" s="5" t="n">
        <v>1707</v>
      </c>
      <c r="Q2" s="5" t="n">
        <v>143.2</v>
      </c>
      <c r="R2" s="5" t="n">
        <v>0</v>
      </c>
      <c r="S2" s="5" t="n">
        <v>28.64</v>
      </c>
      <c r="T2" s="5" t="n">
        <v>0</v>
      </c>
      <c r="U2" s="5" t="n">
        <v>268.5</v>
      </c>
      <c r="V2" s="5" t="n">
        <v>484.95</v>
      </c>
      <c r="W2" s="5" t="n">
        <v>1024.2</v>
      </c>
      <c r="X2" s="5" t="n">
        <v>0</v>
      </c>
      <c r="Y2" s="5" t="n">
        <v>-102.42</v>
      </c>
      <c r="Z2" s="5" t="n">
        <v>358.15</v>
      </c>
      <c r="AA2" s="5" t="n">
        <v>241.6</v>
      </c>
      <c r="AB2" s="8" t="n">
        <f aca="false">SUM(P2:AA2)</f>
        <v>4153.82</v>
      </c>
    </row>
    <row r="3" customFormat="false" ht="15" hidden="false" customHeight="false" outlineLevel="0" collapsed="false">
      <c r="A3" s="4" t="n">
        <v>2026</v>
      </c>
      <c r="B3" s="4" t="n">
        <v>8</v>
      </c>
      <c r="C3" s="4" t="s">
        <v>28</v>
      </c>
      <c r="D3" s="4" t="s">
        <v>29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34</v>
      </c>
      <c r="J3" s="4" t="s">
        <v>41</v>
      </c>
      <c r="K3" s="5" t="n">
        <v>2140</v>
      </c>
      <c r="L3" s="6" t="n">
        <v>45250</v>
      </c>
      <c r="M3" s="6" t="n">
        <v>46249</v>
      </c>
      <c r="N3" s="7" t="n">
        <v>1.126</v>
      </c>
      <c r="O3" s="4" t="s">
        <v>42</v>
      </c>
      <c r="P3" s="5" t="n">
        <v>1070</v>
      </c>
      <c r="Q3" s="5" t="n">
        <v>0</v>
      </c>
      <c r="R3" s="5" t="n">
        <v>212.85</v>
      </c>
      <c r="S3" s="5" t="n">
        <v>0</v>
      </c>
      <c r="T3" s="5" t="n">
        <v>94.3</v>
      </c>
      <c r="U3" s="5" t="n">
        <v>0</v>
      </c>
      <c r="V3" s="5" t="n">
        <v>0</v>
      </c>
      <c r="W3" s="5" t="n">
        <v>642</v>
      </c>
      <c r="X3" s="5" t="n">
        <v>-71.33</v>
      </c>
      <c r="Y3" s="5" t="n">
        <v>0</v>
      </c>
      <c r="Z3" s="5" t="n">
        <v>224.51</v>
      </c>
      <c r="AA3" s="5" t="n">
        <v>151.42</v>
      </c>
      <c r="AB3" s="8" t="n">
        <f aca="false">SUM(P3:AA3)</f>
        <v>2323.75</v>
      </c>
    </row>
    <row r="5" customFormat="false" ht="15" hidden="false" customHeight="false" outlineLevel="0" collapsed="false">
      <c r="A5" s="9" t="s">
        <v>43</v>
      </c>
    </row>
  </sheetData>
  <autoFilter ref="A1:A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0" t="s">
        <v>44</v>
      </c>
    </row>
    <row r="3" customFormat="false" ht="15" hidden="false" customHeight="false" outlineLevel="0" collapsed="false">
      <c r="B3" s="11" t="s">
        <v>45</v>
      </c>
    </row>
    <row r="5" customFormat="false" ht="15" hidden="false" customHeight="false" outlineLevel="0" collapsed="false">
      <c r="B5" s="12" t="s">
        <v>46</v>
      </c>
    </row>
    <row r="6" customFormat="false" ht="30" hidden="false" customHeight="true" outlineLevel="0" collapsed="false">
      <c r="B6" s="13" t="s">
        <v>47</v>
      </c>
      <c r="C6" s="14" t="s">
        <v>48</v>
      </c>
    </row>
    <row r="7" customFormat="false" ht="30" hidden="false" customHeight="true" outlineLevel="0" collapsed="false">
      <c r="B7" s="13" t="s">
        <v>49</v>
      </c>
      <c r="C7" s="14" t="s">
        <v>50</v>
      </c>
    </row>
    <row r="8" customFormat="false" ht="30" hidden="false" customHeight="true" outlineLevel="0" collapsed="false">
      <c r="B8" s="13" t="s">
        <v>51</v>
      </c>
      <c r="C8" s="14" t="s">
        <v>52</v>
      </c>
    </row>
    <row r="10" customFormat="false" ht="15" hidden="false" customHeight="false" outlineLevel="0" collapsed="false">
      <c r="B10" s="12" t="s">
        <v>53</v>
      </c>
    </row>
    <row r="11" customFormat="false" ht="30" hidden="false" customHeight="true" outlineLevel="0" collapsed="false">
      <c r="B11" s="13" t="s">
        <v>54</v>
      </c>
      <c r="C11" s="14" t="s">
        <v>55</v>
      </c>
    </row>
    <row r="12" customFormat="false" ht="15" hidden="false" customHeight="true" outlineLevel="0" collapsed="false">
      <c r="B12" s="13" t="s">
        <v>56</v>
      </c>
      <c r="C12" s="14" t="s">
        <v>57</v>
      </c>
    </row>
    <row r="13" customFormat="false" ht="15" hidden="false" customHeight="true" outlineLevel="0" collapsed="false">
      <c r="B13" s="13" t="s">
        <v>58</v>
      </c>
      <c r="C13" s="14" t="s">
        <v>59</v>
      </c>
    </row>
    <row r="14" customFormat="false" ht="30" hidden="false" customHeight="true" outlineLevel="0" collapsed="false">
      <c r="B14" s="13" t="s">
        <v>60</v>
      </c>
      <c r="C14" s="14" t="s">
        <v>61</v>
      </c>
    </row>
    <row r="16" customFormat="false" ht="15" hidden="false" customHeight="false" outlineLevel="0" collapsed="false">
      <c r="B16" s="12" t="s">
        <v>62</v>
      </c>
    </row>
    <row r="17" customFormat="false" ht="30" hidden="false" customHeight="true" outlineLevel="0" collapsed="false">
      <c r="B17" s="13" t="s">
        <v>63</v>
      </c>
      <c r="C17" s="14" t="s">
        <v>64</v>
      </c>
    </row>
    <row r="18" customFormat="false" ht="15" hidden="false" customHeight="true" outlineLevel="0" collapsed="false">
      <c r="B18" s="13" t="s">
        <v>65</v>
      </c>
      <c r="C18" s="14" t="s">
        <v>66</v>
      </c>
    </row>
    <row r="19" customFormat="false" ht="15" hidden="false" customHeight="true" outlineLevel="0" collapsed="false">
      <c r="B19" s="13" t="s">
        <v>67</v>
      </c>
      <c r="C19" s="14" t="s">
        <v>68</v>
      </c>
    </row>
    <row r="20" customFormat="false" ht="15" hidden="false" customHeight="true" outlineLevel="0" collapsed="false">
      <c r="B20" s="13" t="s">
        <v>69</v>
      </c>
      <c r="C20" s="14" t="s">
        <v>70</v>
      </c>
    </row>
    <row r="22" customFormat="false" ht="15" hidden="false" customHeight="false" outlineLevel="0" collapsed="false">
      <c r="B22" s="12" t="s">
        <v>27</v>
      </c>
    </row>
    <row r="23" customFormat="false" ht="30" hidden="false" customHeight="true" outlineLevel="0" collapsed="false">
      <c r="B23" s="13" t="s">
        <v>71</v>
      </c>
      <c r="C23" s="14" t="s">
        <v>72</v>
      </c>
    </row>
    <row r="24" customFormat="false" ht="30" hidden="false" customHeight="true" outlineLevel="0" collapsed="false">
      <c r="B24" s="13" t="s">
        <v>73</v>
      </c>
      <c r="C24" s="14" t="s">
        <v>74</v>
      </c>
    </row>
    <row r="26" customFormat="false" ht="30" hidden="false" customHeight="true" outlineLevel="0" collapsed="false">
      <c r="B26" s="12" t="s">
        <v>75</v>
      </c>
      <c r="C26" s="1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2026-08-31T01:14:20Z</dcterms:created>
  <dc:creator>openpyxl</dc:creator>
  <dc:description/>
  <dc:language>en-US</dc:language>
  <cp:lastModifiedBy/>
  <dcterms:modified xsi:type="dcterms:W3CDTF">2026-08-31T01:14:20Z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